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eacnet-my.sharepoint.com/personal/pricj26_wfu_edu/Documents/BAN 6001/Group Project/"/>
    </mc:Choice>
  </mc:AlternateContent>
  <xr:revisionPtr revIDLastSave="14" documentId="8_{713D15E3-6EE3-46A7-9712-4BD165BD527C}" xr6:coauthVersionLast="47" xr6:coauthVersionMax="47" xr10:uidLastSave="{2E3A07CF-7E4C-4715-BBAF-DD79A9B2787F}"/>
  <bookViews>
    <workbookView xWindow="-110" yWindow="-110" windowWidth="19420" windowHeight="11500" firstSheet="1" activeTab="2" xr2:uid="{EBCA5A73-BD78-4669-B2E0-5B1AF083C375}"/>
  </bookViews>
  <sheets>
    <sheet name="Most Streamed Spotify Songs 202" sheetId="1" r:id="rId1"/>
    <sheet name="Cleaned Data" sheetId="8" r:id="rId2"/>
    <sheet name="Descriptive Statistics" sheetId="2" r:id="rId3"/>
    <sheet name="Frequency Table" sheetId="3" r:id="rId4"/>
    <sheet name="Visuals" sheetId="7" r:id="rId5"/>
    <sheet name="Commentary" sheetId="5" r:id="rId6"/>
    <sheet name="Distribution Analysis" sheetId="6" state="hidden" r:id="rId7"/>
    <sheet name="Real-World Probability" sheetId="9" state="hidden" r:id="rId8"/>
    <sheet name="Probability Commentary" sheetId="10" state="hidden" r:id="rId9"/>
  </sheets>
  <definedNames>
    <definedName name="_xlnm._FilterDatabase" localSheetId="0" hidden="1">'Most Streamed Spotify Songs 202'!$A$1:$M$4601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2" i="6" l="1"/>
  <c r="B13" i="3"/>
  <c r="B12" i="3"/>
  <c r="B11" i="3"/>
  <c r="B6" i="3"/>
  <c r="B5" i="3"/>
  <c r="G12" i="2"/>
  <c r="G11" i="2"/>
  <c r="G10" i="2"/>
  <c r="G9" i="2"/>
  <c r="G8" i="2"/>
  <c r="G7" i="2"/>
  <c r="G6" i="2"/>
  <c r="G5" i="2"/>
  <c r="F12" i="2"/>
  <c r="F11" i="2"/>
  <c r="F10" i="2"/>
  <c r="F8" i="2"/>
  <c r="F9" i="2"/>
  <c r="O18" i="1"/>
  <c r="P4" i="8"/>
  <c r="O2123" i="8"/>
  <c r="F7" i="2"/>
  <c r="F6" i="2"/>
  <c r="F5" i="2"/>
  <c r="E12" i="2"/>
  <c r="E11" i="2"/>
  <c r="E10" i="2"/>
  <c r="E9" i="2"/>
  <c r="E8" i="2"/>
  <c r="E6" i="2"/>
  <c r="D12" i="2"/>
  <c r="D11" i="2"/>
  <c r="D10" i="2"/>
  <c r="D9" i="2"/>
  <c r="D8" i="2"/>
  <c r="D7" i="2"/>
  <c r="D6" i="2"/>
  <c r="D5" i="2"/>
  <c r="C12" i="2"/>
  <c r="C11" i="2"/>
  <c r="C10" i="2"/>
  <c r="C9" i="2"/>
  <c r="C8" i="2"/>
  <c r="C7" i="2"/>
  <c r="C6" i="2"/>
  <c r="C5" i="2"/>
  <c r="B12" i="2"/>
  <c r="B11" i="2"/>
  <c r="B10" i="2"/>
  <c r="B9" i="2"/>
  <c r="B8" i="2"/>
  <c r="B7" i="2"/>
  <c r="B6" i="2"/>
  <c r="B5" i="2"/>
  <c r="E5" i="2"/>
  <c r="E7" i="2"/>
  <c r="U63" i="6"/>
  <c r="U62" i="6"/>
  <c r="U61" i="6"/>
  <c r="U60" i="6"/>
  <c r="U59" i="6"/>
  <c r="U51" i="6"/>
  <c r="U50" i="6"/>
  <c r="U49" i="6"/>
  <c r="U48" i="6"/>
  <c r="U47" i="6"/>
  <c r="U38" i="6"/>
  <c r="U37" i="6"/>
  <c r="U36" i="6"/>
  <c r="U35" i="6"/>
  <c r="U34" i="6"/>
  <c r="U25" i="6"/>
  <c r="U24" i="6"/>
  <c r="U23" i="6"/>
  <c r="U22" i="6"/>
  <c r="U21" i="6"/>
  <c r="J64" i="6"/>
  <c r="J63" i="6"/>
  <c r="J62" i="6"/>
  <c r="J61" i="6"/>
  <c r="J60" i="6"/>
  <c r="J51" i="6"/>
  <c r="J50" i="6"/>
  <c r="J49" i="6"/>
  <c r="J48" i="6"/>
  <c r="J47" i="6"/>
  <c r="J39" i="6"/>
  <c r="J38" i="6"/>
  <c r="J37" i="6"/>
  <c r="J36" i="6"/>
  <c r="J35" i="6"/>
  <c r="J26" i="6"/>
  <c r="J25" i="6"/>
  <c r="J24" i="6"/>
  <c r="J23" i="6"/>
  <c r="H8" i="2" l="1"/>
  <c r="H12" i="2"/>
  <c r="H11" i="2"/>
  <c r="H10" i="2"/>
  <c r="H9" i="2"/>
  <c r="M6" i="1"/>
  <c r="M3" i="1"/>
  <c r="M4" i="1"/>
  <c r="M5"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2" i="1"/>
  <c r="B14" i="3" l="1"/>
  <c r="C13" i="3" s="1"/>
  <c r="B7" i="3"/>
  <c r="C5" i="3" s="1"/>
  <c r="C6" i="3"/>
  <c r="C12" i="3"/>
  <c r="H7" i="2"/>
  <c r="H6" i="2"/>
  <c r="H5" i="2"/>
  <c r="C11" i="3" l="1"/>
  <c r="C14" i="3"/>
  <c r="C7" i="3"/>
</calcChain>
</file>

<file path=xl/sharedStrings.xml><?xml version="1.0" encoding="utf-8"?>
<sst xmlns="http://schemas.openxmlformats.org/spreadsheetml/2006/main" count="15886" uniqueCount="6455">
  <si>
    <t>Track</t>
  </si>
  <si>
    <t>Artist</t>
  </si>
  <si>
    <t>Release Date</t>
  </si>
  <si>
    <t>Spotify Streams</t>
  </si>
  <si>
    <t>Spotify Playlist Count</t>
  </si>
  <si>
    <t>Spotify Popularity</t>
  </si>
  <si>
    <t>YouTube Views</t>
  </si>
  <si>
    <t>YouTube Likes</t>
  </si>
  <si>
    <t>TikTok Views</t>
  </si>
  <si>
    <t>Apple Music Playlist Count</t>
  </si>
  <si>
    <t>SiriusXM Spins</t>
  </si>
  <si>
    <t>Explicit Track</t>
  </si>
  <si>
    <t>Date Grouped</t>
  </si>
  <si>
    <t>Source transparency</t>
  </si>
  <si>
    <r>
      <t xml:space="preserve">Nidula Elgiriyewithana. (2024). </t>
    </r>
    <r>
      <rPr>
        <i/>
        <sz val="11"/>
        <color theme="1"/>
        <rFont val="Calibri"/>
        <family val="2"/>
      </rPr>
      <t>Most Streamed Spotify Songs 2024</t>
    </r>
    <r>
      <rPr>
        <sz val="11"/>
        <color theme="1"/>
        <rFont val="Calibri"/>
        <family val="2"/>
      </rPr>
      <t>. Kaggle.Com. https://www.kaggle.com/datasets/nelgiriyewithana/most-streamed-spotify-songs-2024</t>
    </r>
  </si>
  <si>
    <t>MILLION DOLLAR BABY</t>
  </si>
  <si>
    <t>Tommy Richman</t>
  </si>
  <si>
    <t xml:space="preserve">We downloaded this data set from Kaggle. </t>
  </si>
  <si>
    <t>Not Like Us</t>
  </si>
  <si>
    <t>Kendrick Lamar</t>
  </si>
  <si>
    <t>https://www.kaggle.com/datasets/nelgiriyewithana/most-streamed-spotify-songs-2024</t>
  </si>
  <si>
    <t>i like the way you kiss me</t>
  </si>
  <si>
    <t>Artemas</t>
  </si>
  <si>
    <t>Flowers</t>
  </si>
  <si>
    <t>Miley Cyrus</t>
  </si>
  <si>
    <t>Key variable =</t>
  </si>
  <si>
    <t xml:space="preserve">TikTok views </t>
  </si>
  <si>
    <t>Houdini</t>
  </si>
  <si>
    <t>Eminem</t>
  </si>
  <si>
    <t>Lovin On Me</t>
  </si>
  <si>
    <t>Jack Harlow</t>
  </si>
  <si>
    <t>Beautiful Things</t>
  </si>
  <si>
    <t>Benson Boone</t>
  </si>
  <si>
    <t>Roles</t>
  </si>
  <si>
    <t>Gata Only</t>
  </si>
  <si>
    <t>FloyyMenor</t>
  </si>
  <si>
    <t>Julia</t>
  </si>
  <si>
    <t xml:space="preserve">My role in this data was finding the data set and creating the new variable for the date grouping. </t>
  </si>
  <si>
    <t>Danza Kuduro - Cover</t>
  </si>
  <si>
    <t>MUSIC LAB JPN</t>
  </si>
  <si>
    <t>Jordan</t>
  </si>
  <si>
    <t xml:space="preserve">I helped choose the variables that we decided to focus on in the data set. </t>
  </si>
  <si>
    <t>BAND4BAND (feat. Lil Baby)</t>
  </si>
  <si>
    <t>Central Cee</t>
  </si>
  <si>
    <t>Arham</t>
  </si>
  <si>
    <t>My role in this project was to create an idea for our project using music data and confirm the variables we are using for our analysis</t>
  </si>
  <si>
    <t>I Had Some Help (feat. Morgan Wallen)</t>
  </si>
  <si>
    <t>Post Malone</t>
  </si>
  <si>
    <t>The Door</t>
  </si>
  <si>
    <t>Teddy Swims</t>
  </si>
  <si>
    <t>LUNCH</t>
  </si>
  <si>
    <t>Billie Eilish</t>
  </si>
  <si>
    <t>Like That</t>
  </si>
  <si>
    <t>Future</t>
  </si>
  <si>
    <t>Motivation and Goal</t>
  </si>
  <si>
    <t xml:space="preserve">Initially, we chose to decipher a data set about music analytics because of the practical real world use of the music industry. More or less, everyone is interested in many aspects of music, including creation and consumption. Our purpose of choosing Tiktok analytics as our main variable is due to the emergence of the application as a tool to promote new artists/music, compared to other older social media platforms. We are interested in finding out the relationship between platforms such as Instagram, Soundcloud, and spotify against Tiktok and see what viable relationships we can understand from  reading the patterns existing in our data set. </t>
  </si>
  <si>
    <t>bathroom floor</t>
  </si>
  <si>
    <t>Kids With Buns</t>
  </si>
  <si>
    <t>LALA</t>
  </si>
  <si>
    <t>Myke Towers</t>
  </si>
  <si>
    <t>Fortnight (feat. Post Malone)</t>
  </si>
  <si>
    <t>Taylor Swift</t>
  </si>
  <si>
    <t>greedy</t>
  </si>
  <si>
    <t>Tate McRae</t>
  </si>
  <si>
    <t>BLUE</t>
  </si>
  <si>
    <t>As It Was</t>
  </si>
  <si>
    <t>Harry Styles</t>
  </si>
  <si>
    <t>Paint The Town Red</t>
  </si>
  <si>
    <t>Doja Cat</t>
  </si>
  <si>
    <t>Espresso</t>
  </si>
  <si>
    <t>Sabrina Carpenter</t>
  </si>
  <si>
    <t>TEXAS HOLD 'EM</t>
  </si>
  <si>
    <t>Beyoncï¿</t>
  </si>
  <si>
    <t>official sound studio</t>
  </si>
  <si>
    <t>Beat Automotivo Tan Tan Tan Viral</t>
  </si>
  <si>
    <t>WZ Beat</t>
  </si>
  <si>
    <t>STAY (with Justin Bieber)</t>
  </si>
  <si>
    <t>The Kid LAROI</t>
  </si>
  <si>
    <t>Baby Shark</t>
  </si>
  <si>
    <t>Pinkfong</t>
  </si>
  <si>
    <t>we can't be friends (wait for your love)</t>
  </si>
  <si>
    <t>Ariana Grande</t>
  </si>
  <si>
    <t>Numb / Encore</t>
  </si>
  <si>
    <t>JAY-Z</t>
  </si>
  <si>
    <t>LOVE BGM JPN</t>
  </si>
  <si>
    <t>SHEESH</t>
  </si>
  <si>
    <t>BABYMONSTER</t>
  </si>
  <si>
    <t>Water</t>
  </si>
  <si>
    <t>Tyla</t>
  </si>
  <si>
    <t>Strangers</t>
  </si>
  <si>
    <t>Kenya Grace</t>
  </si>
  <si>
    <t>Too Sweet</t>
  </si>
  <si>
    <t>Hozier</t>
  </si>
  <si>
    <t>What's Love Got to Do with It - 2023 Remaster</t>
  </si>
  <si>
    <t>Tina Turner</t>
  </si>
  <si>
    <t>A Bar Song (Tipsy)</t>
  </si>
  <si>
    <t>Shaboozey</t>
  </si>
  <si>
    <t>Lose Control</t>
  </si>
  <si>
    <t>fukumean</t>
  </si>
  <si>
    <t>Gunna</t>
  </si>
  <si>
    <t>Dance Monkey</t>
  </si>
  <si>
    <t>Tones And I</t>
  </si>
  <si>
    <t>BIRDS OF A FEATHER</t>
  </si>
  <si>
    <t>Cupid ï¿½ï¿½ï¿½ Twin Ver. (FIFTY FIFTY) ï¿½ï¿½ï¿½ Spe</t>
  </si>
  <si>
    <t>sped up 8282</t>
  </si>
  <si>
    <t>I'm Good (Blue)</t>
  </si>
  <si>
    <t>David Guetta</t>
  </si>
  <si>
    <t>Daylight</t>
  </si>
  <si>
    <t>David Kushner</t>
  </si>
  <si>
    <t>My Love Mine All Mine</t>
  </si>
  <si>
    <t>Mitski</t>
  </si>
  <si>
    <t>Please Please Please</t>
  </si>
  <si>
    <t>Dua Lipa</t>
  </si>
  <si>
    <t>If We Ever Broke Up</t>
  </si>
  <si>
    <t>Mae Stephens</t>
  </si>
  <si>
    <t>Despacito</t>
  </si>
  <si>
    <t>Luis Fonsi</t>
  </si>
  <si>
    <t>euphoria</t>
  </si>
  <si>
    <t>Panda Basi</t>
  </si>
  <si>
    <t>Mvua</t>
  </si>
  <si>
    <t>Calm Down (with Selena Gomez)</t>
  </si>
  <si>
    <t>Rema</t>
  </si>
  <si>
    <t>Shape of You</t>
  </si>
  <si>
    <t>Ed Sheeran</t>
  </si>
  <si>
    <t>Mitu</t>
  </si>
  <si>
    <t>Maian</t>
  </si>
  <si>
    <t>Blinding Lights</t>
  </si>
  <si>
    <t>The Weeknd</t>
  </si>
  <si>
    <t>Creepin' (with The Weeknd &amp; 21 Savage)</t>
  </si>
  <si>
    <t>Metro Boomin</t>
  </si>
  <si>
    <t>Dona Felicidade</t>
  </si>
  <si>
    <t>Patati Patatï¿</t>
  </si>
  <si>
    <t>Unholy (feat. Kim Petras)</t>
  </si>
  <si>
    <t>Sam Smith</t>
  </si>
  <si>
    <t>Stereo Love - Melodic</t>
  </si>
  <si>
    <t>Edward Maya</t>
  </si>
  <si>
    <t>Very Cute Melody by Marimba Tone (39813)</t>
  </si>
  <si>
    <t>mitsu sound</t>
  </si>
  <si>
    <t>Supernova</t>
  </si>
  <si>
    <t>aespa</t>
  </si>
  <si>
    <t>Me Porto Bonito</t>
  </si>
  <si>
    <t>Bad Bunny</t>
  </si>
  <si>
    <t>Back That Azz Up (feat. Lil Wayne &amp; Mannie Fresh)</t>
  </si>
  <si>
    <t>JUVENILE</t>
  </si>
  <si>
    <t>Calm Down</t>
  </si>
  <si>
    <t>CARNIVAL</t>
  </si>
  <si>
    <t>ýý$</t>
  </si>
  <si>
    <t>Kill Bill</t>
  </si>
  <si>
    <t>SZA</t>
  </si>
  <si>
    <t>What Was I Made For? [From The Motion Picture "Barbie"]</t>
  </si>
  <si>
    <t>Babba</t>
  </si>
  <si>
    <t>Guy Mac</t>
  </si>
  <si>
    <t>Heat Waves</t>
  </si>
  <si>
    <t>Glass Animals</t>
  </si>
  <si>
    <t>In the End</t>
  </si>
  <si>
    <t>Linkin Park</t>
  </si>
  <si>
    <t>Shakira: Bzrp Music Sessions, Vol. 53</t>
  </si>
  <si>
    <t>Bizarrap</t>
  </si>
  <si>
    <t>The Way We Move - Extended Mix</t>
  </si>
  <si>
    <t>PowerDress</t>
  </si>
  <si>
    <t>Old Town Road</t>
  </si>
  <si>
    <t>Lil Nas X</t>
  </si>
  <si>
    <t>un x100to</t>
  </si>
  <si>
    <t>Grupo Frontera</t>
  </si>
  <si>
    <t>Laxed ï¿½ï¿½ï¿½ Sire</t>
  </si>
  <si>
    <t>Jawsh 685</t>
  </si>
  <si>
    <t>Sprinter</t>
  </si>
  <si>
    <t>Dave</t>
  </si>
  <si>
    <t>CHIHIRO</t>
  </si>
  <si>
    <t>TQG</t>
  </si>
  <si>
    <t>KAROL G</t>
  </si>
  <si>
    <t>Perfect</t>
  </si>
  <si>
    <t>Pepas</t>
  </si>
  <si>
    <t>Farruko</t>
  </si>
  <si>
    <t>Peekaboo</t>
  </si>
  <si>
    <t>Dave Angel</t>
  </si>
  <si>
    <t>Ella Baila Sola</t>
  </si>
  <si>
    <t>Eslabon Armado</t>
  </si>
  <si>
    <t>Dance The Night - From Barbie The Album</t>
  </si>
  <si>
    <t>La Bebe - Remix</t>
  </si>
  <si>
    <t>Yng Lvcas</t>
  </si>
  <si>
    <t>redrum</t>
  </si>
  <si>
    <t>21 Savage</t>
  </si>
  <si>
    <t>Easy On Me</t>
  </si>
  <si>
    <t>Adele</t>
  </si>
  <si>
    <t>Titï¿½ï¿½ Me Pregu</t>
  </si>
  <si>
    <t>All My Life (feat. J. Cole)</t>
  </si>
  <si>
    <t>Lil Durk</t>
  </si>
  <si>
    <t>Anti-Hero</t>
  </si>
  <si>
    <t>Quevedo: Bzrp Music Sessions, Vol. 52</t>
  </si>
  <si>
    <t>Magnetic</t>
  </si>
  <si>
    <t>ILLIT</t>
  </si>
  <si>
    <t>Lollipop</t>
  </si>
  <si>
    <t>Darell</t>
  </si>
  <si>
    <t>La Diabla</t>
  </si>
  <si>
    <t>Xavi</t>
  </si>
  <si>
    <t>Boy's a Liar Pt. 2</t>
  </si>
  <si>
    <t>PinkPantheress</t>
  </si>
  <si>
    <t>Snooze</t>
  </si>
  <si>
    <t>BELLAKEO</t>
  </si>
  <si>
    <t>Peso Pluma</t>
  </si>
  <si>
    <t>Agora Hills</t>
  </si>
  <si>
    <t>Prada</t>
  </si>
  <si>
    <t>cassï¿</t>
  </si>
  <si>
    <t>Montagem Rave Eterno</t>
  </si>
  <si>
    <t>Dj Samir</t>
  </si>
  <si>
    <t>Lil Boo Thang</t>
  </si>
  <si>
    <t>Paul Russell</t>
  </si>
  <si>
    <t>MONACO</t>
  </si>
  <si>
    <t>Laxed (Siren Beat)</t>
  </si>
  <si>
    <t>(It Goes Like) Nanana - Edit</t>
  </si>
  <si>
    <t>Peggy Gou</t>
  </si>
  <si>
    <t>Training Season</t>
  </si>
  <si>
    <t>Type Shit</t>
  </si>
  <si>
    <t>Armageddon</t>
  </si>
  <si>
    <t>The Box</t>
  </si>
  <si>
    <t>Roddy Ricch</t>
  </si>
  <si>
    <t>INDUSTRY BABY (feat. Jack Harlow)</t>
  </si>
  <si>
    <t>Pedro</t>
  </si>
  <si>
    <t>Jaxomy</t>
  </si>
  <si>
    <t>Fast Car</t>
  </si>
  <si>
    <t>Luke Combs</t>
  </si>
  <si>
    <t>Bling-Bang-Bang-Born</t>
  </si>
  <si>
    <t>Creepy Nuts</t>
  </si>
  <si>
    <t>Aesthetic</t>
  </si>
  <si>
    <t>Tollan Kim</t>
  </si>
  <si>
    <t>Sunflower - Spider-Man: Into the Spider-Verse</t>
  </si>
  <si>
    <t>Hands</t>
  </si>
  <si>
    <t>Dianï¿½</t>
  </si>
  <si>
    <t>Saturn</t>
  </si>
  <si>
    <t>Chegou a Hora de Ir para Cama (Playback)</t>
  </si>
  <si>
    <t>3 Palavrinhas</t>
  </si>
  <si>
    <t>Believer</t>
  </si>
  <si>
    <t>Imagine Dragons</t>
  </si>
  <si>
    <t>WAIT FOR U (feat. Drake &amp; Tems)</t>
  </si>
  <si>
    <t>I KNOW ?</t>
  </si>
  <si>
    <t>Travis Scott</t>
  </si>
  <si>
    <t>ANDO</t>
  </si>
  <si>
    <t>Jere Klein</t>
  </si>
  <si>
    <t>First Class</t>
  </si>
  <si>
    <t>FE!N</t>
  </si>
  <si>
    <t>Save Your Tears - Live</t>
  </si>
  <si>
    <t>Losing Interest - Original Mix</t>
  </si>
  <si>
    <t>Goovex</t>
  </si>
  <si>
    <t>I Ain't Worried</t>
  </si>
  <si>
    <t>OneRepublic</t>
  </si>
  <si>
    <t>MI EX TENï¿½ï¿½A RA</t>
  </si>
  <si>
    <t>Drained of Color</t>
  </si>
  <si>
    <t>Exhumed</t>
  </si>
  <si>
    <t>Mood (feat. iann dior)</t>
  </si>
  <si>
    <t>24kGoldn</t>
  </si>
  <si>
    <t>Dynamite</t>
  </si>
  <si>
    <t>BTS</t>
  </si>
  <si>
    <t>Looking Like a Wow End of Year 2023</t>
  </si>
  <si>
    <t>WasteLand</t>
  </si>
  <si>
    <t>Someone You Loved</t>
  </si>
  <si>
    <t>Lewis Capaldi</t>
  </si>
  <si>
    <t>Acrï¿½ï¿½s</t>
  </si>
  <si>
    <t>Shakira</t>
  </si>
  <si>
    <t>Made You Look</t>
  </si>
  <si>
    <t>Meghan Trainor</t>
  </si>
  <si>
    <t>PHONK BRASILEIRO FRESCO (Slowed + Reverb)</t>
  </si>
  <si>
    <t>DJ MOIGUS</t>
  </si>
  <si>
    <t>Sooseki (From "Pushpa 2 The Rule") [TELUGU]</t>
  </si>
  <si>
    <t>Shreya Ghoshal</t>
  </si>
  <si>
    <t>vampire</t>
  </si>
  <si>
    <t>Olivia Rodrigo</t>
  </si>
  <si>
    <t>Casca de Bala</t>
  </si>
  <si>
    <t>Thullio Milionï¿½ï¿</t>
  </si>
  <si>
    <t>Back</t>
  </si>
  <si>
    <t>LOLA</t>
  </si>
  <si>
    <t>People</t>
  </si>
  <si>
    <t>Libianca</t>
  </si>
  <si>
    <t>Jedag Jedug Capcut 2024</t>
  </si>
  <si>
    <t>Afrian Af</t>
  </si>
  <si>
    <t>Lady Killers II (Christoph Andersson Remix)</t>
  </si>
  <si>
    <t>G-Eazy</t>
  </si>
  <si>
    <t>I Don't Wanna Wait</t>
  </si>
  <si>
    <t>Abc</t>
  </si>
  <si>
    <t>J Ross</t>
  </si>
  <si>
    <t>La Bachata</t>
  </si>
  <si>
    <t>Manuel Turizo</t>
  </si>
  <si>
    <t>ýýýýýýýýýýýýýýýýýýýýý</t>
  </si>
  <si>
    <t>FLI:P</t>
  </si>
  <si>
    <t>Peaches (feat. Daniel Caesar &amp; Giveon)</t>
  </si>
  <si>
    <t>Justin Bieber</t>
  </si>
  <si>
    <t>Don't Start Now</t>
  </si>
  <si>
    <t>Lucid Dreams</t>
  </si>
  <si>
    <t>Juice WRLD</t>
  </si>
  <si>
    <t>PROVENZA</t>
  </si>
  <si>
    <t>WAP (feat. Megan Thee Stallion)</t>
  </si>
  <si>
    <t>Cardi B</t>
  </si>
  <si>
    <t>SPOT!</t>
  </si>
  <si>
    <t>ZICO</t>
  </si>
  <si>
    <t>Family Matters</t>
  </si>
  <si>
    <t>Drake</t>
  </si>
  <si>
    <t>Again</t>
  </si>
  <si>
    <t>Kurochuu</t>
  </si>
  <si>
    <t>Seven (feat. Latto) (Explicit Ver.)</t>
  </si>
  <si>
    <t>Jung Kook</t>
  </si>
  <si>
    <t>Last Night</t>
  </si>
  <si>
    <t>Morgan Wallen</t>
  </si>
  <si>
    <t>Bad Habits</t>
  </si>
  <si>
    <t>QLONA</t>
  </si>
  <si>
    <t>Leave The Door Open</t>
  </si>
  <si>
    <t>Bruno Mars</t>
  </si>
  <si>
    <t>ýýýýýýýýýýýýýýýýýý</t>
  </si>
  <si>
    <t>ýýýýýýýýýýýýýýý(ýýýýýýýýýýýýýýý)</t>
  </si>
  <si>
    <t>good 4 u</t>
  </si>
  <si>
    <t>bad guy</t>
  </si>
  <si>
    <t>Seï¿½ï¿½o</t>
  </si>
  <si>
    <t>Shawn Mendes</t>
  </si>
  <si>
    <t>DESPECHï¿</t>
  </si>
  <si>
    <t>ROSALï¿½</t>
  </si>
  <si>
    <t>ROCKSTAR (feat. Roddy Ricch)</t>
  </si>
  <si>
    <t>DaBaby</t>
  </si>
  <si>
    <t>Eyes Closed</t>
  </si>
  <si>
    <t>I Remember Everything (feat. Kacey Musgraves)</t>
  </si>
  <si>
    <t>Zach Bryan</t>
  </si>
  <si>
    <t>Circles</t>
  </si>
  <si>
    <t>EL AMOR DE SU VIDA</t>
  </si>
  <si>
    <t>About Damn Time</t>
  </si>
  <si>
    <t>Lizzo</t>
  </si>
  <si>
    <t>Closer</t>
  </si>
  <si>
    <t>The Chainsmokers</t>
  </si>
  <si>
    <t>FLOWER</t>
  </si>
  <si>
    <t>JISOO</t>
  </si>
  <si>
    <t>PERRO NEGRO</t>
  </si>
  <si>
    <t>Rich Baby Daddy (feat. Sexyy Red &amp; SZA)</t>
  </si>
  <si>
    <t>Havana (feat. Young Thug)</t>
  </si>
  <si>
    <t>Camila Cabello</t>
  </si>
  <si>
    <t>LUNA</t>
  </si>
  <si>
    <t>Feid</t>
  </si>
  <si>
    <t>I Like You (A Happier Song) (with Doja Cat)</t>
  </si>
  <si>
    <t>Bones</t>
  </si>
  <si>
    <t>Segï¿½ï¿½n Qu</t>
  </si>
  <si>
    <t>Maluma</t>
  </si>
  <si>
    <t>Selfish</t>
  </si>
  <si>
    <t>Justin Timberlake</t>
  </si>
  <si>
    <t>golden hour</t>
  </si>
  <si>
    <t>JVKE</t>
  </si>
  <si>
    <t>Levitating (feat. DaBaby)</t>
  </si>
  <si>
    <t>Get It Sexyy</t>
  </si>
  <si>
    <t>Sexyy Red</t>
  </si>
  <si>
    <t>This Wish - From "Wish"</t>
  </si>
  <si>
    <t>Ariana DeBose</t>
  </si>
  <si>
    <t>IDGAF (feat. Yeat)</t>
  </si>
  <si>
    <t>Ojitos Lindos</t>
  </si>
  <si>
    <t>Life Is Good (feat. Drake)</t>
  </si>
  <si>
    <t>Escapism.</t>
  </si>
  <si>
    <t>RAYE</t>
  </si>
  <si>
    <t>Stargazing</t>
  </si>
  <si>
    <t>Myles Smith</t>
  </si>
  <si>
    <t>Jimmy Cooks (feat. 21 Savage)</t>
  </si>
  <si>
    <t>What You Know Bout Love</t>
  </si>
  <si>
    <t>Pop Smoke</t>
  </si>
  <si>
    <t>Memories</t>
  </si>
  <si>
    <t>Maroon 5</t>
  </si>
  <si>
    <t>Classy 101</t>
  </si>
  <si>
    <t>Whatever</t>
  </si>
  <si>
    <t>Kygo</t>
  </si>
  <si>
    <t>Whatever She Wants</t>
  </si>
  <si>
    <t>Bryson Tiller</t>
  </si>
  <si>
    <t>Vois sur ton chemin - Techno Mix</t>
  </si>
  <si>
    <t>BENNETT</t>
  </si>
  <si>
    <t>yes, and?</t>
  </si>
  <si>
    <t>Without Me</t>
  </si>
  <si>
    <t>Halsey</t>
  </si>
  <si>
    <t>meet the grahams</t>
  </si>
  <si>
    <t>First Person Shooter (feat. J. Cole)</t>
  </si>
  <si>
    <t>Shallow</t>
  </si>
  <si>
    <t>Lady Gaga</t>
  </si>
  <si>
    <t>Thunder</t>
  </si>
  <si>
    <t>Rush</t>
  </si>
  <si>
    <t>Ayra Starr</t>
  </si>
  <si>
    <t>abcdefu</t>
  </si>
  <si>
    <t>GAYLE</t>
  </si>
  <si>
    <t>Buga</t>
  </si>
  <si>
    <t>Kizz Daniel</t>
  </si>
  <si>
    <t>Bad Habit</t>
  </si>
  <si>
    <t>Steve Lacy</t>
  </si>
  <si>
    <t>MONEY</t>
  </si>
  <si>
    <t>LISA</t>
  </si>
  <si>
    <t>Columbia</t>
  </si>
  <si>
    <t>Quevedo</t>
  </si>
  <si>
    <t>LADY GAGA</t>
  </si>
  <si>
    <t>Woman</t>
  </si>
  <si>
    <t>CUFF IT</t>
  </si>
  <si>
    <t>KING KONG</t>
  </si>
  <si>
    <t>TREASURE</t>
  </si>
  <si>
    <t>How You Like That</t>
  </si>
  <si>
    <t>BLACKPINK</t>
  </si>
  <si>
    <t>Milf Song</t>
  </si>
  <si>
    <t>The Puddleducks</t>
  </si>
  <si>
    <t>Nasty</t>
  </si>
  <si>
    <t>Tinashe</t>
  </si>
  <si>
    <t>Superhero (Heroes &amp; Villains)</t>
  </si>
  <si>
    <t>Panda</t>
  </si>
  <si>
    <t>Desiigner</t>
  </si>
  <si>
    <t>Push Ups</t>
  </si>
  <si>
    <t>Tattoo</t>
  </si>
  <si>
    <t>Loreen</t>
  </si>
  <si>
    <t>Kiss Me More (feat. SZA)</t>
  </si>
  <si>
    <t>What It Is (Block Boy) (with Kodak Black)</t>
  </si>
  <si>
    <t>Doechii</t>
  </si>
  <si>
    <t>Illusion</t>
  </si>
  <si>
    <t>drivers license</t>
  </si>
  <si>
    <t>Used To Be Young</t>
  </si>
  <si>
    <t>Cupid - Twin Ver.</t>
  </si>
  <si>
    <t>FIFTY FIFTY</t>
  </si>
  <si>
    <t>How Sweet</t>
  </si>
  <si>
    <t>NewJeans</t>
  </si>
  <si>
    <t>Players</t>
  </si>
  <si>
    <t>Coi Leray</t>
  </si>
  <si>
    <t>rockstar (feat. 21 Savage)</t>
  </si>
  <si>
    <t>Lil Somethin Somethin</t>
  </si>
  <si>
    <t>Vayah</t>
  </si>
  <si>
    <t>Con Calma</t>
  </si>
  <si>
    <t>Daddy Yankee</t>
  </si>
  <si>
    <t>Here With Me</t>
  </si>
  <si>
    <t>d4vd</t>
  </si>
  <si>
    <t>Favorite Song</t>
  </si>
  <si>
    <t>Toosii</t>
  </si>
  <si>
    <t>Si No Quieres No</t>
  </si>
  <si>
    <t>Luis R Conriquez</t>
  </si>
  <si>
    <t>Mele Kalikimaka</t>
  </si>
  <si>
    <t>Bing Crosby</t>
  </si>
  <si>
    <t>MONTERO (Call Me By Your Name)</t>
  </si>
  <si>
    <t>Voz Emplumada del Monte</t>
  </si>
  <si>
    <t>Biomigrant</t>
  </si>
  <si>
    <t>Is It Over Now? (Taylor's Version) (From The Vault)</t>
  </si>
  <si>
    <t>Si No Estï¿½</t>
  </si>
  <si>
    <t>iï¿½ï¿½igo quin</t>
  </si>
  <si>
    <t>Glimpse of Us</t>
  </si>
  <si>
    <t>Joji</t>
  </si>
  <si>
    <t>Watermelon Sugar</t>
  </si>
  <si>
    <t>Corazï¿½ï¿½n de Pi</t>
  </si>
  <si>
    <t>Praise Jah In The Moonlight</t>
  </si>
  <si>
    <t>YG Marley</t>
  </si>
  <si>
    <t>WHERE SHE GOES</t>
  </si>
  <si>
    <t>Yandel 150</t>
  </si>
  <si>
    <t>Yandel</t>
  </si>
  <si>
    <t>THATS WHAT I WANT</t>
  </si>
  <si>
    <t>Todo De Ti</t>
  </si>
  <si>
    <t>Rauw Alejandro</t>
  </si>
  <si>
    <t>Chemical</t>
  </si>
  <si>
    <t>See You Again (feat. Charlie Puth)</t>
  </si>
  <si>
    <t>Wiz Khalifa</t>
  </si>
  <si>
    <t>Drip Too Hard (Lil Baby &amp; Gunna)</t>
  </si>
  <si>
    <t>Lil Baby</t>
  </si>
  <si>
    <t>Shooting Star</t>
  </si>
  <si>
    <t>Kep1er</t>
  </si>
  <si>
    <t>Uptown Funk</t>
  </si>
  <si>
    <t>Mark Ronson</t>
  </si>
  <si>
    <t>Dog's Plan</t>
  </si>
  <si>
    <t>David Jackson</t>
  </si>
  <si>
    <t>love nwantiti (ah ah ah)</t>
  </si>
  <si>
    <t>CKay</t>
  </si>
  <si>
    <t>Mi Gente</t>
  </si>
  <si>
    <t>J Balvin</t>
  </si>
  <si>
    <t>Late Night Talking</t>
  </si>
  <si>
    <t>Miss You</t>
  </si>
  <si>
    <t>Oliver Tree</t>
  </si>
  <si>
    <t>girls like me don't cry</t>
  </si>
  <si>
    <t>thï¿½ï</t>
  </si>
  <si>
    <t>Yummy Fruits and Vegetables</t>
  </si>
  <si>
    <t>D Billions</t>
  </si>
  <si>
    <t>Dakiti</t>
  </si>
  <si>
    <t>Starboy</t>
  </si>
  <si>
    <t>Sorry</t>
  </si>
  <si>
    <t>Calling My Phone</t>
  </si>
  <si>
    <t>Lil Tjay</t>
  </si>
  <si>
    <t>Pink Venom</t>
  </si>
  <si>
    <t>I Can Do It With a Broken Heart</t>
  </si>
  <si>
    <t>death bed (coffee for your head)</t>
  </si>
  <si>
    <t>Powfu</t>
  </si>
  <si>
    <t>Too Many Nights (feat. Don Toliver &amp; with Future)</t>
  </si>
  <si>
    <t>MELTDOWN (feat. Drake)</t>
  </si>
  <si>
    <t>California Gurls</t>
  </si>
  <si>
    <t>Katy Perry</t>
  </si>
  <si>
    <t>Moscow Mule</t>
  </si>
  <si>
    <t>Something Just Like This</t>
  </si>
  <si>
    <t>7 rings</t>
  </si>
  <si>
    <t>Moonlight</t>
  </si>
  <si>
    <t>Kali Uchis</t>
  </si>
  <si>
    <t>Savage Love (Laxed - Siren Beat)</t>
  </si>
  <si>
    <t>Bidi Bidi Bom Bom (Remasterizado 2024/30th Anniversary)</t>
  </si>
  <si>
    <t>Selena</t>
  </si>
  <si>
    <t>God's Plan</t>
  </si>
  <si>
    <t>Sunroof</t>
  </si>
  <si>
    <t>Nicky Youre</t>
  </si>
  <si>
    <t>La Vï¿½ï¿½c</t>
  </si>
  <si>
    <t>MY EYES</t>
  </si>
  <si>
    <t>WORK</t>
  </si>
  <si>
    <t>ATEEZ</t>
  </si>
  <si>
    <t>Despacito - Remix</t>
  </si>
  <si>
    <t>Ghost</t>
  </si>
  <si>
    <t>Dior</t>
  </si>
  <si>
    <t>New Baby Shark</t>
  </si>
  <si>
    <t>Breakeven</t>
  </si>
  <si>
    <t>The Script</t>
  </si>
  <si>
    <t>Una Noche en Medellï¿½</t>
  </si>
  <si>
    <t>Cris Mj</t>
  </si>
  <si>
    <t>SAD!</t>
  </si>
  <si>
    <t>XXXTENTACION</t>
  </si>
  <si>
    <t>Primera Cita</t>
  </si>
  <si>
    <t>Carin Leon</t>
  </si>
  <si>
    <t>Efecto</t>
  </si>
  <si>
    <t>Dame Tu Cosita</t>
  </si>
  <si>
    <t>El Chombo</t>
  </si>
  <si>
    <t>Bï¿½ï¿½nï¿½ï¿½ï¿½ï¿½os Que Nï¿½ï¿½o Tï¿½ï¿½m Fim (Co</t>
  </si>
  <si>
    <t>Isadora Pompeo</t>
  </si>
  <si>
    <t>Slow It Down</t>
  </si>
  <si>
    <t>Yonaguni</t>
  </si>
  <si>
    <t>Heathens</t>
  </si>
  <si>
    <t>Twenty One Pilots</t>
  </si>
  <si>
    <t>Whoopty</t>
  </si>
  <si>
    <t>CJ</t>
  </si>
  <si>
    <t>Super Shy</t>
  </si>
  <si>
    <t>Happier</t>
  </si>
  <si>
    <t>Marshmello</t>
  </si>
  <si>
    <t>HARLEY QUINN</t>
  </si>
  <si>
    <t>Fuerza Regida</t>
  </si>
  <si>
    <t>Baby Don't Hurt Me</t>
  </si>
  <si>
    <t>Butter</t>
  </si>
  <si>
    <t>Cinderella</t>
  </si>
  <si>
    <t>Calma - Remix</t>
  </si>
  <si>
    <t>Pedro Capï¿</t>
  </si>
  <si>
    <t>CAN'T STOP THE FEELING! (Original Song From Dreamworks Animation's "Trolls")</t>
  </si>
  <si>
    <t>Say So</t>
  </si>
  <si>
    <t>Ransom</t>
  </si>
  <si>
    <t>Lil Tecca</t>
  </si>
  <si>
    <t>Romantic Homicide</t>
  </si>
  <si>
    <t>Pink Skies</t>
  </si>
  <si>
    <t>Rockabye (feat. Sean Paul &amp; Anne-Marie)</t>
  </si>
  <si>
    <t>Clean Bandit</t>
  </si>
  <si>
    <t>Cool</t>
  </si>
  <si>
    <t>Rich Men North of Richmond</t>
  </si>
  <si>
    <t>Oliver Anthony Music</t>
  </si>
  <si>
    <t>BESO</t>
  </si>
  <si>
    <t>MTG QUEM Nï¿½ï¿½O QUER SO</t>
  </si>
  <si>
    <t>DJ TOPO</t>
  </si>
  <si>
    <t>Que Vuelvas</t>
  </si>
  <si>
    <t>Pretty Green Eyes (Sunset Ibiza Mix)</t>
  </si>
  <si>
    <t>KETTAMA</t>
  </si>
  <si>
    <t>Just Wanna Rock</t>
  </si>
  <si>
    <t>Lil Uzi Vert</t>
  </si>
  <si>
    <t>Mood Swings (feat. Lil Tjay)</t>
  </si>
  <si>
    <t>Fuck Love (feat. Trippie Redd)</t>
  </si>
  <si>
    <t>Rich Flex</t>
  </si>
  <si>
    <t>Standing Next to You</t>
  </si>
  <si>
    <t>Congratulations</t>
  </si>
  <si>
    <t>Do It To It</t>
  </si>
  <si>
    <t>ACRAZE</t>
  </si>
  <si>
    <t>Tusa</t>
  </si>
  <si>
    <t>For The Night (feat. Lil Baby &amp; DaBaby)</t>
  </si>
  <si>
    <t>Good Good</t>
  </si>
  <si>
    <t>USHER</t>
  </si>
  <si>
    <t>Austin</t>
  </si>
  <si>
    <t>Dasha</t>
  </si>
  <si>
    <t>Search &amp; Rescue</t>
  </si>
  <si>
    <t>TULUM</t>
  </si>
  <si>
    <t>Shivers</t>
  </si>
  <si>
    <t>Coup du marteau</t>
  </si>
  <si>
    <t>Tam Sir</t>
  </si>
  <si>
    <t>Adderall (Corvette Corvette)</t>
  </si>
  <si>
    <t>Popp Hunna</t>
  </si>
  <si>
    <t>Full Senyum Sayang</t>
  </si>
  <si>
    <t>Evan Loss</t>
  </si>
  <si>
    <t>Watching Yourself Being Born</t>
  </si>
  <si>
    <t>Blush Response</t>
  </si>
  <si>
    <t>Los del Espacio</t>
  </si>
  <si>
    <t>LIT killah</t>
  </si>
  <si>
    <t>Taste (feat. Offset)</t>
  </si>
  <si>
    <t>Tyga</t>
  </si>
  <si>
    <t>MAMIII</t>
  </si>
  <si>
    <t>Becky G</t>
  </si>
  <si>
    <t>Until I Found You</t>
  </si>
  <si>
    <t>Stephen Sanchez</t>
  </si>
  <si>
    <t>exes</t>
  </si>
  <si>
    <t>Banana (feat. Shaggy)</t>
  </si>
  <si>
    <t>Conkarah</t>
  </si>
  <si>
    <t>Stick Season</t>
  </si>
  <si>
    <t>Noah Kahan</t>
  </si>
  <si>
    <t>Need To Know</t>
  </si>
  <si>
    <t>kompa pasiï¿½</t>
  </si>
  <si>
    <t>ýýýýýýýýýý</t>
  </si>
  <si>
    <t>Quï¿½ï¿½ Ago</t>
  </si>
  <si>
    <t>Yuridia</t>
  </si>
  <si>
    <t>Last Last</t>
  </si>
  <si>
    <t>Burna Boy</t>
  </si>
  <si>
    <t>Ngopi Maszeh</t>
  </si>
  <si>
    <t>Happy Asmara</t>
  </si>
  <si>
    <t>500lbs</t>
  </si>
  <si>
    <t>Knife Talk (with 21 Savage ft. Project Pat)</t>
  </si>
  <si>
    <t>BILLIE EILISH.</t>
  </si>
  <si>
    <t>Armani White</t>
  </si>
  <si>
    <t>ýýýýýýýýýýýý</t>
  </si>
  <si>
    <t>YOASOBI</t>
  </si>
  <si>
    <t xml:space="preserve">Lï¿½ï¿½ï¿½AMOUR DE </t>
  </si>
  <si>
    <t>Thinkinï¿½ï¿½ï¿½ B</t>
  </si>
  <si>
    <t>Madonna</t>
  </si>
  <si>
    <t>Natanael Cano</t>
  </si>
  <si>
    <t>deja vu</t>
  </si>
  <si>
    <t>6. A.M.</t>
  </si>
  <si>
    <t>Azul</t>
  </si>
  <si>
    <t>CONTIGO (with Tiï¿½ï¿½</t>
  </si>
  <si>
    <t>Sequï¿½ï¿½ncia da</t>
  </si>
  <si>
    <t>TRASHXRL</t>
  </si>
  <si>
    <t>WILDFLOWER</t>
  </si>
  <si>
    <t>Doja</t>
  </si>
  <si>
    <t>Kill This Love</t>
  </si>
  <si>
    <t>Lan</t>
  </si>
  <si>
    <t>Zeynep Bastï¿½</t>
  </si>
  <si>
    <t>Good Luck, Babe!</t>
  </si>
  <si>
    <t>Chappell Roan</t>
  </si>
  <si>
    <t>Sweet but Psycho</t>
  </si>
  <si>
    <t>Ava Max</t>
  </si>
  <si>
    <t>Hey Mor</t>
  </si>
  <si>
    <t>Ozuna</t>
  </si>
  <si>
    <t>Ferrari</t>
  </si>
  <si>
    <t>James Hype</t>
  </si>
  <si>
    <t>Falling</t>
  </si>
  <si>
    <t>Trevor Daniel</t>
  </si>
  <si>
    <t>positions</t>
  </si>
  <si>
    <t>Where Are You Now</t>
  </si>
  <si>
    <t>Lost Frequencies</t>
  </si>
  <si>
    <t>Amor Prohibido - Remasterizado 2024/30th Anniversary</t>
  </si>
  <si>
    <t>Save Your Tears</t>
  </si>
  <si>
    <t>Happier Than Ever</t>
  </si>
  <si>
    <t>This Is What You Came For</t>
  </si>
  <si>
    <t>Calvin Harris</t>
  </si>
  <si>
    <t>China</t>
  </si>
  <si>
    <t>Anuel AA</t>
  </si>
  <si>
    <t>Let It Go - From "Frozen"/Soundtrack Version</t>
  </si>
  <si>
    <t>Idina Menzel</t>
  </si>
  <si>
    <t>Smart</t>
  </si>
  <si>
    <t>LE SSERAFIM</t>
  </si>
  <si>
    <t>That's What I Like</t>
  </si>
  <si>
    <t>Commando</t>
  </si>
  <si>
    <t>Mavokali</t>
  </si>
  <si>
    <t>The Business</t>
  </si>
  <si>
    <t>Tiï¿½ï¿</t>
  </si>
  <si>
    <t>Ride It</t>
  </si>
  <si>
    <t>Regard</t>
  </si>
  <si>
    <t>Mwaki</t>
  </si>
  <si>
    <t>Zerb</t>
  </si>
  <si>
    <t>BICHOTA</t>
  </si>
  <si>
    <t>Renklensin</t>
  </si>
  <si>
    <t>Reynmen</t>
  </si>
  <si>
    <t>Bad idea</t>
  </si>
  <si>
    <t>writhe</t>
  </si>
  <si>
    <t>daine</t>
  </si>
  <si>
    <t>The Hills</t>
  </si>
  <si>
    <t>Seven (feat. Latto) (Clean Ver.)</t>
  </si>
  <si>
    <t>SKINNY</t>
  </si>
  <si>
    <t>The Girl From Ipanema</t>
  </si>
  <si>
    <t>Stan Getz</t>
  </si>
  <si>
    <t>Te Felicito</t>
  </si>
  <si>
    <t>Que Onda</t>
  </si>
  <si>
    <t>Calle 24</t>
  </si>
  <si>
    <t>Stumblin' In</t>
  </si>
  <si>
    <t>CYRIL</t>
  </si>
  <si>
    <t>STAR WALKIN' (League of Legends Worlds Anthem)</t>
  </si>
  <si>
    <t>Desesperados</t>
  </si>
  <si>
    <t>Young Miko: Bzrp Music Sessions, Vol. 58</t>
  </si>
  <si>
    <t>Sugar</t>
  </si>
  <si>
    <t>I DONï¿½ï¿½ï¿½T WANNA DO THIS A</t>
  </si>
  <si>
    <t>Juliï¿½ï¿½n Kh</t>
  </si>
  <si>
    <t>Igual Que Un ï¿½ï¿½ngel (with Peso Pl</t>
  </si>
  <si>
    <t>Jhoome Jo Pathaan (From "Pathaan") [Arabic Version]</t>
  </si>
  <si>
    <t>Abd El Fattah Grini</t>
  </si>
  <si>
    <t>Old Town Road - Remix</t>
  </si>
  <si>
    <t>Let Me Love You</t>
  </si>
  <si>
    <t>DJ Snake</t>
  </si>
  <si>
    <t>Envolver</t>
  </si>
  <si>
    <t>Anitta</t>
  </si>
  <si>
    <t>Oublie-moi</t>
  </si>
  <si>
    <t>Emkal</t>
  </si>
  <si>
    <t>Malohat</t>
  </si>
  <si>
    <t>Xamdam Sobirov</t>
  </si>
  <si>
    <t>MAESTRO</t>
  </si>
  <si>
    <t>SEVENTEEN</t>
  </si>
  <si>
    <t>NUEVA VIDA</t>
  </si>
  <si>
    <t>you broke me first</t>
  </si>
  <si>
    <t>Relationship (feat. Future)</t>
  </si>
  <si>
    <t>Young Thug</t>
  </si>
  <si>
    <t>Beggin'</t>
  </si>
  <si>
    <t>Mï¿½ï¿½ne</t>
  </si>
  <si>
    <t>Faint</t>
  </si>
  <si>
    <t>Pretty - Sped Up</t>
  </si>
  <si>
    <t>MEYY</t>
  </si>
  <si>
    <t>Hawï¿½</t>
  </si>
  <si>
    <t>LA FALDA</t>
  </si>
  <si>
    <t>act ii: date @ 8</t>
  </si>
  <si>
    <t>4batz</t>
  </si>
  <si>
    <t>Cradles</t>
  </si>
  <si>
    <t>Sub Urban</t>
  </si>
  <si>
    <t>Roses - Imanbek Remix</t>
  </si>
  <si>
    <t>SAINt JHN</t>
  </si>
  <si>
    <t>Angel Numbers / Ten Toes</t>
  </si>
  <si>
    <t>Chris Brown</t>
  </si>
  <si>
    <t>Never Lose Me</t>
  </si>
  <si>
    <t>Flo Milli</t>
  </si>
  <si>
    <t>Reggaeton Champagne</t>
  </si>
  <si>
    <t>Bellakath</t>
  </si>
  <si>
    <t>MASHA ULTRAFUNK</t>
  </si>
  <si>
    <t>HISTED</t>
  </si>
  <si>
    <t>Under The Influence</t>
  </si>
  <si>
    <t>Life Goes On</t>
  </si>
  <si>
    <t>Si Una Vez (Remasterizado 2024/30th Anniversary)</t>
  </si>
  <si>
    <t>BATTER UP</t>
  </si>
  <si>
    <t>SI NO ES CONTIGO</t>
  </si>
  <si>
    <t>Trance (with Travis Scott &amp; Young Thug)</t>
  </si>
  <si>
    <t>Rock and A Hard Place</t>
  </si>
  <si>
    <t>Bailey Zimmerman</t>
  </si>
  <si>
    <t>obsessed</t>
  </si>
  <si>
    <t>Wanna Be</t>
  </si>
  <si>
    <t>GloRilla</t>
  </si>
  <si>
    <t>Don't Let Me Down</t>
  </si>
  <si>
    <t>DDU-DU DDU-DU</t>
  </si>
  <si>
    <t>telepatï¿½</t>
  </si>
  <si>
    <t>Wake Me Up</t>
  </si>
  <si>
    <t>Avicii</t>
  </si>
  <si>
    <t>Overdrive (feat. Norma Jean Martine)</t>
  </si>
  <si>
    <t>Ofenbach</t>
  </si>
  <si>
    <t>Chulo pt.2</t>
  </si>
  <si>
    <t>Bad Gyal</t>
  </si>
  <si>
    <t>All Girls Are The Same</t>
  </si>
  <si>
    <t>Push Up - Main Edit</t>
  </si>
  <si>
    <t>Creeds</t>
  </si>
  <si>
    <t>Kings &amp; Queens</t>
  </si>
  <si>
    <t>Adore You</t>
  </si>
  <si>
    <t>HIGHEST IN THE ROOM</t>
  </si>
  <si>
    <t>UNAVAILABLE (feat. Musa Keys)</t>
  </si>
  <si>
    <t>Davido</t>
  </si>
  <si>
    <t>Million Dollar Baby (Vhs)</t>
  </si>
  <si>
    <t>Taki Taki (feat. Selena Gomez, Ozuna &amp; Cardi B)</t>
  </si>
  <si>
    <t>Chaleya (From "Jawan")</t>
  </si>
  <si>
    <t>Anirudh Ravichander</t>
  </si>
  <si>
    <t>Dreamers [Music from the FIFA World Cup Qatar 2022 Official Soundtrack]</t>
  </si>
  <si>
    <t>ADIVINO</t>
  </si>
  <si>
    <t>THE BOX MEDLEY FUNK 2</t>
  </si>
  <si>
    <t>THE BOX</t>
  </si>
  <si>
    <t>Cruel Summer</t>
  </si>
  <si>
    <t>No Me Queda Mï¿½ï¿½s (Remasterizado 2024/30th Annivers</t>
  </si>
  <si>
    <t>Breathe</t>
  </si>
  <si>
    <t>Yeat</t>
  </si>
  <si>
    <t>Unforgettable</t>
  </si>
  <si>
    <t>French Montana</t>
  </si>
  <si>
    <t>EASY</t>
  </si>
  <si>
    <t>Peso Pluma: Bzrp Music Sessions, Vol. 55</t>
  </si>
  <si>
    <t>Faded</t>
  </si>
  <si>
    <t>Benjamin Richter</t>
  </si>
  <si>
    <t>Lose My Breath (Feat. Charlie Puth)</t>
  </si>
  <si>
    <t>Stray Kids</t>
  </si>
  <si>
    <t>ýýýýýýýýýý ýýýýýýýýýýýý</t>
  </si>
  <si>
    <t>ALEX&amp;RUS</t>
  </si>
  <si>
    <t>Move</t>
  </si>
  <si>
    <t>Adam Port</t>
  </si>
  <si>
    <t>F.N</t>
  </si>
  <si>
    <t>Say You Won't Let Go</t>
  </si>
  <si>
    <t>James Arthur</t>
  </si>
  <si>
    <t>Blank Space</t>
  </si>
  <si>
    <t>Girls Like You</t>
  </si>
  <si>
    <t>HUMBLE.</t>
  </si>
  <si>
    <t>Forget Me</t>
  </si>
  <si>
    <t>Sabka Malik Ek</t>
  </si>
  <si>
    <t>Dada Black Sheep</t>
  </si>
  <si>
    <t>Scared To Start</t>
  </si>
  <si>
    <t>Michael Marcagi</t>
  </si>
  <si>
    <t>Super Freaky Girl</t>
  </si>
  <si>
    <t>Nicki Minaj</t>
  </si>
  <si>
    <t>Miracle (with Ellie Goulding)</t>
  </si>
  <si>
    <t>Somebody That I Used To Know</t>
  </si>
  <si>
    <t>Gotye</t>
  </si>
  <si>
    <t>We Don't Talk Anymore (feat. Selena Gomez)</t>
  </si>
  <si>
    <t>Charlie Puth</t>
  </si>
  <si>
    <t>Oh No</t>
  </si>
  <si>
    <t>Kreepa</t>
  </si>
  <si>
    <t>Pop Out (feat. Lil Tjay)</t>
  </si>
  <si>
    <t>Polo G</t>
  </si>
  <si>
    <t>7 Years</t>
  </si>
  <si>
    <t>Lukas Graham</t>
  </si>
  <si>
    <t>Something in the Orange</t>
  </si>
  <si>
    <t>AMARGURA</t>
  </si>
  <si>
    <t>Happy - From "Despicable Me 2"</t>
  </si>
  <si>
    <t>Pharrell Williams</t>
  </si>
  <si>
    <t>I Wanna Party</t>
  </si>
  <si>
    <t>Bailando Bachata</t>
  </si>
  <si>
    <t>Chayanne</t>
  </si>
  <si>
    <t>La Bebe (Remix) [Apple Music Live]</t>
  </si>
  <si>
    <t>Treat You Better</t>
  </si>
  <si>
    <t>Feliz Cumpleaï¿½ï¿½os Fe</t>
  </si>
  <si>
    <t>Let Her Go</t>
  </si>
  <si>
    <t>Passenger</t>
  </si>
  <si>
    <t>Fall Back</t>
  </si>
  <si>
    <t>Lithe</t>
  </si>
  <si>
    <t>Stressed Out</t>
  </si>
  <si>
    <t>Astronaut In The Ocean</t>
  </si>
  <si>
    <t>Masked Wolf</t>
  </si>
  <si>
    <t>All of Me</t>
  </si>
  <si>
    <t>John Legend</t>
  </si>
  <si>
    <t>Sleepy Hallow</t>
  </si>
  <si>
    <t>Bandit</t>
  </si>
  <si>
    <t>Don Toliver</t>
  </si>
  <si>
    <t>Redbone</t>
  </si>
  <si>
    <t>Childish Gambino</t>
  </si>
  <si>
    <t>Yimmy Yimmy</t>
  </si>
  <si>
    <t>Tayc</t>
  </si>
  <si>
    <t>This Is The Thanks I Get?! - From "Wish"</t>
  </si>
  <si>
    <t>Chris Pine</t>
  </si>
  <si>
    <t>We Don't Talk About Bruno</t>
  </si>
  <si>
    <t>Carolina Gaitï¿½ï¿½n - La G</t>
  </si>
  <si>
    <t>You Proof</t>
  </si>
  <si>
    <t>Enemy (with JID) - from the series Arcane League of Legends</t>
  </si>
  <si>
    <t>Break My Heart</t>
  </si>
  <si>
    <t>Shut Down</t>
  </si>
  <si>
    <t>Regalo De Dios</t>
  </si>
  <si>
    <t>Juliï¿½ï¿½n ï¿½ï¿½lvarez y su Norteï</t>
  </si>
  <si>
    <t>Never Let Go</t>
  </si>
  <si>
    <t>Toyour ï¿½ï¿½ï¿</t>
  </si>
  <si>
    <t>Rasha Nahas</t>
  </si>
  <si>
    <t>Chill Vibes</t>
  </si>
  <si>
    <t>MIA (feat. Drake)</t>
  </si>
  <si>
    <t>Toosie Slide</t>
  </si>
  <si>
    <t>MIENTRAS ME CURO DEL CORA</t>
  </si>
  <si>
    <t>Down Bad</t>
  </si>
  <si>
    <t>Ballin' (with Roddy Ricch)</t>
  </si>
  <si>
    <t>Mustard</t>
  </si>
  <si>
    <t>La llama que Baila</t>
  </si>
  <si>
    <t>El Reino Infantil</t>
  </si>
  <si>
    <t>Ain't No Love In Oklahoma (From Twisters: The Album)</t>
  </si>
  <si>
    <t>Vegas (From the Original Motion Picture Soundtrack ELVIS)</t>
  </si>
  <si>
    <t>El Merengue</t>
  </si>
  <si>
    <t>Made For Me</t>
  </si>
  <si>
    <t>Muni Long</t>
  </si>
  <si>
    <t>Let's Go 4</t>
  </si>
  <si>
    <t>Mc IG</t>
  </si>
  <si>
    <t>TELEKINESIS</t>
  </si>
  <si>
    <t>Daqui pra Sempre</t>
  </si>
  <si>
    <t>Manu</t>
  </si>
  <si>
    <t>Martin &amp; Gina</t>
  </si>
  <si>
    <t>thank u, next</t>
  </si>
  <si>
    <t>One Dance</t>
  </si>
  <si>
    <t>ily (i love you baby) (feat. Emilee)</t>
  </si>
  <si>
    <t>Surf Mesa</t>
  </si>
  <si>
    <t>Hope</t>
  </si>
  <si>
    <t>TRUSTFALL</t>
  </si>
  <si>
    <t>P!nk</t>
  </si>
  <si>
    <t>Intentions (feat. Quavo)</t>
  </si>
  <si>
    <t>PRC</t>
  </si>
  <si>
    <t>Lemonade</t>
  </si>
  <si>
    <t>Internet Money</t>
  </si>
  <si>
    <t>WITHOUT YOU</t>
  </si>
  <si>
    <t>Sensational (feat. Davido &amp; Lojay)</t>
  </si>
  <si>
    <t>LET GO</t>
  </si>
  <si>
    <t>Blister In The Sun</t>
  </si>
  <si>
    <t>Violent Femmes</t>
  </si>
  <si>
    <t>Savage (feat. Beyoncï¿½ï¿½) - R</t>
  </si>
  <si>
    <t>Megan Thee Stallion</t>
  </si>
  <si>
    <t>No Idea</t>
  </si>
  <si>
    <t>Love Yourself</t>
  </si>
  <si>
    <t xml:space="preserve">Tï¿½ï¿½ </t>
  </si>
  <si>
    <t>Cari Mama Muda (Senorita Joven) - Original Mix</t>
  </si>
  <si>
    <t>Carella</t>
  </si>
  <si>
    <t>Need A Favor</t>
  </si>
  <si>
    <t>Jelly Roll</t>
  </si>
  <si>
    <t>Heeriye (feat. Arijit Singh)</t>
  </si>
  <si>
    <t>Jasleen Royal</t>
  </si>
  <si>
    <t>Work from Home (feat. Ty Dolla $ign)</t>
  </si>
  <si>
    <t>Fifth Harmony</t>
  </si>
  <si>
    <t>Anabella</t>
  </si>
  <si>
    <t>Khaid</t>
  </si>
  <si>
    <t>Cuando Te Amï¿</t>
  </si>
  <si>
    <t>Cupula Roja</t>
  </si>
  <si>
    <t>Bam Bam (feat. Ed Sheeran)</t>
  </si>
  <si>
    <t>The Motto</t>
  </si>
  <si>
    <t>Single Soon</t>
  </si>
  <si>
    <t>Selena Gomez</t>
  </si>
  <si>
    <t>Falling Down - Bonus Track</t>
  </si>
  <si>
    <t>Lil Peep</t>
  </si>
  <si>
    <t>Close</t>
  </si>
  <si>
    <t>Kush &amp; TJ</t>
  </si>
  <si>
    <t>Sin Pijama</t>
  </si>
  <si>
    <t>Wasted On You</t>
  </si>
  <si>
    <t>BREAK MY SOUL</t>
  </si>
  <si>
    <t>Nimbu Kharbuja Bhail 2</t>
  </si>
  <si>
    <t>Khesari Lal Yadav</t>
  </si>
  <si>
    <t>Murder In My Mind</t>
  </si>
  <si>
    <t>Kordhell</t>
  </si>
  <si>
    <t>Unstoppable</t>
  </si>
  <si>
    <t>Sia</t>
  </si>
  <si>
    <t>traitor</t>
  </si>
  <si>
    <t>goosebumps</t>
  </si>
  <si>
    <t>DIME QUE</t>
  </si>
  <si>
    <t>Ian G.</t>
  </si>
  <si>
    <t>Quï¿½ï¿½ Mï¿½ï¿</t>
  </si>
  <si>
    <t>Hrs and Hrs</t>
  </si>
  <si>
    <t>Boy With Luv (feat. Halsey)</t>
  </si>
  <si>
    <t>Broccoli</t>
  </si>
  <si>
    <t>ati2x06</t>
  </si>
  <si>
    <t>Angel Baby</t>
  </si>
  <si>
    <t>Troye Sivan</t>
  </si>
  <si>
    <t>Way 2 Sexy (with Future &amp; Young Thug)</t>
  </si>
  <si>
    <t>Bhauji Lenge Lenge</t>
  </si>
  <si>
    <t>SORRY 4 THAT MUCH</t>
  </si>
  <si>
    <t>I WANNA BE YOUR SLAVE</t>
  </si>
  <si>
    <t>PUFFIN ON ZOOTIEZ</t>
  </si>
  <si>
    <t>3D (feat. Jack Harlow)</t>
  </si>
  <si>
    <t>XO Tour Llif3</t>
  </si>
  <si>
    <t>Lift Me Up - From Black Panther: Wakanda Forever - Music From and Inspired By</t>
  </si>
  <si>
    <t>Rihanna</t>
  </si>
  <si>
    <t>Desire (with Sam Smith)</t>
  </si>
  <si>
    <t>Cute</t>
  </si>
  <si>
    <t>Aurel Surya Lie</t>
  </si>
  <si>
    <t>Cold Heart - PNAU Remix</t>
  </si>
  <si>
    <t>Elton John</t>
  </si>
  <si>
    <t>Con Altura</t>
  </si>
  <si>
    <t>ýýýýýý (HEYA)</t>
  </si>
  <si>
    <t>IVE</t>
  </si>
  <si>
    <t>LA CANCIï¿½</t>
  </si>
  <si>
    <t>In My Mind</t>
  </si>
  <si>
    <t>Dynoro</t>
  </si>
  <si>
    <t>Chandelier</t>
  </si>
  <si>
    <t>Eastside (with Halsey &amp; Khalid)</t>
  </si>
  <si>
    <t>benny blanco</t>
  </si>
  <si>
    <t>Godzilla (feat. Juice WRLD)</t>
  </si>
  <si>
    <t>All About That Bass</t>
  </si>
  <si>
    <t>Besharam Rang (From "Pathaan")</t>
  </si>
  <si>
    <t>Vishal-Shekhar</t>
  </si>
  <si>
    <t>MR. TAKE YA B*TCH (FEAT. CHRISEANROCK)</t>
  </si>
  <si>
    <t>Lil Mabu</t>
  </si>
  <si>
    <t>Cheques</t>
  </si>
  <si>
    <t>Shubh</t>
  </si>
  <si>
    <t>Friday (feat. Mufasa &amp; Hypeman) - Dopamine Re-Edit</t>
  </si>
  <si>
    <t>Riton</t>
  </si>
  <si>
    <t>VAGABUNDO</t>
  </si>
  <si>
    <t>Sebastian Yatra</t>
  </si>
  <si>
    <t>Cheap Thrills</t>
  </si>
  <si>
    <t>Yummy</t>
  </si>
  <si>
    <t>On My Mama</t>
  </si>
  <si>
    <t>Victoria Monï¿½</t>
  </si>
  <si>
    <t>Wishing Well</t>
  </si>
  <si>
    <t>Jale 2 (feat. Vinay Yadav &amp; Neha Shukla)</t>
  </si>
  <si>
    <t>Shiva Choudhary</t>
  </si>
  <si>
    <t>Too Good At Goodbyes</t>
  </si>
  <si>
    <t>SPECIALZ</t>
  </si>
  <si>
    <t>King Gnu</t>
  </si>
  <si>
    <t>Ta Ta Ta</t>
  </si>
  <si>
    <t>Bayanni</t>
  </si>
  <si>
    <t>Un Finde | CROSSOVER #2</t>
  </si>
  <si>
    <t>Big One</t>
  </si>
  <si>
    <t>There's Nothing Holdin' Me Back</t>
  </si>
  <si>
    <t>Gulabi Sadi</t>
  </si>
  <si>
    <t>Sanju Rathod</t>
  </si>
  <si>
    <t>Breaking Me</t>
  </si>
  <si>
    <t>Topic</t>
  </si>
  <si>
    <t>The 5th Letter</t>
  </si>
  <si>
    <t>Hollywood Dots The Oncelor</t>
  </si>
  <si>
    <t>Belong Together</t>
  </si>
  <si>
    <t>Mark Ambor</t>
  </si>
  <si>
    <t>Shake It Off</t>
  </si>
  <si>
    <t>LOVELY BASTARDS</t>
  </si>
  <si>
    <t>ZWE1HVNDXR</t>
  </si>
  <si>
    <t>La Curiosidad</t>
  </si>
  <si>
    <t>Jay Wheeler</t>
  </si>
  <si>
    <t>EL MAKINON</t>
  </si>
  <si>
    <t>In The Stars</t>
  </si>
  <si>
    <t>Shirt</t>
  </si>
  <si>
    <t>Tiryakinim</t>
  </si>
  <si>
    <t>Bayhan</t>
  </si>
  <si>
    <t>We Don't Trust You</t>
  </si>
  <si>
    <t>Tï¿½ï¿</t>
  </si>
  <si>
    <t>DENNIS</t>
  </si>
  <si>
    <t>Cï¿½ï¿½ï¿½t ï¿½ï¿½ï¿½ï¿</t>
  </si>
  <si>
    <t xml:space="preserve">Tï¿½ï¿½ng Duy </t>
  </si>
  <si>
    <t>Call Out My Name</t>
  </si>
  <si>
    <t>MEDUZA</t>
  </si>
  <si>
    <t>THE GREATEST</t>
  </si>
  <si>
    <t>X - Remix</t>
  </si>
  <si>
    <t>Nicky Jam</t>
  </si>
  <si>
    <t>223's (feat. 9lokknine)</t>
  </si>
  <si>
    <t>YNW Melly</t>
  </si>
  <si>
    <t>Saami Saami</t>
  </si>
  <si>
    <t>Mounika Yadav</t>
  </si>
  <si>
    <t>ýýchame La Culpa</t>
  </si>
  <si>
    <t>Mask Off</t>
  </si>
  <si>
    <t>BON</t>
  </si>
  <si>
    <t>Number_i</t>
  </si>
  <si>
    <t>Before You Go</t>
  </si>
  <si>
    <t>SAD GIRLZ LUV MONEY Remix (feat. Kali Uchis and Moliy)</t>
  </si>
  <si>
    <t>Amaarae</t>
  </si>
  <si>
    <t>Young Metro</t>
  </si>
  <si>
    <t>You Raise Me Up</t>
  </si>
  <si>
    <t>Josh Groban</t>
  </si>
  <si>
    <t>Queencard</t>
  </si>
  <si>
    <t>(G)I-DLE</t>
  </si>
  <si>
    <t>Maroon Color Sadiya (From "Fasal")</t>
  </si>
  <si>
    <t>Kalpana</t>
  </si>
  <si>
    <t>RAPSTAR</t>
  </si>
  <si>
    <t>Say Yes To Heaven</t>
  </si>
  <si>
    <t>Lana Del Rey</t>
  </si>
  <si>
    <t>Building Blocks</t>
  </si>
  <si>
    <t>Falls</t>
  </si>
  <si>
    <t>Maan Meri Jaan</t>
  </si>
  <si>
    <t>King</t>
  </si>
  <si>
    <t>Best Friend (feat. Doja Cat)</t>
  </si>
  <si>
    <t>Saweetie</t>
  </si>
  <si>
    <t>GATï¿½ï¿½</t>
  </si>
  <si>
    <t>Swalla (feat. Nicki Minaj &amp; Ty Dolla $ign)</t>
  </si>
  <si>
    <t>Jason Derulo</t>
  </si>
  <si>
    <t>Te Botï¿½ï¿½ - R</t>
  </si>
  <si>
    <t>Nio Garcia</t>
  </si>
  <si>
    <t>SICKO MODE</t>
  </si>
  <si>
    <t>act ii: date @ 8 (remix)</t>
  </si>
  <si>
    <t>Barbie World (with Aqua) [From Barbie The Album]</t>
  </si>
  <si>
    <t>The Kind of Love We Make</t>
  </si>
  <si>
    <t>Europapa</t>
  </si>
  <si>
    <t>Joost</t>
  </si>
  <si>
    <t>OMG</t>
  </si>
  <si>
    <t>Baila</t>
  </si>
  <si>
    <t>Karl Wine</t>
  </si>
  <si>
    <t>PUNTO 40</t>
  </si>
  <si>
    <t>In The Name Of Love</t>
  </si>
  <si>
    <t>Martin Garrix</t>
  </si>
  <si>
    <t>Shorty Party</t>
  </si>
  <si>
    <t>Cartel De Santa</t>
  </si>
  <si>
    <t>Drama</t>
  </si>
  <si>
    <t>Head &amp; Heart (feat. MNEK)</t>
  </si>
  <si>
    <t>Joel Corry</t>
  </si>
  <si>
    <t>Callaita</t>
  </si>
  <si>
    <t>How Do I Say Goodbye</t>
  </si>
  <si>
    <t>Dean Lewis</t>
  </si>
  <si>
    <t>One Step Closer</t>
  </si>
  <si>
    <t>ULTRA SOLO</t>
  </si>
  <si>
    <t>Polimï¿½ï¿½ Westc</t>
  </si>
  <si>
    <t>Hundred Miles (Sped Up Version)</t>
  </si>
  <si>
    <t>Yall</t>
  </si>
  <si>
    <t>SNAP</t>
  </si>
  <si>
    <t>Rosa Linn</t>
  </si>
  <si>
    <t>Lambiyan Raataan</t>
  </si>
  <si>
    <t>Jubin Nautiyal</t>
  </si>
  <si>
    <t>Gangnam Style (ï¿½ï¿½ï¿½ï¿½ï¿½ï</t>
  </si>
  <si>
    <t>PSY</t>
  </si>
  <si>
    <t>Criminal</t>
  </si>
  <si>
    <t>NATTI NATASHA</t>
  </si>
  <si>
    <t>Chantaje</t>
  </si>
  <si>
    <t>Laugh Now Cry Later (feat. Lil Durk)</t>
  </si>
  <si>
    <t>Psycho</t>
  </si>
  <si>
    <t>Casanova</t>
  </si>
  <si>
    <t>Soolking</t>
  </si>
  <si>
    <t>Holanda</t>
  </si>
  <si>
    <t>Jhayco</t>
  </si>
  <si>
    <t>nï¿½ï¿½e</t>
  </si>
  <si>
    <t>Alan Walker</t>
  </si>
  <si>
    <t>Cough</t>
  </si>
  <si>
    <t>Afraid To Feel</t>
  </si>
  <si>
    <t>LF SYSTEM</t>
  </si>
  <si>
    <t>Wow.</t>
  </si>
  <si>
    <t>Radioactive</t>
  </si>
  <si>
    <t>RITMO (Bad Boys For Life)</t>
  </si>
  <si>
    <t>Black Eyed Peas</t>
  </si>
  <si>
    <t>hot girl bummer</t>
  </si>
  <si>
    <t>blackbear</t>
  </si>
  <si>
    <t>Dancing With A Stranger (with Normani)</t>
  </si>
  <si>
    <t>Heartbreak Anniversary</t>
  </si>
  <si>
    <t>Giveon</t>
  </si>
  <si>
    <t>Toxic</t>
  </si>
  <si>
    <t>BoyWithUke</t>
  </si>
  <si>
    <t>Tennessee Whiskey</t>
  </si>
  <si>
    <t>Chris Stapleton</t>
  </si>
  <si>
    <t>Up</t>
  </si>
  <si>
    <t>UN PREVIEW</t>
  </si>
  <si>
    <t>Prada Dem (feat. Offset)</t>
  </si>
  <si>
    <t>Don't Be Shy</t>
  </si>
  <si>
    <t>Sabor Fresa</t>
  </si>
  <si>
    <t>MON LOVE OHO</t>
  </si>
  <si>
    <t>Liamsi</t>
  </si>
  <si>
    <t>Surround Sound (feat. 21 Savage &amp; Baby Tate)</t>
  </si>
  <si>
    <t>JID</t>
  </si>
  <si>
    <t>Feather</t>
  </si>
  <si>
    <t>Super Gremlin</t>
  </si>
  <si>
    <t>Kodak Black</t>
  </si>
  <si>
    <t>Natural</t>
  </si>
  <si>
    <t>La Triple M</t>
  </si>
  <si>
    <t>Mawell</t>
  </si>
  <si>
    <t>OUT WEST (feat. Young Thug)</t>
  </si>
  <si>
    <t>JACKBOYS</t>
  </si>
  <si>
    <t>Fear Song (From "Devara Part 1") [Tamil]</t>
  </si>
  <si>
    <t>High Hopes</t>
  </si>
  <si>
    <t>Panic! At The Disco</t>
  </si>
  <si>
    <t>Papa</t>
  </si>
  <si>
    <t>Lori</t>
  </si>
  <si>
    <t>Memory Reboot</t>
  </si>
  <si>
    <t>Vï¿½</t>
  </si>
  <si>
    <t>Side To Side</t>
  </si>
  <si>
    <t>Build a Bitch</t>
  </si>
  <si>
    <t>Bella Poarch</t>
  </si>
  <si>
    <t>Natanael Cano: Bzrp Music Sessions, Vol. 59</t>
  </si>
  <si>
    <t>400 Degreez</t>
  </si>
  <si>
    <t>Y LLORO</t>
  </si>
  <si>
    <t>Junior H</t>
  </si>
  <si>
    <t>Streets</t>
  </si>
  <si>
    <t>How We Roll</t>
  </si>
  <si>
    <t>Ciara</t>
  </si>
  <si>
    <t>Satranga (From "Animal")</t>
  </si>
  <si>
    <t>Arijit Singh</t>
  </si>
  <si>
    <t>My Universe</t>
  </si>
  <si>
    <t>Coldplay</t>
  </si>
  <si>
    <t>Peaches &amp; Eggplants (feat. 21 Savage)</t>
  </si>
  <si>
    <t>Young Nudy</t>
  </si>
  <si>
    <t>Who Want Smoke?? (feat. G Herbo, Lil Durk &amp; 21 Savage)</t>
  </si>
  <si>
    <t>Nardo Wick</t>
  </si>
  <si>
    <t>Thinking Out Loud</t>
  </si>
  <si>
    <t>O Me Voy O Te Vas</t>
  </si>
  <si>
    <t>Punterï¿½</t>
  </si>
  <si>
    <t>Girls Like You (feat. Cardi B)</t>
  </si>
  <si>
    <t>Slime You Out (feat. SZA)</t>
  </si>
  <si>
    <t>Therefore I Am</t>
  </si>
  <si>
    <t>Wish You The Best</t>
  </si>
  <si>
    <t>New Rules</t>
  </si>
  <si>
    <t>Stitches</t>
  </si>
  <si>
    <t>Back On 74</t>
  </si>
  <si>
    <t>Jungle</t>
  </si>
  <si>
    <t>Welcome To Rosas - From "Wish"</t>
  </si>
  <si>
    <t>Por Mi Mexico (Remix)</t>
  </si>
  <si>
    <t>Lefty Sm</t>
  </si>
  <si>
    <t>THIS YEAR (Blessings)</t>
  </si>
  <si>
    <t>Victor Thompson</t>
  </si>
  <si>
    <t>Abrarï¿½ï¿½ï¿½s Entry | Jamal Kudu "ANIMAL")</t>
  </si>
  <si>
    <t>Harshavardhan Rameshwar</t>
  </si>
  <si>
    <t>Fair Trade (with Travis Scott)</t>
  </si>
  <si>
    <t>Mayores</t>
  </si>
  <si>
    <t>CHORRITO PA LAS ANIMAS</t>
  </si>
  <si>
    <t>New Divide</t>
  </si>
  <si>
    <t>White Horse</t>
  </si>
  <si>
    <t>Ojitos Rojos</t>
  </si>
  <si>
    <t>La Morocha</t>
  </si>
  <si>
    <t>Luck Ra</t>
  </si>
  <si>
    <t>Who Is Your Guy?</t>
  </si>
  <si>
    <t>Spyro</t>
  </si>
  <si>
    <t>You Right</t>
  </si>
  <si>
    <t>AMG</t>
  </si>
  <si>
    <t>Bandido</t>
  </si>
  <si>
    <t>Karma</t>
  </si>
  <si>
    <t>JoJo Siwa</t>
  </si>
  <si>
    <t>El Gordo Trae El Mando</t>
  </si>
  <si>
    <t>Chino Pacas</t>
  </si>
  <si>
    <t>Ya No Tengo Tu Love</t>
  </si>
  <si>
    <t>Sie7e</t>
  </si>
  <si>
    <t>52 Gaj Ka Daman</t>
  </si>
  <si>
    <t>Renuka Panwar</t>
  </si>
  <si>
    <t>FTCU</t>
  </si>
  <si>
    <t>Go Crazy</t>
  </si>
  <si>
    <t>La Jumpa</t>
  </si>
  <si>
    <t>Arcï¿½ï¿½</t>
  </si>
  <si>
    <t>I Don't Care</t>
  </si>
  <si>
    <t>Boy Spyce</t>
  </si>
  <si>
    <t>Roar</t>
  </si>
  <si>
    <t>No Guidance (feat. Drake)</t>
  </si>
  <si>
    <t>34+35</t>
  </si>
  <si>
    <t>Permission to Dance</t>
  </si>
  <si>
    <t>changes</t>
  </si>
  <si>
    <t>Tell Ur Girlfriend</t>
  </si>
  <si>
    <t>Lay Bankz</t>
  </si>
  <si>
    <t>SPIDER</t>
  </si>
  <si>
    <t>GIMS</t>
  </si>
  <si>
    <t>Sunday Best</t>
  </si>
  <si>
    <t>Surfaces</t>
  </si>
  <si>
    <t>Guli Mata</t>
  </si>
  <si>
    <t>Saad Lamjarred</t>
  </si>
  <si>
    <t>HOLA PERDIDA</t>
  </si>
  <si>
    <t>Better</t>
  </si>
  <si>
    <t>Khalid</t>
  </si>
  <si>
    <t>I Don't Care (with Justin Bieber)</t>
  </si>
  <si>
    <t>Substitution</t>
  </si>
  <si>
    <t>Purple Disco Machine</t>
  </si>
  <si>
    <t>Automotivo Bibi Fogosa</t>
  </si>
  <si>
    <t>Bibi Babydoll</t>
  </si>
  <si>
    <t>MERCHO</t>
  </si>
  <si>
    <t>LiL CaKe</t>
  </si>
  <si>
    <t>Bandook</t>
  </si>
  <si>
    <t>Nirvair Pannu</t>
  </si>
  <si>
    <t>Silence</t>
  </si>
  <si>
    <t>Miï¿½ï¿½n</t>
  </si>
  <si>
    <t>TINI</t>
  </si>
  <si>
    <t>Trap Queen</t>
  </si>
  <si>
    <t>Fetty Wap</t>
  </si>
  <si>
    <t>Sign of the Times</t>
  </si>
  <si>
    <t>METAMORPHOSIS</t>
  </si>
  <si>
    <t>INTERWORLD</t>
  </si>
  <si>
    <t>Botella Tras Botella</t>
  </si>
  <si>
    <t>Gera MX</t>
  </si>
  <si>
    <t>Me, Myself &amp; I</t>
  </si>
  <si>
    <t>Steal The Show - From "Elemental"</t>
  </si>
  <si>
    <t>Lauv</t>
  </si>
  <si>
    <t>Lut Gaye</t>
  </si>
  <si>
    <t>Piel</t>
  </si>
  <si>
    <t>Tiago PZK</t>
  </si>
  <si>
    <t>Pasoori</t>
  </si>
  <si>
    <t>Shae Gill</t>
  </si>
  <si>
    <t>the boy is mine</t>
  </si>
  <si>
    <t>When We Were Young (The Logical Song)</t>
  </si>
  <si>
    <t>Lay Low</t>
  </si>
  <si>
    <t>Bounce When She Walk</t>
  </si>
  <si>
    <t>Ohboyprince</t>
  </si>
  <si>
    <t>Apna Bana Le (From "Bhediya")</t>
  </si>
  <si>
    <t>Hold My Hand</t>
  </si>
  <si>
    <t>Big Energy</t>
  </si>
  <si>
    <t>Latto</t>
  </si>
  <si>
    <t>Goodbyes (feat. Young Thug)</t>
  </si>
  <si>
    <t>Location</t>
  </si>
  <si>
    <t>Italodisco</t>
  </si>
  <si>
    <t>The Kolors</t>
  </si>
  <si>
    <t>Perfect Night</t>
  </si>
  <si>
    <t>Vida de Rico</t>
  </si>
  <si>
    <t>Camilo</t>
  </si>
  <si>
    <t>Frï¿½ï¿½gil (feat. Grupo Front</t>
  </si>
  <si>
    <t>Yahritza Y Su Esencia</t>
  </si>
  <si>
    <t>In My Feelings</t>
  </si>
  <si>
    <t>You Broke My Heart</t>
  </si>
  <si>
    <t>Attention</t>
  </si>
  <si>
    <t>Zhurek</t>
  </si>
  <si>
    <t>Adam</t>
  </si>
  <si>
    <t>Let Me Down Slowly</t>
  </si>
  <si>
    <t>Alec Benjamin</t>
  </si>
  <si>
    <t>In The End</t>
  </si>
  <si>
    <t>Tommee Profitt</t>
  </si>
  <si>
    <t>Took Her To The O</t>
  </si>
  <si>
    <t>King Von</t>
  </si>
  <si>
    <t>Boyfriend</t>
  </si>
  <si>
    <t>Dove Cameron</t>
  </si>
  <si>
    <t>Orquestra Maldita</t>
  </si>
  <si>
    <t>Sucker</t>
  </si>
  <si>
    <t>Jonas Brothers</t>
  </si>
  <si>
    <t>Alone</t>
  </si>
  <si>
    <t>Moto</t>
  </si>
  <si>
    <t>Diler Kharkiya</t>
  </si>
  <si>
    <t>Pareja Del Aï¿½</t>
  </si>
  <si>
    <t>PAINTING PICTURES</t>
  </si>
  <si>
    <t>Superstar Pride</t>
  </si>
  <si>
    <t>GOOBA</t>
  </si>
  <si>
    <t>6ix9ine</t>
  </si>
  <si>
    <t>THE DINER</t>
  </si>
  <si>
    <t>6 In the Morning (feat. Nate Dogg)</t>
  </si>
  <si>
    <t>Flex (UK)</t>
  </si>
  <si>
    <t>Light Switch</t>
  </si>
  <si>
    <t>Pushpa Pushpa (From "Pushpa 2 The Rule") [HINDI]</t>
  </si>
  <si>
    <t>Mika Singh</t>
  </si>
  <si>
    <t>On Me</t>
  </si>
  <si>
    <t>when the party's over</t>
  </si>
  <si>
    <t>Love The Way You Lie</t>
  </si>
  <si>
    <t>Party</t>
  </si>
  <si>
    <t>Make You Mine</t>
  </si>
  <si>
    <t>Madison Beer</t>
  </si>
  <si>
    <t>Freaks</t>
  </si>
  <si>
    <t>Surf Curse</t>
  </si>
  <si>
    <t>In Da Getto</t>
  </si>
  <si>
    <t>Chale</t>
  </si>
  <si>
    <t>Eden Muï¿½ï</t>
  </si>
  <si>
    <t>Try That In A Small Town</t>
  </si>
  <si>
    <t>Jason Aldean</t>
  </si>
  <si>
    <t>Tarot</t>
  </si>
  <si>
    <t>Mas Existe um Lugar</t>
  </si>
  <si>
    <t>Kaio Viana</t>
  </si>
  <si>
    <t>Petit gï¿½ï¿</t>
  </si>
  <si>
    <t>Jungeli</t>
  </si>
  <si>
    <t>Bura Na Mano Holi Hai</t>
  </si>
  <si>
    <t>Shaan</t>
  </si>
  <si>
    <t>ýýý</t>
  </si>
  <si>
    <t>Ado</t>
  </si>
  <si>
    <t>Breaking the Habit</t>
  </si>
  <si>
    <t>Work</t>
  </si>
  <si>
    <t>Normal</t>
  </si>
  <si>
    <t>LALALALA</t>
  </si>
  <si>
    <t>Sum 2 Prove</t>
  </si>
  <si>
    <t>Lottery (Renegade)</t>
  </si>
  <si>
    <t>K CAMP</t>
  </si>
  <si>
    <t>Meant to Be (feat. Florida Georgia Line)</t>
  </si>
  <si>
    <t>Bebe Rexha</t>
  </si>
  <si>
    <t>Good Days</t>
  </si>
  <si>
    <t>Leave Before You Love Me (with Jonas Brothers)</t>
  </si>
  <si>
    <t>Youngblood</t>
  </si>
  <si>
    <t>5 Seconds of Summer</t>
  </si>
  <si>
    <t>Sweater Weather</t>
  </si>
  <si>
    <t>The Neighbourhood</t>
  </si>
  <si>
    <t>Merayu Tuhan</t>
  </si>
  <si>
    <t>Tri Suaka</t>
  </si>
  <si>
    <t>If We Being Rï¿½ï</t>
  </si>
  <si>
    <t>Can We Kiss Forever?</t>
  </si>
  <si>
    <t>Kina</t>
  </si>
  <si>
    <t>Felices los 4</t>
  </si>
  <si>
    <t>Mariposita</t>
  </si>
  <si>
    <t>La Vaca Lola</t>
  </si>
  <si>
    <t>Relaciï¿½</t>
  </si>
  <si>
    <t>Sech</t>
  </si>
  <si>
    <t>ELOVRGA</t>
  </si>
  <si>
    <t>Alex Favela</t>
  </si>
  <si>
    <t>Party Girl</t>
  </si>
  <si>
    <t>StaySolidRocky</t>
  </si>
  <si>
    <t>I Feel It Coming</t>
  </si>
  <si>
    <t>Get In With Me</t>
  </si>
  <si>
    <t>Bossman Dlow</t>
  </si>
  <si>
    <t>Agua (with J Balvin)</t>
  </si>
  <si>
    <t>Tainy</t>
  </si>
  <si>
    <t>Human</t>
  </si>
  <si>
    <t>Rag'n'Bone Man</t>
  </si>
  <si>
    <t>We Still Don't Trust You</t>
  </si>
  <si>
    <t>snowfall</t>
  </si>
  <si>
    <t>ýýneheart</t>
  </si>
  <si>
    <t>First Love</t>
  </si>
  <si>
    <t>Oscar Maydon</t>
  </si>
  <si>
    <t>La_Original.mp3</t>
  </si>
  <si>
    <t>Emilia</t>
  </si>
  <si>
    <t>OA</t>
  </si>
  <si>
    <t>Pagodï¿½ï¿½o do Birimbola (Tchubirabi</t>
  </si>
  <si>
    <t>Os Quebradeiras</t>
  </si>
  <si>
    <t>Ice Cream (with Selena Gomez)</t>
  </si>
  <si>
    <t>Deja Vu</t>
  </si>
  <si>
    <t>TOMORROW X TOGETHER</t>
  </si>
  <si>
    <t>one of wun</t>
  </si>
  <si>
    <t>Thank You (Not So Bad)</t>
  </si>
  <si>
    <t>Dimitri Vegas &amp; Like Mike</t>
  </si>
  <si>
    <t>Watch This - ARIZONATEARS Pluggnb Remix</t>
  </si>
  <si>
    <t>MIDDLE CHILD</t>
  </si>
  <si>
    <t>J. Cole</t>
  </si>
  <si>
    <t>TO THE MOON</t>
  </si>
  <si>
    <t>JNR CHOI</t>
  </si>
  <si>
    <t>Fancy Like</t>
  </si>
  <si>
    <t>Walker Hayes</t>
  </si>
  <si>
    <t>The Color Violet</t>
  </si>
  <si>
    <t>Tory Lanez</t>
  </si>
  <si>
    <t>S91</t>
  </si>
  <si>
    <t>LALISA</t>
  </si>
  <si>
    <t>Levitating</t>
  </si>
  <si>
    <t>RUBICON</t>
  </si>
  <si>
    <t>Gimme Love</t>
  </si>
  <si>
    <t xml:space="preserve">Diz Aï¿½ï¿½ Qual ï¿½ï¿½ </t>
  </si>
  <si>
    <t>Akhiyaan Gulaab (From "Teri Baaton Mein Aisa Uljha Jiya")</t>
  </si>
  <si>
    <t>Mitraz</t>
  </si>
  <si>
    <t>Arjan Vailly</t>
  </si>
  <si>
    <t>Manan Bhardwaj</t>
  </si>
  <si>
    <t>Demons</t>
  </si>
  <si>
    <t>Supalonely</t>
  </si>
  <si>
    <t>BENEE</t>
  </si>
  <si>
    <t>Lean On (feat. Mï¿½ï¿½ &amp; DJ Sn</t>
  </si>
  <si>
    <t>Major Lazer</t>
  </si>
  <si>
    <t>Spin Bout U</t>
  </si>
  <si>
    <t>From The Start</t>
  </si>
  <si>
    <t>Laufey</t>
  </si>
  <si>
    <t>ZOOM</t>
  </si>
  <si>
    <t>Jessi</t>
  </si>
  <si>
    <t>Can't Feel My Face</t>
  </si>
  <si>
    <t>Quï¿½ï¿½ Onda Per</t>
  </si>
  <si>
    <t>Grupo Firme</t>
  </si>
  <si>
    <t>Sexy And I Know It</t>
  </si>
  <si>
    <t>LMFAO</t>
  </si>
  <si>
    <t>WHATS POPPIN</t>
  </si>
  <si>
    <t>POR EL CONTRARIO</t>
  </si>
  <si>
    <t>DJ MIX NON-STOP CHANNEL</t>
  </si>
  <si>
    <t>Rara Vez</t>
  </si>
  <si>
    <t>Taiu</t>
  </si>
  <si>
    <t>That That (prod. &amp; feat. SUGA of BTS)</t>
  </si>
  <si>
    <t>Whoï¿½ï¿½ï¿½s Afraid of Little O</t>
  </si>
  <si>
    <t>THE LONELIEST</t>
  </si>
  <si>
    <t>Yeah Glo!</t>
  </si>
  <si>
    <t>Nunca Es Suficiente</t>
  </si>
  <si>
    <t>Los ï¿½ï¿½ngeles Az</t>
  </si>
  <si>
    <t>MANIKIN (feat. Wifisfuneral)</t>
  </si>
  <si>
    <t>Copines</t>
  </si>
  <si>
    <t>Aya Nakamura</t>
  </si>
  <si>
    <t>Thank God</t>
  </si>
  <si>
    <t>Kane Brown</t>
  </si>
  <si>
    <t>TQM</t>
  </si>
  <si>
    <t>Lily</t>
  </si>
  <si>
    <t>Massive</t>
  </si>
  <si>
    <t>a lot</t>
  </si>
  <si>
    <t>Adicto (with Anuel AA &amp; Ozuna)</t>
  </si>
  <si>
    <t>Tek Baï¿½ï¿½</t>
  </si>
  <si>
    <t>Semicenk</t>
  </si>
  <si>
    <t>BAND4BAND</t>
  </si>
  <si>
    <t>Look What You Made Me Do</t>
  </si>
  <si>
    <t>WOKE UP</t>
  </si>
  <si>
    <t>XG</t>
  </si>
  <si>
    <t>Toki</t>
  </si>
  <si>
    <t>Casper Magico</t>
  </si>
  <si>
    <t>Young Dumb &amp; Broke</t>
  </si>
  <si>
    <t>El Beneficio De La Duda</t>
  </si>
  <si>
    <t>ALV</t>
  </si>
  <si>
    <t>In A Minute</t>
  </si>
  <si>
    <t>Save Your Tears (with Ariana Grande) (Remix)</t>
  </si>
  <si>
    <t>No Se Vale</t>
  </si>
  <si>
    <t>Jerusalema (feat. Nomcebo Zikode)</t>
  </si>
  <si>
    <t>Master KG</t>
  </si>
  <si>
    <t>DENTRO DA HILUX</t>
  </si>
  <si>
    <t>Luan Pereira</t>
  </si>
  <si>
    <t>Funk do Patinho</t>
  </si>
  <si>
    <t>Bento e Totï¿</t>
  </si>
  <si>
    <t>El Amor de Mi Vida</t>
  </si>
  <si>
    <t>Blueberry Faygo</t>
  </si>
  <si>
    <t>Lil Mosey</t>
  </si>
  <si>
    <t>Jiggle Jiggle</t>
  </si>
  <si>
    <t>Duke &amp; Jones</t>
  </si>
  <si>
    <t>En la Intimidad</t>
  </si>
  <si>
    <t>Counting Stars</t>
  </si>
  <si>
    <t>Essence (feat. Tems)</t>
  </si>
  <si>
    <t>Wizkid</t>
  </si>
  <si>
    <t>Get Into It (Yuh)</t>
  </si>
  <si>
    <t>RAVE</t>
  </si>
  <si>
    <t>Dxrk ï¿½ï¿½ï¿½</t>
  </si>
  <si>
    <t>No Me Conoce</t>
  </si>
  <si>
    <t>Jhay Cortez</t>
  </si>
  <si>
    <t>offline</t>
  </si>
  <si>
    <t>Young Miko</t>
  </si>
  <si>
    <t>TOPIA TWINS</t>
  </si>
  <si>
    <t>Janze</t>
  </si>
  <si>
    <t>O Saki Saki (From "Batla House")</t>
  </si>
  <si>
    <t>Neha Kakkar</t>
  </si>
  <si>
    <t>Always Remember Us This Way</t>
  </si>
  <si>
    <t>Monotonï¿½</t>
  </si>
  <si>
    <t>Aku Sayang Tapi Kau Tak Paham</t>
  </si>
  <si>
    <t>DJ Boneng</t>
  </si>
  <si>
    <t>Thought You Should Know</t>
  </si>
  <si>
    <t>CAIRO</t>
  </si>
  <si>
    <t>Cupido</t>
  </si>
  <si>
    <t>Raja Ji Ke Dilwa</t>
  </si>
  <si>
    <t>Pawan Singh</t>
  </si>
  <si>
    <t>Out thï¿½ï¿½</t>
  </si>
  <si>
    <t>Winning Speech</t>
  </si>
  <si>
    <t>Karan Aujla</t>
  </si>
  <si>
    <t>Home</t>
  </si>
  <si>
    <t>Good Neighbours</t>
  </si>
  <si>
    <t>Sobrio</t>
  </si>
  <si>
    <t>Am I Dreaming (Metro Boomin &amp; A$AP Rocky, Roisee)</t>
  </si>
  <si>
    <t>Praise The Lord (Da Shine) (feat. Skepta)</t>
  </si>
  <si>
    <t>A$AP Rocky</t>
  </si>
  <si>
    <t>Se Acabï¿½ï¿½ la Cuaren</t>
  </si>
  <si>
    <t>Jowell &amp; Randy</t>
  </si>
  <si>
    <t>Look Back At It</t>
  </si>
  <si>
    <t>A Boogie Wit da Hoodie</t>
  </si>
  <si>
    <t>End of Beginning</t>
  </si>
  <si>
    <t>Djo</t>
  </si>
  <si>
    <t>K-POP</t>
  </si>
  <si>
    <t>favorite</t>
  </si>
  <si>
    <t>Isabel LaRosa</t>
  </si>
  <si>
    <t>You &amp; Me</t>
  </si>
  <si>
    <t>JENNIE</t>
  </si>
  <si>
    <t>Waka Waka (This Time for Africa) [The Official 2010 FIFA World Cup (TM) Song] (feat. Freshlyground)</t>
  </si>
  <si>
    <t>LA RANGER (feat. Myke Towers)</t>
  </si>
  <si>
    <t>The Academy: Segunda Misiï¿½</t>
  </si>
  <si>
    <t>no tears left to cry</t>
  </si>
  <si>
    <t>I Fck Up</t>
  </si>
  <si>
    <t>Prince Ayaya</t>
  </si>
  <si>
    <t>Upside Down</t>
  </si>
  <si>
    <t>Crawling</t>
  </si>
  <si>
    <t>Nosso Quadro</t>
  </si>
  <si>
    <t>AgroPlay</t>
  </si>
  <si>
    <t>APAGA EL CEL</t>
  </si>
  <si>
    <t>Genda Phool (feat. Payal Dev)</t>
  </si>
  <si>
    <t>Badshah</t>
  </si>
  <si>
    <t>Pure Cocaine</t>
  </si>
  <si>
    <t>Pretty Little Poison</t>
  </si>
  <si>
    <t>Warren Zeiders</t>
  </si>
  <si>
    <t>Corazï¿½ï¿½n Roto - R</t>
  </si>
  <si>
    <t>Brray</t>
  </si>
  <si>
    <t>Summer</t>
  </si>
  <si>
    <t>Murder On My Mind</t>
  </si>
  <si>
    <t>You Are The Reason</t>
  </si>
  <si>
    <t>Calum Scott</t>
  </si>
  <si>
    <t>Bad Liar</t>
  </si>
  <si>
    <t>Wild Ones (feat. Jelly Roll)</t>
  </si>
  <si>
    <t>Jessie Murph</t>
  </si>
  <si>
    <t>ROXANNE</t>
  </si>
  <si>
    <t>Arizona Zervas</t>
  </si>
  <si>
    <t>Softly</t>
  </si>
  <si>
    <t>Tacones Rojos</t>
  </si>
  <si>
    <t>Ride the Vibe</t>
  </si>
  <si>
    <t>NEXZ</t>
  </si>
  <si>
    <t>family ties</t>
  </si>
  <si>
    <t>Baby Keem</t>
  </si>
  <si>
    <t>Perdonarte, ï¿½ï¿½Para Q</t>
  </si>
  <si>
    <t>Whatever It Takes</t>
  </si>
  <si>
    <t>POP!</t>
  </si>
  <si>
    <t>NAYEON</t>
  </si>
  <si>
    <t>Into the Unknown</t>
  </si>
  <si>
    <t>ALPHA 9</t>
  </si>
  <si>
    <t>Lonely At The Top</t>
  </si>
  <si>
    <t>Asake</t>
  </si>
  <si>
    <t>ecstacy (slowed)</t>
  </si>
  <si>
    <t>SUICIDAL-IDOL</t>
  </si>
  <si>
    <t>Si Se Da</t>
  </si>
  <si>
    <t>Holy (feat. Chance The Rapper)</t>
  </si>
  <si>
    <t>No Role Modelz</t>
  </si>
  <si>
    <t>Symphony (feat. Zara Larsson)</t>
  </si>
  <si>
    <t>Rain On Me (with Ariana Grande)</t>
  </si>
  <si>
    <t>Baddadan (feat. IRAH, Flowdan, Trigga &amp; Takura)</t>
  </si>
  <si>
    <t>Chase &amp; Status</t>
  </si>
  <si>
    <t>One Right Now (with The Weeknd)</t>
  </si>
  <si>
    <t>A Thousand Years</t>
  </si>
  <si>
    <t>Christina Perri</t>
  </si>
  <si>
    <t>Secreto</t>
  </si>
  <si>
    <t>Toda Remix - Remix</t>
  </si>
  <si>
    <t>Alex Rose</t>
  </si>
  <si>
    <t>I Hate U</t>
  </si>
  <si>
    <t>Better Now</t>
  </si>
  <si>
    <t>Call Me Maybe</t>
  </si>
  <si>
    <t>Carly Rae Jepsen</t>
  </si>
  <si>
    <t>Pobre Corazï¿½</t>
  </si>
  <si>
    <t>Ke Personajes</t>
  </si>
  <si>
    <t>Piece Of Your Heart</t>
  </si>
  <si>
    <t>Tere Vaaste (From "Zara Hatke Zara Bachke")</t>
  </si>
  <si>
    <t>Varun Jain</t>
  </si>
  <si>
    <t>Mi Kryptonita</t>
  </si>
  <si>
    <t>Doble ONE Flow Letal</t>
  </si>
  <si>
    <t>Ram Pam Pam</t>
  </si>
  <si>
    <t>Milo J: Bzrp Music Sessions, Vol. 57</t>
  </si>
  <si>
    <t>Stuck In The Middle</t>
  </si>
  <si>
    <t>No Se Va</t>
  </si>
  <si>
    <t>Xilo</t>
  </si>
  <si>
    <t>get him back!</t>
  </si>
  <si>
    <t>LA PEOPLE II</t>
  </si>
  <si>
    <t>Valerie - Live At BBC Radio 1 Live Lounge, London / 2007</t>
  </si>
  <si>
    <t>Amy Winehouse</t>
  </si>
  <si>
    <t>The Tortured Poets Department</t>
  </si>
  <si>
    <t>Your Love (9PM)</t>
  </si>
  <si>
    <t>ATB</t>
  </si>
  <si>
    <t>One Side</t>
  </si>
  <si>
    <t>Iyanya</t>
  </si>
  <si>
    <t>HEAT STICK</t>
  </si>
  <si>
    <t>Shoreline Mafia</t>
  </si>
  <si>
    <t>Photograph</t>
  </si>
  <si>
    <t>Virginia Beach</t>
  </si>
  <si>
    <t>Great Gatsby</t>
  </si>
  <si>
    <t>Rod Wave</t>
  </si>
  <si>
    <t>1, 2, 3 (feat. Jason Derulo &amp; De La Ghetto)</t>
  </si>
  <si>
    <t>Sofï¿½ï¿½a R</t>
  </si>
  <si>
    <t>Ateï¿½ï¿½e Dï¿½ï</t>
  </si>
  <si>
    <t>Mert Demir</t>
  </si>
  <si>
    <t>Until I Found You (with Em Beihold) - Em Beihold Version</t>
  </si>
  <si>
    <t>Wants and Needs (feat. Lil Baby)</t>
  </si>
  <si>
    <t>Jiwa Yang Bersedih</t>
  </si>
  <si>
    <t>Ghea Indrawari</t>
  </si>
  <si>
    <t>Coco Chanel</t>
  </si>
  <si>
    <t>Eladio Carrion</t>
  </si>
  <si>
    <t>Calm Down Baby</t>
  </si>
  <si>
    <t>DJ Laxman</t>
  </si>
  <si>
    <t>At My Worst</t>
  </si>
  <si>
    <t>Pink Sweat$</t>
  </si>
  <si>
    <t>TOO MUCH</t>
  </si>
  <si>
    <t>Go Down Deh (feat. Shaggy and Sean Paul)</t>
  </si>
  <si>
    <t>Spice</t>
  </si>
  <si>
    <t>Cake By The Ocean - Cover</t>
  </si>
  <si>
    <t>Miles On It</t>
  </si>
  <si>
    <t>El Caballito</t>
  </si>
  <si>
    <t>FARIANA</t>
  </si>
  <si>
    <t>PICK UP THE PHONE (feat. Nate Dogg)</t>
  </si>
  <si>
    <t>PAWSA</t>
  </si>
  <si>
    <t>Tomorrow 2 (with Cardi B)</t>
  </si>
  <si>
    <t>Se Preparï¿</t>
  </si>
  <si>
    <t>Lost on You</t>
  </si>
  <si>
    <t>LP</t>
  </si>
  <si>
    <t>Leï¿½</t>
  </si>
  <si>
    <t>Marï¿½ï¿½lia Mendo</t>
  </si>
  <si>
    <t>What Jhumka ? (From "Rocky Aur Rani Kii Prem Kahaani")</t>
  </si>
  <si>
    <t>Pritam</t>
  </si>
  <si>
    <t>Lean Wit Me</t>
  </si>
  <si>
    <t>HOTEL LOBBY (Unc &amp; Phew)</t>
  </si>
  <si>
    <t>Quavo</t>
  </si>
  <si>
    <t>Choli Ke Peeche (From "Crew")</t>
  </si>
  <si>
    <t>Diljit Dosanjh</t>
  </si>
  <si>
    <t>April Rain in August Weather</t>
  </si>
  <si>
    <t>Baba Blakes</t>
  </si>
  <si>
    <t>LEATHER</t>
  </si>
  <si>
    <t>MAKAELA</t>
  </si>
  <si>
    <t>Panini</t>
  </si>
  <si>
    <t>She Had Me At Heads Carolina</t>
  </si>
  <si>
    <t>Cole Swindell</t>
  </si>
  <si>
    <t>So Long, London</t>
  </si>
  <si>
    <t>bad idea right?</t>
  </si>
  <si>
    <t>Ay, DiOs Mï¿½ï</t>
  </si>
  <si>
    <t>happier</t>
  </si>
  <si>
    <t>Lalala</t>
  </si>
  <si>
    <t>Y2K</t>
  </si>
  <si>
    <t>ONE MORE TIME</t>
  </si>
  <si>
    <t>blink-182</t>
  </si>
  <si>
    <t>HoneyWorks</t>
  </si>
  <si>
    <t>Tubarï¿½ï¿½o Te</t>
  </si>
  <si>
    <t>Dj LK da Escï¿½ï¿</t>
  </si>
  <si>
    <t>Chichiquetere</t>
  </si>
  <si>
    <t>HCTM</t>
  </si>
  <si>
    <t>After Hours</t>
  </si>
  <si>
    <t>Kehlani</t>
  </si>
  <si>
    <t>Monkeys Spinning Monkeys</t>
  </si>
  <si>
    <t>Kevin MacLeod</t>
  </si>
  <si>
    <t>II MOST WANTED</t>
  </si>
  <si>
    <t>One Kiss (with Dua Lipa)</t>
  </si>
  <si>
    <t>Mmhmm</t>
  </si>
  <si>
    <t>BigXthaPlug</t>
  </si>
  <si>
    <t>BOP</t>
  </si>
  <si>
    <t>Husn</t>
  </si>
  <si>
    <t>Anuv Jain</t>
  </si>
  <si>
    <t>Titanium (feat. Sia)</t>
  </si>
  <si>
    <t>Kahani Suno 2.0</t>
  </si>
  <si>
    <t>Kaifi Khalil</t>
  </si>
  <si>
    <t>No_se_ve.mp3</t>
  </si>
  <si>
    <t>Lean On (feat. Mï¿½ï¿½ &amp; DJ Snake) - J Balvin &amp; Farruko R</t>
  </si>
  <si>
    <t>Arcade</t>
  </si>
  <si>
    <t>Duncan Laurence</t>
  </si>
  <si>
    <t>Ya Te Olvide</t>
  </si>
  <si>
    <t>How Deep Is Your Love</t>
  </si>
  <si>
    <t>BUTTERFLY EFFECT</t>
  </si>
  <si>
    <t>Let You Down</t>
  </si>
  <si>
    <t>NF</t>
  </si>
  <si>
    <t>FE!N (feat. Playboi Carti)</t>
  </si>
  <si>
    <t xml:space="preserve">Bad Memories (feat. Elley Duhï¿½ï¿½ &amp; FAST </t>
  </si>
  <si>
    <t>Yo Perreo Sola</t>
  </si>
  <si>
    <t>ETA</t>
  </si>
  <si>
    <t>Ryan Castro</t>
  </si>
  <si>
    <t>Take You Dancing</t>
  </si>
  <si>
    <t>BUBALU</t>
  </si>
  <si>
    <t>Be Alright</t>
  </si>
  <si>
    <t>Jalebi Baby</t>
  </si>
  <si>
    <t>Tesher</t>
  </si>
  <si>
    <t>Endless Summer</t>
  </si>
  <si>
    <t>Belly Dancer</t>
  </si>
  <si>
    <t>Imanbek</t>
  </si>
  <si>
    <t>Who Told You (feat. Drake)</t>
  </si>
  <si>
    <t>J Hus</t>
  </si>
  <si>
    <t>NIGHT DANCER</t>
  </si>
  <si>
    <t>imase</t>
  </si>
  <si>
    <t>Yoksun</t>
  </si>
  <si>
    <t>Ebru Yaï¿½ï</t>
  </si>
  <si>
    <t>DON'T YOU WORRY</t>
  </si>
  <si>
    <t>Rowdy Baby (From "Maari 2")</t>
  </si>
  <si>
    <t>Dhanush</t>
  </si>
  <si>
    <t>MIDDLE OF THE NIGHT</t>
  </si>
  <si>
    <t>Elley Duhï¿</t>
  </si>
  <si>
    <t>Pickup Man (feat. Post Malone)</t>
  </si>
  <si>
    <t>HARDY</t>
  </si>
  <si>
    <t>Volando (Remix)</t>
  </si>
  <si>
    <t>Mora</t>
  </si>
  <si>
    <t>Moth To A Flame (with The Weeknd)</t>
  </si>
  <si>
    <t>Swedish House Mafia</t>
  </si>
  <si>
    <t>WORTH IT (feat. Don Toliver)</t>
  </si>
  <si>
    <t>Offset</t>
  </si>
  <si>
    <t xml:space="preserve">Canï¿½ï¿½ï¿½t Catch Me Now - from The Hunger Games: The Ballad of Songbirds &amp; </t>
  </si>
  <si>
    <t>Solteiro Forï¿½ï¿½ado - (Boiadeira Internacio</t>
  </si>
  <si>
    <t>Ana Castela</t>
  </si>
  <si>
    <t>Naina (From "Crew")</t>
  </si>
  <si>
    <t>Bel Bont El3areedh</t>
  </si>
  <si>
    <t>Hussain Aljassmi</t>
  </si>
  <si>
    <t>Naa Ready (From "Leo")</t>
  </si>
  <si>
    <t>Dï¿½ï¿½jala Que Vuelva (feat. Manuel Tur</t>
  </si>
  <si>
    <t>Piso 21</t>
  </si>
  <si>
    <t>Feel the POP</t>
  </si>
  <si>
    <t>ZEROBASEONE</t>
  </si>
  <si>
    <t>Diamonds</t>
  </si>
  <si>
    <t>Fuera del mercado</t>
  </si>
  <si>
    <t>Danny Ocean</t>
  </si>
  <si>
    <t>Poor People We</t>
  </si>
  <si>
    <t>Harp and a monkey</t>
  </si>
  <si>
    <t>El Cielo</t>
  </si>
  <si>
    <t>Sky Rompiendo</t>
  </si>
  <si>
    <t>ALL MY FELLAS</t>
  </si>
  <si>
    <t>Frizk</t>
  </si>
  <si>
    <t>Bebefinn Song</t>
  </si>
  <si>
    <t>BITTERSUITE</t>
  </si>
  <si>
    <t>Me Fui de Vacaciones</t>
  </si>
  <si>
    <t>Talk (feat. Disclosure)</t>
  </si>
  <si>
    <t>Rompe La Dompe</t>
  </si>
  <si>
    <t>greedy sped up</t>
  </si>
  <si>
    <t>Reloj</t>
  </si>
  <si>
    <t>ýýýýýýýýýýýýýýýýýýýýýýýýýýý</t>
  </si>
  <si>
    <t>ýýýýýýýýýýýý ýýýýýýýýýýýýýýýýýýýýýýýýýýý</t>
  </si>
  <si>
    <t xml:space="preserve">Youï¿½ï¿½ï¿½re Mines Still (feat. </t>
  </si>
  <si>
    <t>Yung Bleu</t>
  </si>
  <si>
    <t>BADGYAL</t>
  </si>
  <si>
    <t>SAIKO</t>
  </si>
  <si>
    <t>Sorry 4 The Wait</t>
  </si>
  <si>
    <t>Lil Wayne</t>
  </si>
  <si>
    <t>DILUVIO</t>
  </si>
  <si>
    <t>ZEZE (feat. Travis Scott &amp; Offset)</t>
  </si>
  <si>
    <t>Kesariya (From "Brahmastra")</t>
  </si>
  <si>
    <t>The Craving (single version)</t>
  </si>
  <si>
    <t>Bartolito</t>
  </si>
  <si>
    <t>Duo Tiempo de Sol</t>
  </si>
  <si>
    <t>Peaches</t>
  </si>
  <si>
    <t>Jack Black</t>
  </si>
  <si>
    <t>Counting stars</t>
  </si>
  <si>
    <t>Take My Breath - Single Version</t>
  </si>
  <si>
    <t>Lavender Haze</t>
  </si>
  <si>
    <t>KU LO SA - A COLORS SHOW</t>
  </si>
  <si>
    <t>Oxlade</t>
  </si>
  <si>
    <t>Toca o Trompete</t>
  </si>
  <si>
    <t>Felipe Amorim</t>
  </si>
  <si>
    <t>Nobody Gets Me</t>
  </si>
  <si>
    <t>Sleep Well</t>
  </si>
  <si>
    <t>CG5</t>
  </si>
  <si>
    <t>Hei Apa Apa / Tik Tak Tik Tik</t>
  </si>
  <si>
    <t>Donny Fernanda</t>
  </si>
  <si>
    <t>Glock In My Lap</t>
  </si>
  <si>
    <t>overseas</t>
  </si>
  <si>
    <t>Ken Carson</t>
  </si>
  <si>
    <t>CORAZï¿½ï¿½N VA</t>
  </si>
  <si>
    <t>Maria Becerra</t>
  </si>
  <si>
    <t>PUNTO G</t>
  </si>
  <si>
    <t>Muqabla (From "Street Dancer 3D")</t>
  </si>
  <si>
    <t>Yash Narvekar</t>
  </si>
  <si>
    <t>Ditto</t>
  </si>
  <si>
    <t>Katchi Sera - From "Think Indie"</t>
  </si>
  <si>
    <t>Sai Abhyankkar</t>
  </si>
  <si>
    <t>Bubble Gum</t>
  </si>
  <si>
    <t>Abejita Chiquitita</t>
  </si>
  <si>
    <t>El Payaso Plim Plim</t>
  </si>
  <si>
    <t>Love wins all</t>
  </si>
  <si>
    <t>IU</t>
  </si>
  <si>
    <t>PRINCESITA DE ...</t>
  </si>
  <si>
    <t>Lo Siento BB:/ (with Bad Bunny &amp; Julieta Venegas)</t>
  </si>
  <si>
    <t>BABY HELLO</t>
  </si>
  <si>
    <t>ONE CALL</t>
  </si>
  <si>
    <t>Rich Amiri</t>
  </si>
  <si>
    <t>Pehle Bhi Main</t>
  </si>
  <si>
    <t>Vishal Mishra</t>
  </si>
  <si>
    <t>pasa michaelson</t>
  </si>
  <si>
    <t>2/Catorce</t>
  </si>
  <si>
    <t>Ride</t>
  </si>
  <si>
    <t>Dusk Till Dawn (feat. Sia)</t>
  </si>
  <si>
    <t>ZAYN</t>
  </si>
  <si>
    <t>Physical</t>
  </si>
  <si>
    <t>Pumped Up Kicks</t>
  </si>
  <si>
    <t>Foster The People</t>
  </si>
  <si>
    <t>Yes Indeed</t>
  </si>
  <si>
    <t>Open Arms (feat. Travis Scott)</t>
  </si>
  <si>
    <t>edamame (feat. Rich Brian)</t>
  </si>
  <si>
    <t>bbno$</t>
  </si>
  <si>
    <t>Turn Down for What</t>
  </si>
  <si>
    <t>Calling (feat. A Boogie wit da Hoodie) [Spider-Man: Across the Spider-Verse]</t>
  </si>
  <si>
    <t>Smokin Out The Window</t>
  </si>
  <si>
    <t>Goin' Off</t>
  </si>
  <si>
    <t>Close To You</t>
  </si>
  <si>
    <t>Gracie Abrams</t>
  </si>
  <si>
    <t>Pagli Dekhave Agarbatti</t>
  </si>
  <si>
    <t>Neelkamal Singh</t>
  </si>
  <si>
    <t>From The D To The A (feat. Lil Yachty)</t>
  </si>
  <si>
    <t>Tee Grizzley</t>
  </si>
  <si>
    <t>Me Rehï¿½ï</t>
  </si>
  <si>
    <t>Nonsense</t>
  </si>
  <si>
    <t>Run It Up (feat. Offset &amp; Moneybagg Yo)</t>
  </si>
  <si>
    <t>Lose You To Love Me</t>
  </si>
  <si>
    <t>Worth It</t>
  </si>
  <si>
    <t>YK Osiris</t>
  </si>
  <si>
    <t>Fight The Feeling</t>
  </si>
  <si>
    <t>Axel F</t>
  </si>
  <si>
    <t>Crazy Frog</t>
  </si>
  <si>
    <t>Robbery</t>
  </si>
  <si>
    <t>Bebe Dame</t>
  </si>
  <si>
    <t>Green Green Grass</t>
  </si>
  <si>
    <t>George Ezra</t>
  </si>
  <si>
    <t>Zihaal e Miskin</t>
  </si>
  <si>
    <t>Javed-Mohsin</t>
  </si>
  <si>
    <t>Fiel</t>
  </si>
  <si>
    <t>Los Legendarios</t>
  </si>
  <si>
    <t>Neverita</t>
  </si>
  <si>
    <t>2002 - Remix</t>
  </si>
  <si>
    <t>Shaun Reynolds</t>
  </si>
  <si>
    <t>Infinity</t>
  </si>
  <si>
    <t>Jaymes Young</t>
  </si>
  <si>
    <t>Popular (with Playboi Carti &amp; Madonna) - Music from the HBO Original Series</t>
  </si>
  <si>
    <t>adore u</t>
  </si>
  <si>
    <t>Fred again..</t>
  </si>
  <si>
    <t>Numb Little Bug</t>
  </si>
  <si>
    <t>Em Beihold</t>
  </si>
  <si>
    <t>Feel It</t>
  </si>
  <si>
    <t>Loco Contigo (feat. J. Balvin &amp; Tyga)</t>
  </si>
  <si>
    <t>Faz um Vuk Vuk (Teto Espelhado)</t>
  </si>
  <si>
    <t>MC Kevin o Chris</t>
  </si>
  <si>
    <t>Suicidal</t>
  </si>
  <si>
    <t>Photo (From "Luka Chuppi")</t>
  </si>
  <si>
    <t>Karan Sehmbi</t>
  </si>
  <si>
    <t>Sky</t>
  </si>
  <si>
    <t>Playboi Carti</t>
  </si>
  <si>
    <t>Love On</t>
  </si>
  <si>
    <t>Payphone</t>
  </si>
  <si>
    <t>Brickell</t>
  </si>
  <si>
    <t>I Like Me Better</t>
  </si>
  <si>
    <t>RUNAWAY</t>
  </si>
  <si>
    <t>Que Se Cuide</t>
  </si>
  <si>
    <t>On My Love</t>
  </si>
  <si>
    <t>Zara Larsson</t>
  </si>
  <si>
    <t>She Share Story</t>
  </si>
  <si>
    <t>Shayne Orok</t>
  </si>
  <si>
    <t>Mujeriego</t>
  </si>
  <si>
    <t>Miss The Rage (feat. Playboi Carti)</t>
  </si>
  <si>
    <t>Trippie Redd</t>
  </si>
  <si>
    <t>TUTA GOLD</t>
  </si>
  <si>
    <t>Mahmood</t>
  </si>
  <si>
    <t>My Boy Only Breaks His Favorite Toys</t>
  </si>
  <si>
    <t>Dandini Dandini Dastana</t>
  </si>
  <si>
    <t>Derya Yildirim</t>
  </si>
  <si>
    <t>Florida!!! (feat. Florence + the Machine)</t>
  </si>
  <si>
    <t>Legends</t>
  </si>
  <si>
    <t>Black Beatles</t>
  </si>
  <si>
    <t>Rae Sremmurd</t>
  </si>
  <si>
    <t>King Size</t>
  </si>
  <si>
    <t>Girls Want Girls (with Lil Baby)</t>
  </si>
  <si>
    <t>Linger - SiriusXM Session</t>
  </si>
  <si>
    <t>Royel Otis</t>
  </si>
  <si>
    <t>SLOW DANCING IN THE DARK</t>
  </si>
  <si>
    <t>BIPOLAR</t>
  </si>
  <si>
    <t>Addicted</t>
  </si>
  <si>
    <t>Besos Moja2</t>
  </si>
  <si>
    <t>Wisin &amp; Yandel</t>
  </si>
  <si>
    <t>Wake Up in the Sky</t>
  </si>
  <si>
    <t>Gucci Mane</t>
  </si>
  <si>
    <t>El Chico Del Apartamento 512 - Remasterizado 2024/30th Anniversary</t>
  </si>
  <si>
    <t>Papercut</t>
  </si>
  <si>
    <t>Chanel</t>
  </si>
  <si>
    <t>Otro Trago</t>
  </si>
  <si>
    <t>Back In Blood (feat. Lil Durk)</t>
  </si>
  <si>
    <t>Pooh Shiesty</t>
  </si>
  <si>
    <t>Jugaste y Sufrï¿</t>
  </si>
  <si>
    <t>Una Foto Remix (feat. Emilia)</t>
  </si>
  <si>
    <t>Mesita</t>
  </si>
  <si>
    <t>Religiously</t>
  </si>
  <si>
    <t>What Happened To Virgil (feat. Gunna)</t>
  </si>
  <si>
    <t>Hello</t>
  </si>
  <si>
    <t>HAY LUPITA</t>
  </si>
  <si>
    <t>Lomiiel</t>
  </si>
  <si>
    <t>Gatita</t>
  </si>
  <si>
    <t>World on Fire</t>
  </si>
  <si>
    <t>Nate Smith</t>
  </si>
  <si>
    <t>Love You Anyway</t>
  </si>
  <si>
    <t>MOJABI GHOST</t>
  </si>
  <si>
    <t>N95</t>
  </si>
  <si>
    <t>Niagara Falls (Foot or 2) [with Travis Scott &amp; 21 Savage]</t>
  </si>
  <si>
    <t>Volvï¿</t>
  </si>
  <si>
    <t>Didi Romero</t>
  </si>
  <si>
    <t>You're Really Funny</t>
  </si>
  <si>
    <t>Crocodyle</t>
  </si>
  <si>
    <t>Earned It (Fifty Shades Of Grey)</t>
  </si>
  <si>
    <t>Gucci Gang</t>
  </si>
  <si>
    <t>Lil Pump</t>
  </si>
  <si>
    <t>La Bebe</t>
  </si>
  <si>
    <t>Jaded</t>
  </si>
  <si>
    <t>Bye</t>
  </si>
  <si>
    <t>L$d</t>
  </si>
  <si>
    <t>Luclover</t>
  </si>
  <si>
    <t>Wolves</t>
  </si>
  <si>
    <t>Scars To Your Beautiful</t>
  </si>
  <si>
    <t>Alessia Cara</t>
  </si>
  <si>
    <t>FRI(END)S</t>
  </si>
  <si>
    <t>V</t>
  </si>
  <si>
    <t>Surface Pressure</t>
  </si>
  <si>
    <t>Jessica Darrow</t>
  </si>
  <si>
    <t>Volver Al Futuro</t>
  </si>
  <si>
    <t>Praise God</t>
  </si>
  <si>
    <t>Kanye West</t>
  </si>
  <si>
    <t>Friesenjung</t>
  </si>
  <si>
    <t>Ski Aggu</t>
  </si>
  <si>
    <t>El Azul</t>
  </si>
  <si>
    <t>EARFQUAKE</t>
  </si>
  <si>
    <t>Tyler, The Creator</t>
  </si>
  <si>
    <t>Ya Supï¿½ï¿½rame (En V</t>
  </si>
  <si>
    <t>if u think i'm pretty</t>
  </si>
  <si>
    <t>Fin de Semana</t>
  </si>
  <si>
    <t>Everybody (feat. Lil Uzi Vert)</t>
  </si>
  <si>
    <t>Every Breath You Take</t>
  </si>
  <si>
    <t>Bonnie Kimmel</t>
  </si>
  <si>
    <t>My Oh My (feat. DaBaby)</t>
  </si>
  <si>
    <t>Forever After All</t>
  </si>
  <si>
    <t>Fried (She a Vibe)</t>
  </si>
  <si>
    <t>123 Song</t>
  </si>
  <si>
    <t>Hello (feat. A Boogie Wit da Hoodie)</t>
  </si>
  <si>
    <t>Numb</t>
  </si>
  <si>
    <t>Ojapiano</t>
  </si>
  <si>
    <t>KCee</t>
  </si>
  <si>
    <t>Area Codes</t>
  </si>
  <si>
    <t>Kaliii</t>
  </si>
  <si>
    <t>Medallo</t>
  </si>
  <si>
    <t>Blessd</t>
  </si>
  <si>
    <t>Domingo Abacaxi Flamingo</t>
  </si>
  <si>
    <t>Bolofofos</t>
  </si>
  <si>
    <t>Riptide</t>
  </si>
  <si>
    <t>Vance Joy</t>
  </si>
  <si>
    <t>Ch y la Pizza</t>
  </si>
  <si>
    <t>In Ha Mood</t>
  </si>
  <si>
    <t>Ice Spice</t>
  </si>
  <si>
    <t>POR QUï¿½ï¿½ SE</t>
  </si>
  <si>
    <t>ALL MINE</t>
  </si>
  <si>
    <t>Brent Faiyaz</t>
  </si>
  <si>
    <t>Let Me Know (I Wonder Why Freestyle)</t>
  </si>
  <si>
    <t>The Night We Met</t>
  </si>
  <si>
    <t>Lord Huron</t>
  </si>
  <si>
    <t>Playa Del Inglï¿½</t>
  </si>
  <si>
    <t>BOO!SHUT</t>
  </si>
  <si>
    <t>PIGGS</t>
  </si>
  <si>
    <t>HOLA PERDIDA REMIX</t>
  </si>
  <si>
    <t>Talk</t>
  </si>
  <si>
    <t>Now And Then</t>
  </si>
  <si>
    <t>The Beatles</t>
  </si>
  <si>
    <t>Sign on the Door</t>
  </si>
  <si>
    <t>Dora Lachaise</t>
  </si>
  <si>
    <t>For Life (feat. Zak Abel &amp; Nile Rodgers)</t>
  </si>
  <si>
    <t>Kya Loge Tum</t>
  </si>
  <si>
    <t>B Praak</t>
  </si>
  <si>
    <t>California Breeze</t>
  </si>
  <si>
    <t>Nonstop</t>
  </si>
  <si>
    <t>LOVE DIVE</t>
  </si>
  <si>
    <t>Alucin</t>
  </si>
  <si>
    <t>Eugenio Esquivel</t>
  </si>
  <si>
    <t>Go Stupid</t>
  </si>
  <si>
    <t>POPSTAR (feat. Drake)</t>
  </si>
  <si>
    <t>DJ Khaled</t>
  </si>
  <si>
    <t>Qual ï¿½ï¿½ o seu des</t>
  </si>
  <si>
    <t>Tz da Coronel</t>
  </si>
  <si>
    <t>Lovesick Girls</t>
  </si>
  <si>
    <t>Solo (feat. Demi Lovato)</t>
  </si>
  <si>
    <t>Una Vida Pasada</t>
  </si>
  <si>
    <t>Steven Universe</t>
  </si>
  <si>
    <t>L.Dre</t>
  </si>
  <si>
    <t>places to be</t>
  </si>
  <si>
    <t>ASI ES LA VIDA</t>
  </si>
  <si>
    <t>Enrique Iglesias</t>
  </si>
  <si>
    <t>Corazï¿½</t>
  </si>
  <si>
    <t>Elvira</t>
  </si>
  <si>
    <t>Fantasias</t>
  </si>
  <si>
    <t>El Jefe</t>
  </si>
  <si>
    <t>Am</t>
  </si>
  <si>
    <t>Te Lo Agradezco</t>
  </si>
  <si>
    <t>Kany Garcï¿½</t>
  </si>
  <si>
    <t>PLEBADA</t>
  </si>
  <si>
    <t>El Alfa</t>
  </si>
  <si>
    <t>Marea (Weï¿½ï¿½ï¿½ve Lost Da</t>
  </si>
  <si>
    <t>Fall In Love</t>
  </si>
  <si>
    <t>Cupid</t>
  </si>
  <si>
    <t>Dj Gamm Gamm Piri Slow</t>
  </si>
  <si>
    <t>DJ BAHBUS</t>
  </si>
  <si>
    <t>Guilty as Sin?</t>
  </si>
  <si>
    <t>Waiting For Love</t>
  </si>
  <si>
    <t>BOMBï¿½</t>
  </si>
  <si>
    <t>Muramatsu Karaoke</t>
  </si>
  <si>
    <t>EVERY CHANCE I GET (feat. Lil Baby &amp; Lil Durk)</t>
  </si>
  <si>
    <t>Mo Bamba</t>
  </si>
  <si>
    <t>Sheck Wes</t>
  </si>
  <si>
    <t>Bank Account</t>
  </si>
  <si>
    <t>One Of The Girls (with JENNIE, Lily Rose Depp)</t>
  </si>
  <si>
    <t>Get You The Moon (feat. Snï¿½ï</t>
  </si>
  <si>
    <t>Never Felt So Alone</t>
  </si>
  <si>
    <t>Labrinth</t>
  </si>
  <si>
    <t>Baile do Bruxo</t>
  </si>
  <si>
    <t>Tropa do Bruxo</t>
  </si>
  <si>
    <t>Love Me JeJe</t>
  </si>
  <si>
    <t>Tems</t>
  </si>
  <si>
    <t>Heather</t>
  </si>
  <si>
    <t>Conan Gray</t>
  </si>
  <si>
    <t>Come &amp; Go (with Marshmello)</t>
  </si>
  <si>
    <t>Mas Rica Que Ayer</t>
  </si>
  <si>
    <t>Love Again</t>
  </si>
  <si>
    <t xml:space="preserve">Bï¿½ï¿½cane - A COLORS </t>
  </si>
  <si>
    <t>Yamï¿</t>
  </si>
  <si>
    <t>all of me</t>
  </si>
  <si>
    <t>Giving Me</t>
  </si>
  <si>
    <t>Jazzy</t>
  </si>
  <si>
    <t>Attitude (feat. Charlie Wilson &amp; Cash Cobain)</t>
  </si>
  <si>
    <t>What Do You Mean?</t>
  </si>
  <si>
    <t>Bailando - English Version</t>
  </si>
  <si>
    <t>ýýýýýýýýýýýý ýýýýýýýýýýýýýýýý ýýýýýýýýýý</t>
  </si>
  <si>
    <t>Jazzdauren</t>
  </si>
  <si>
    <t>TV</t>
  </si>
  <si>
    <t>But Daddy I Love Him</t>
  </si>
  <si>
    <t>Tiroteo - Remix</t>
  </si>
  <si>
    <t>Marc Seguï¿</t>
  </si>
  <si>
    <t>pushin P (feat. Young Thug)</t>
  </si>
  <si>
    <t>Take Me to Church</t>
  </si>
  <si>
    <t>It's You</t>
  </si>
  <si>
    <t>Ali Gatie</t>
  </si>
  <si>
    <t>Love Lee</t>
  </si>
  <si>
    <t>AKMU</t>
  </si>
  <si>
    <t>Jump</t>
  </si>
  <si>
    <t>Venom - Music From The Motion Picture</t>
  </si>
  <si>
    <t>fantasmas</t>
  </si>
  <si>
    <t>Humbe</t>
  </si>
  <si>
    <t>Basit Numaralar</t>
  </si>
  <si>
    <t>Zerrin ï¿½ï¿</t>
  </si>
  <si>
    <t>The Painter</t>
  </si>
  <si>
    <t>Cody Johnson</t>
  </si>
  <si>
    <t>Chiky Boom</t>
  </si>
  <si>
    <t>Paylon</t>
  </si>
  <si>
    <t>Me &amp; U</t>
  </si>
  <si>
    <t>Vista Al Mar</t>
  </si>
  <si>
    <t>Imagine</t>
  </si>
  <si>
    <t>Carbonne</t>
  </si>
  <si>
    <t>All The Stars (with SZA)</t>
  </si>
  <si>
    <t>Lehanga</t>
  </si>
  <si>
    <t>Jass Manak</t>
  </si>
  <si>
    <t>X (feat. Future)</t>
  </si>
  <si>
    <t>CRAZYZ</t>
  </si>
  <si>
    <t>Passionfruit</t>
  </si>
  <si>
    <t>Like Crazy</t>
  </si>
  <si>
    <t>Jimin</t>
  </si>
  <si>
    <t>I Donï¿½ï¿½ï¿½t Wanna Live Forever (Fifty Shades D</t>
  </si>
  <si>
    <t>What It Is (Solo Version)</t>
  </si>
  <si>
    <t>Bad and Boujee (feat. Lil Uzi Vert)</t>
  </si>
  <si>
    <t>Migos</t>
  </si>
  <si>
    <t>SUBEME LA RADIO (feat. Descemer Bueno &amp; Zion &amp; Lennox)</t>
  </si>
  <si>
    <t>Soak City (Do it)</t>
  </si>
  <si>
    <t>310babii</t>
  </si>
  <si>
    <t>The Woo (feat. 50 Cent &amp; Roddy Ricch)</t>
  </si>
  <si>
    <t>Cheerleader - Felix Jaehn Remix Radio Edit</t>
  </si>
  <si>
    <t>OMI</t>
  </si>
  <si>
    <t>Woah (feat. D3Mstreet)</t>
  </si>
  <si>
    <t>KRYPTO9095</t>
  </si>
  <si>
    <t>Wrecking Ball</t>
  </si>
  <si>
    <t>Stereo Love (TikTok Remix)</t>
  </si>
  <si>
    <t>DJRemixGod</t>
  </si>
  <si>
    <t>Stuck with U (with Justin Bieber)</t>
  </si>
  <si>
    <t>she's all i wanna be</t>
  </si>
  <si>
    <t>Oh My God</t>
  </si>
  <si>
    <t>Leave Out All The Rest</t>
  </si>
  <si>
    <t>iSpy (feat. Lil Yachty)</t>
  </si>
  <si>
    <t>KYLE</t>
  </si>
  <si>
    <t>I AM</t>
  </si>
  <si>
    <t>Midnight Sky</t>
  </si>
  <si>
    <t>Earth, Wind &amp; Fire</t>
  </si>
  <si>
    <t>BOYNEXTDOOR</t>
  </si>
  <si>
    <t>Andrea</t>
  </si>
  <si>
    <t>Ric Flair Drip (with Metro Boomin)</t>
  </si>
  <si>
    <t>Dï¿½ï¿½</t>
  </si>
  <si>
    <t>Teya Dora</t>
  </si>
  <si>
    <t>Going Bad (feat. Drake)</t>
  </si>
  <si>
    <t>Meek Mill</t>
  </si>
  <si>
    <t>Tenho Que Me Decidir</t>
  </si>
  <si>
    <t>MC PH</t>
  </si>
  <si>
    <t>Wunder</t>
  </si>
  <si>
    <t>AYLIVA</t>
  </si>
  <si>
    <t>Safaera</t>
  </si>
  <si>
    <t>Baby</t>
  </si>
  <si>
    <t>On BS</t>
  </si>
  <si>
    <t>Marlboro Remix</t>
  </si>
  <si>
    <t>LAGUNAS</t>
  </si>
  <si>
    <t>Narcotics (with Bryant Myers)</t>
  </si>
  <si>
    <t>Dei V</t>
  </si>
  <si>
    <t>Linea del Perreo (feat. Dj Kiire)</t>
  </si>
  <si>
    <t>Uzielito Mix</t>
  </si>
  <si>
    <t>24K Magic</t>
  </si>
  <si>
    <t>The Feels</t>
  </si>
  <si>
    <t>TWICE</t>
  </si>
  <si>
    <t>Someone Like You</t>
  </si>
  <si>
    <t>Oh U Went (feat. Drake)</t>
  </si>
  <si>
    <t>Right Now (Feat. Crush)</t>
  </si>
  <si>
    <t>Coogie</t>
  </si>
  <si>
    <t>Burn</t>
  </si>
  <si>
    <t>High Fashion (feat. Mustard)</t>
  </si>
  <si>
    <t>Ronald</t>
  </si>
  <si>
    <t>Falling In Reverse</t>
  </si>
  <si>
    <t>We Paid (feat. 42 Dugg)</t>
  </si>
  <si>
    <t>Boss Bitch</t>
  </si>
  <si>
    <t>Ballena</t>
  </si>
  <si>
    <t>Vulgo FK</t>
  </si>
  <si>
    <t>Locked Away (feat. Adam Levine)</t>
  </si>
  <si>
    <t>R. City</t>
  </si>
  <si>
    <t>Tal Vez</t>
  </si>
  <si>
    <t>Paulo Londra</t>
  </si>
  <si>
    <t>the remedy for a broken heart (why am I so in love)</t>
  </si>
  <si>
    <t>Beautiful Mistakes (feat. Megan Thee Stallion)</t>
  </si>
  <si>
    <t>Cynical</t>
  </si>
  <si>
    <t>twocolors</t>
  </si>
  <si>
    <t>These Words</t>
  </si>
  <si>
    <t>Badger</t>
  </si>
  <si>
    <t>Robarte un Beso</t>
  </si>
  <si>
    <t>Carlos Vives</t>
  </si>
  <si>
    <t>Vida Gangster</t>
  </si>
  <si>
    <t>Lauty Gram</t>
  </si>
  <si>
    <t>For My Hand (feat. Ed Sheeran)</t>
  </si>
  <si>
    <t>Cowgirls (feat. ERNEST)</t>
  </si>
  <si>
    <t>'Til You Can't</t>
  </si>
  <si>
    <t>Those Oldies but Goodies</t>
  </si>
  <si>
    <t>Little Caesar &amp; the Romans</t>
  </si>
  <si>
    <t>Dark Horse</t>
  </si>
  <si>
    <t>Hass Hass</t>
  </si>
  <si>
    <t>You Got It</t>
  </si>
  <si>
    <t>Vedo</t>
  </si>
  <si>
    <t>LDR</t>
  </si>
  <si>
    <t>Shoti</t>
  </si>
  <si>
    <t>Kaavaalaa (From "Jailer")</t>
  </si>
  <si>
    <t>Shilpa Rao</t>
  </si>
  <si>
    <t>Me or Sum (feat. Future &amp; Lil Baby)</t>
  </si>
  <si>
    <t>You're Welcome</t>
  </si>
  <si>
    <t>Dwayne Johnson</t>
  </si>
  <si>
    <t>LA NOCHE DE ANOCHE</t>
  </si>
  <si>
    <t>Fuk Sumn</t>
  </si>
  <si>
    <t>Billete Grande (En Vivo)</t>
  </si>
  <si>
    <t>Royals</t>
  </si>
  <si>
    <t>Lorde</t>
  </si>
  <si>
    <t>Charm</t>
  </si>
  <si>
    <t>prove it</t>
  </si>
  <si>
    <t>Mon Amour - Remix</t>
  </si>
  <si>
    <t>zzoilo</t>
  </si>
  <si>
    <t>Adan y Eva</t>
  </si>
  <si>
    <t>No Lie</t>
  </si>
  <si>
    <t>Sean Paul</t>
  </si>
  <si>
    <t>Phir Aur Kya Chahiye (From "Zara Hatke Zara Bachke")</t>
  </si>
  <si>
    <t>Sachin-Jigar</t>
  </si>
  <si>
    <t>10 Carros</t>
  </si>
  <si>
    <t>Chefin</t>
  </si>
  <si>
    <t>The Astronaut</t>
  </si>
  <si>
    <t>JIN</t>
  </si>
  <si>
    <t>Gogo Dance</t>
  </si>
  <si>
    <t>Komang</t>
  </si>
  <si>
    <t>Raim Laode</t>
  </si>
  <si>
    <t>The Spectre</t>
  </si>
  <si>
    <t>ýýýýýýýýýýýýýýýýýý (feat. ýýýýýýýýý ýýýýýýýýýýýýýýý &amp; GUNNER)</t>
  </si>
  <si>
    <t>Juepak</t>
  </si>
  <si>
    <t>DARARI</t>
  </si>
  <si>
    <t>Ferxxo 100</t>
  </si>
  <si>
    <t>No Te Quieren Conmigo</t>
  </si>
  <si>
    <t>Gaby Music</t>
  </si>
  <si>
    <t>More than you know</t>
  </si>
  <si>
    <t>NoSpace</t>
  </si>
  <si>
    <t>Shower</t>
  </si>
  <si>
    <t>B.O.T.A. (Baddest Of Them All) - Edit</t>
  </si>
  <si>
    <t>Eliza Rose</t>
  </si>
  <si>
    <t>Chatak Matak</t>
  </si>
  <si>
    <t>Cooped Up (with Roddy Ricch)</t>
  </si>
  <si>
    <t>FRIENDS</t>
  </si>
  <si>
    <t>FINA</t>
  </si>
  <si>
    <t>Come back to me</t>
  </si>
  <si>
    <t>RM</t>
  </si>
  <si>
    <t>Whatsapp (Wassam)</t>
  </si>
  <si>
    <t>3:15 (Breathe)</t>
  </si>
  <si>
    <t>Russ</t>
  </si>
  <si>
    <t>Love Me Again</t>
  </si>
  <si>
    <t>Down Under (feat. Colin Hay)</t>
  </si>
  <si>
    <t>Luude</t>
  </si>
  <si>
    <t>Like That (feat. Gucci Mane)</t>
  </si>
  <si>
    <t>Control</t>
  </si>
  <si>
    <t>Zoe Wees</t>
  </si>
  <si>
    <t>Push Up - Original Mix</t>
  </si>
  <si>
    <t>Novo Balanï¿½</t>
  </si>
  <si>
    <t>Veigh</t>
  </si>
  <si>
    <t>Dancin (feat. Luvli) - Krono Remix</t>
  </si>
  <si>
    <t>Aaron Smith</t>
  </si>
  <si>
    <t>Goosebumps - Remix</t>
  </si>
  <si>
    <t>Die For You</t>
  </si>
  <si>
    <t>SC-9</t>
  </si>
  <si>
    <t>Yahir Saldivar</t>
  </si>
  <si>
    <t>We Are Young (feat. Janelle Monï¿½ï¿½e) - feat. Janelle M</t>
  </si>
  <si>
    <t>fun.</t>
  </si>
  <si>
    <t>My Head &amp; My Heart</t>
  </si>
  <si>
    <t>Accendio</t>
  </si>
  <si>
    <t>Deep End</t>
  </si>
  <si>
    <t>Fousheï¿</t>
  </si>
  <si>
    <t>Loosing interest</t>
  </si>
  <si>
    <t>Turbo S</t>
  </si>
  <si>
    <t>Yasin</t>
  </si>
  <si>
    <t>30 GRADOS RKT</t>
  </si>
  <si>
    <t>RUNE</t>
  </si>
  <si>
    <t>Mi Bello Angel</t>
  </si>
  <si>
    <t>Turks &amp; Caicos (feat. 21 Savage)</t>
  </si>
  <si>
    <t>Si Veo a Tu Mamï¿</t>
  </si>
  <si>
    <t>1-800-273-8255</t>
  </si>
  <si>
    <t>Logic</t>
  </si>
  <si>
    <t>Alibi (feat. Rudimental)</t>
  </si>
  <si>
    <t>Ella Henderson</t>
  </si>
  <si>
    <t>I LUV IT (feat. Playboi Carti)</t>
  </si>
  <si>
    <t>The Middle</t>
  </si>
  <si>
    <t>Zedd</t>
  </si>
  <si>
    <t>Doctor (Work It Out) [feat. Miley Cyrus]</t>
  </si>
  <si>
    <t>Pompeii</t>
  </si>
  <si>
    <t>Bastille</t>
  </si>
  <si>
    <t>Hymn For The Weekend - Seeb Remix</t>
  </si>
  <si>
    <t>Lonely (with benny blanco)</t>
  </si>
  <si>
    <t>Hold On</t>
  </si>
  <si>
    <t>Can't Hold Us - feat. Ray Dalton</t>
  </si>
  <si>
    <t>Macklemore &amp; Ryan Lewis</t>
  </si>
  <si>
    <t>I Like It</t>
  </si>
  <si>
    <t>8 Parche</t>
  </si>
  <si>
    <t>Baani Sandhu</t>
  </si>
  <si>
    <t>Modo DND</t>
  </si>
  <si>
    <t>THANK GOD</t>
  </si>
  <si>
    <t>Edith Whiskers</t>
  </si>
  <si>
    <t>The London (feat. J. Cole &amp; Travis Scott)</t>
  </si>
  <si>
    <t>Si Te Pudiera Mentir</t>
  </si>
  <si>
    <t>Calibre 50</t>
  </si>
  <si>
    <t>One Of Your Girls</t>
  </si>
  <si>
    <t>Tell Em</t>
  </si>
  <si>
    <t>Cochise</t>
  </si>
  <si>
    <t>Close Eyes</t>
  </si>
  <si>
    <t>DVRST</t>
  </si>
  <si>
    <t>Mr Pot Scraper</t>
  </si>
  <si>
    <t>LA DURANGO</t>
  </si>
  <si>
    <t>Please Me</t>
  </si>
  <si>
    <t>El Hijo Mayor</t>
  </si>
  <si>
    <t>Ruqya, Pt. 3</t>
  </si>
  <si>
    <t>Hani Rifai</t>
  </si>
  <si>
    <t>LA FAMA</t>
  </si>
  <si>
    <t>TIL FURTHER NOTICE</t>
  </si>
  <si>
    <t>Poblado (feat. Crissin, Totoy El Frio &amp; Natan &amp; Shander) [Remix]</t>
  </si>
  <si>
    <t>LOKERA</t>
  </si>
  <si>
    <t>cardigan</t>
  </si>
  <si>
    <t>See You Again (feat. Kali Uchis)</t>
  </si>
  <si>
    <t>Namas Today - Original Version</t>
  </si>
  <si>
    <t>CA3RD</t>
  </si>
  <si>
    <t>Amanece</t>
  </si>
  <si>
    <t>Popular</t>
  </si>
  <si>
    <t>King Shit</t>
  </si>
  <si>
    <t>LA INOCENTE</t>
  </si>
  <si>
    <t>Chicago Freestyle (feat. Giveon)</t>
  </si>
  <si>
    <t>Johnny Dang (with Paul Wall &amp; DRODi)</t>
  </si>
  <si>
    <t>That Mexican OT</t>
  </si>
  <si>
    <t>S-Class</t>
  </si>
  <si>
    <t>GASLIGHT</t>
  </si>
  <si>
    <t>INJI</t>
  </si>
  <si>
    <t>Die Young (feat. 347aidan)</t>
  </si>
  <si>
    <t>Vente Pa' Ca</t>
  </si>
  <si>
    <t>Ricky Martin</t>
  </si>
  <si>
    <t>Can't Tame Her</t>
  </si>
  <si>
    <t>VIBEZ</t>
  </si>
  <si>
    <t>I Don't Fuck With You</t>
  </si>
  <si>
    <t>Big Sean</t>
  </si>
  <si>
    <t>Se Grita</t>
  </si>
  <si>
    <t>Morad</t>
  </si>
  <si>
    <t>HYAENA</t>
  </si>
  <si>
    <t>KICK BACK</t>
  </si>
  <si>
    <t>Kenshi Yonezu</t>
  </si>
  <si>
    <t>M.A.I</t>
  </si>
  <si>
    <t>Milo j</t>
  </si>
  <si>
    <t>Tu hai kahan</t>
  </si>
  <si>
    <t>AUR</t>
  </si>
  <si>
    <t>WORK OUT GYM - DJ MIX</t>
  </si>
  <si>
    <t>Truth or Dare</t>
  </si>
  <si>
    <t>Just the Way You Are</t>
  </si>
  <si>
    <t>Rasputin</t>
  </si>
  <si>
    <t>Majestic</t>
  </si>
  <si>
    <t>Say It Right (Dance)</t>
  </si>
  <si>
    <t>MELON</t>
  </si>
  <si>
    <t>If the World Was Ending - feat. Julia Michaels</t>
  </si>
  <si>
    <t>JP Saxe</t>
  </si>
  <si>
    <t>How Far I'll Go - From "Moana"</t>
  </si>
  <si>
    <t>Hoshimachi Suisei</t>
  </si>
  <si>
    <t>Heartless</t>
  </si>
  <si>
    <t>Upa Cavalinho</t>
  </si>
  <si>
    <t>Galinha Pintadinha</t>
  </si>
  <si>
    <t>Show Time</t>
  </si>
  <si>
    <t>SUPER JUNIOR</t>
  </si>
  <si>
    <t>Mirrors</t>
  </si>
  <si>
    <t>we fell in love in october</t>
  </si>
  <si>
    <t>girl in red</t>
  </si>
  <si>
    <t>Sorry Not Sorry</t>
  </si>
  <si>
    <t>Demi Lovato</t>
  </si>
  <si>
    <t>X ESO BB</t>
  </si>
  <si>
    <t>Where Did You Go? (feat. MNEK)</t>
  </si>
  <si>
    <t>Jax Jones</t>
  </si>
  <si>
    <t>The Lazy Song</t>
  </si>
  <si>
    <t>Sex Sounds</t>
  </si>
  <si>
    <t>Despuï¿½ï¿½s de la P</t>
  </si>
  <si>
    <t>Asiwaju</t>
  </si>
  <si>
    <t>Ruger</t>
  </si>
  <si>
    <t>Sticky</t>
  </si>
  <si>
    <t>Mahiye Jinna Sohna Slowed + Reverb</t>
  </si>
  <si>
    <t>Darshan Raval</t>
  </si>
  <si>
    <t>hey! hey!</t>
  </si>
  <si>
    <t>TWS</t>
  </si>
  <si>
    <t>Centuries</t>
  </si>
  <si>
    <t>Fall Out Boy</t>
  </si>
  <si>
    <t>What Makes You Beautiful</t>
  </si>
  <si>
    <t>One Direction</t>
  </si>
  <si>
    <t>Sweetest Pie</t>
  </si>
  <si>
    <t>Reggaetï¿½ï¿½n Lento (Baile</t>
  </si>
  <si>
    <t>CNCO</t>
  </si>
  <si>
    <t>GMFU (w/ 6arelyhuman)</t>
  </si>
  <si>
    <t>Odetari</t>
  </si>
  <si>
    <t>SKITZO</t>
  </si>
  <si>
    <t>Friendly Fire</t>
  </si>
  <si>
    <t>Niï¿½ï¿½a Bo</t>
  </si>
  <si>
    <t>SkeeYee</t>
  </si>
  <si>
    <t>The Git Up</t>
  </si>
  <si>
    <t>Blanco Brown</t>
  </si>
  <si>
    <t>Beautiful Crazy</t>
  </si>
  <si>
    <t>Annihilate (Spider-Man: Across the Spider-Verse) (Metro Boomin &amp; Swae Lee, Lil Wayne, Offset)</t>
  </si>
  <si>
    <t>Lover</t>
  </si>
  <si>
    <t>Midas Touch</t>
  </si>
  <si>
    <t>KISS OF LIFE</t>
  </si>
  <si>
    <t>Follow You</t>
  </si>
  <si>
    <t>ýýýýýýýýýýýýýýýýýýýýýýýý</t>
  </si>
  <si>
    <t>Ptrp Studio</t>
  </si>
  <si>
    <t>Por las Noches</t>
  </si>
  <si>
    <t>Body Like A Back Road</t>
  </si>
  <si>
    <t>Sam Hunt</t>
  </si>
  <si>
    <t>Best Part (feat. H.E.R.)</t>
  </si>
  <si>
    <t>Daniel Caesar</t>
  </si>
  <si>
    <t>Melhor Vibe</t>
  </si>
  <si>
    <t>MC Ryan SP</t>
  </si>
  <si>
    <t>ýýýýýýýýýýýýýýýýýýýýýýýýýýýýýý</t>
  </si>
  <si>
    <t>ýýýýýýýýýýýýýýýýýýýýý ýýýýýýýýýýýýýýýýýýýýý</t>
  </si>
  <si>
    <t>Set Fire to the Rain</t>
  </si>
  <si>
    <t>Malvadï¿½ï¿</t>
  </si>
  <si>
    <t>Xamï¿</t>
  </si>
  <si>
    <t>2 Be Loved (Am I Ready)</t>
  </si>
  <si>
    <t>Shut Up and Dance</t>
  </si>
  <si>
    <t>WALK THE MOON</t>
  </si>
  <si>
    <t>SugarCrash!</t>
  </si>
  <si>
    <t>ElyOtto</t>
  </si>
  <si>
    <t>Sail</t>
  </si>
  <si>
    <t>AWOLNATION</t>
  </si>
  <si>
    <t>Solo Conmigo</t>
  </si>
  <si>
    <t>Romeo Santos</t>
  </si>
  <si>
    <t>Dial Drunk (with Post Malone)</t>
  </si>
  <si>
    <t>Piscina</t>
  </si>
  <si>
    <t>Bandit (with YoungBoy Never Broke Again)</t>
  </si>
  <si>
    <t>this is what falling in love feels like</t>
  </si>
  <si>
    <t>Galway Girl</t>
  </si>
  <si>
    <t>Firework</t>
  </si>
  <si>
    <t>wait in the truck (feat. Lainey Wilson)</t>
  </si>
  <si>
    <t>No Es por Acï¿</t>
  </si>
  <si>
    <t>Funny Song</t>
  </si>
  <si>
    <t>Cavendish Music</t>
  </si>
  <si>
    <t>Adventure Of A Lifetime</t>
  </si>
  <si>
    <t>Nice For What</t>
  </si>
  <si>
    <t>Us Vs Them</t>
  </si>
  <si>
    <t>$uicideboy$</t>
  </si>
  <si>
    <t>Vaaste</t>
  </si>
  <si>
    <t>Dhvani Bhanushali</t>
  </si>
  <si>
    <t>FALTA DE QUï¿½</t>
  </si>
  <si>
    <t>Left and Right (Feat. Jung Kook of BTS)</t>
  </si>
  <si>
    <t>Obsessed With You</t>
  </si>
  <si>
    <t>Bang!</t>
  </si>
  <si>
    <t>AJR</t>
  </si>
  <si>
    <t>Style (Taylor's Version)</t>
  </si>
  <si>
    <t>Gato de Noche</t>
  </si>
  <si>
    <t>ýýengo Flow</t>
  </si>
  <si>
    <t>Despeinada</t>
  </si>
  <si>
    <t>Runnin</t>
  </si>
  <si>
    <t>Melting</t>
  </si>
  <si>
    <t>Hey Driver (feat. The War and Treaty)</t>
  </si>
  <si>
    <t>REAL GANGSTA LOVE</t>
  </si>
  <si>
    <t>Trueno</t>
  </si>
  <si>
    <t>OKI DOKI</t>
  </si>
  <si>
    <t>Free Mind</t>
  </si>
  <si>
    <t>favorite crime</t>
  </si>
  <si>
    <t>La Forma en Que Me Miras</t>
  </si>
  <si>
    <t>Super Yei</t>
  </si>
  <si>
    <t>When You're Gone</t>
  </si>
  <si>
    <t>High Road (feat. Jessie Murph)</t>
  </si>
  <si>
    <t>Koe Wetzel</t>
  </si>
  <si>
    <t>Savage</t>
  </si>
  <si>
    <t>Put It On Da Floor Again (feat. Cardi B)</t>
  </si>
  <si>
    <t>You Should Probably Leave</t>
  </si>
  <si>
    <t>Runaway</t>
  </si>
  <si>
    <t>AURORA</t>
  </si>
  <si>
    <t>Spicy</t>
  </si>
  <si>
    <t>Ya Leil W Yal Ein</t>
  </si>
  <si>
    <t>AL SHAMI</t>
  </si>
  <si>
    <t>Need It (feat. YoungBoy Never Broke Again)</t>
  </si>
  <si>
    <t>Into You</t>
  </si>
  <si>
    <t>Invincible</t>
  </si>
  <si>
    <t>Le Monde</t>
  </si>
  <si>
    <t>Richard Carter</t>
  </si>
  <si>
    <t>Un Besito Mï¿½</t>
  </si>
  <si>
    <t>Salastkbron</t>
  </si>
  <si>
    <t>Ya No Somos Ni Seremos</t>
  </si>
  <si>
    <t>Christian Nodal</t>
  </si>
  <si>
    <t>Macetando</t>
  </si>
  <si>
    <t>Ivete Sangalo</t>
  </si>
  <si>
    <t>Stand by Me</t>
  </si>
  <si>
    <t>Ben King</t>
  </si>
  <si>
    <t>Goa Beach</t>
  </si>
  <si>
    <t>Tony Kakkar</t>
  </si>
  <si>
    <t>Sharks</t>
  </si>
  <si>
    <t>Teenage Dream</t>
  </si>
  <si>
    <t>Stephen Dawes</t>
  </si>
  <si>
    <t>Igualito a Mi Apï¿</t>
  </si>
  <si>
    <t>Gabry Ponte</t>
  </si>
  <si>
    <t>Thousand Miles</t>
  </si>
  <si>
    <t>STAYING ALIVE (feat. Drake &amp; Lil Baby)</t>
  </si>
  <si>
    <t>Walk Em Down (feat. Roddy Ricch)</t>
  </si>
  <si>
    <t>NLE Choppa</t>
  </si>
  <si>
    <t>Khairiyat</t>
  </si>
  <si>
    <t>Moves Like Jagger - Studio Recording From The Voice Performance</t>
  </si>
  <si>
    <t>Private Landing (feat. Justin Bieber &amp; Future)</t>
  </si>
  <si>
    <t>Turn Yo Clic Up (feat. Future)</t>
  </si>
  <si>
    <t>Hotline Bling</t>
  </si>
  <si>
    <t>Down Below</t>
  </si>
  <si>
    <t>Chupï¿½</t>
  </si>
  <si>
    <t>El Gudi</t>
  </si>
  <si>
    <t>Emiliana</t>
  </si>
  <si>
    <t xml:space="preserve">Sonrï¿½ï¿½ele a la </t>
  </si>
  <si>
    <t>DnK</t>
  </si>
  <si>
    <t>World Hold On - FISHER Rework</t>
  </si>
  <si>
    <t>Bob Sinclar</t>
  </si>
  <si>
    <t>Cry</t>
  </si>
  <si>
    <t>One Call Away</t>
  </si>
  <si>
    <t>Bitch Let's Do It</t>
  </si>
  <si>
    <t>YoungBoy Never Broke Again</t>
  </si>
  <si>
    <t>I Am Not Okay</t>
  </si>
  <si>
    <t>Move Your Body</t>
  </si>
  <si>
    <t>ýýwnboss</t>
  </si>
  <si>
    <t>Stay</t>
  </si>
  <si>
    <t>Faucet Failure</t>
  </si>
  <si>
    <t>Ski Mask The Slump God</t>
  </si>
  <si>
    <t>Danza Kuduro</t>
  </si>
  <si>
    <t>Don Omar</t>
  </si>
  <si>
    <t>Suavemente</t>
  </si>
  <si>
    <t>Locked Out Of Heaven</t>
  </si>
  <si>
    <t>Party Rock Anthem</t>
  </si>
  <si>
    <t>Jealous</t>
  </si>
  <si>
    <t>Eyedress</t>
  </si>
  <si>
    <t>Love Me Like You Do - From "Fifty Shades Of Grey"</t>
  </si>
  <si>
    <t>Ellie Goulding</t>
  </si>
  <si>
    <t>Love Nwantiti - Remix</t>
  </si>
  <si>
    <t>Dj Yo!</t>
  </si>
  <si>
    <t>Param Param</t>
  </si>
  <si>
    <t>NAMES 51</t>
  </si>
  <si>
    <t xml:space="preserve">Victoriaï¿½ï¿½ï¿½s </t>
  </si>
  <si>
    <t>Jax</t>
  </si>
  <si>
    <t>THE SCOTTS</t>
  </si>
  <si>
    <t>Still With You</t>
  </si>
  <si>
    <t>Daytona</t>
  </si>
  <si>
    <t>Not Afraid</t>
  </si>
  <si>
    <t>GODS</t>
  </si>
  <si>
    <t>League of Legends</t>
  </si>
  <si>
    <t>Fotos Y Recuerdos (Remasterizado 2024/30th Anniversary)</t>
  </si>
  <si>
    <t>Bad Romance</t>
  </si>
  <si>
    <t>The Feeling</t>
  </si>
  <si>
    <t>i need you it's so dark</t>
  </si>
  <si>
    <t>Garfy</t>
  </si>
  <si>
    <t>Just Give Me a Reason</t>
  </si>
  <si>
    <t>UN DIA (ONE DAY) (Feat. Tainy)</t>
  </si>
  <si>
    <t>Fancy</t>
  </si>
  <si>
    <t>Iggy Azalea</t>
  </si>
  <si>
    <t>Apocalypse</t>
  </si>
  <si>
    <t>Cigarettes After Sex</t>
  </si>
  <si>
    <t>xSyborg</t>
  </si>
  <si>
    <t>Pacas De Billetes</t>
  </si>
  <si>
    <t>Villano Antillano: Bzrp Music Sessions, Vol. 51</t>
  </si>
  <si>
    <t>A La Antigï¿½ï¿</t>
  </si>
  <si>
    <t>Castle on the Hill</t>
  </si>
  <si>
    <t>GENTO</t>
  </si>
  <si>
    <t>SB19</t>
  </si>
  <si>
    <t>Bebe (feat. Anuel AA)</t>
  </si>
  <si>
    <t>ýýýýýý</t>
  </si>
  <si>
    <t>ýýndigo</t>
  </si>
  <si>
    <t>BABY OTAKU</t>
  </si>
  <si>
    <t>Pablito Pesadilla</t>
  </si>
  <si>
    <t>Sarï¿½ï¿½ Perchï¿½ï¿</t>
  </si>
  <si>
    <t>Esteriore Brothers</t>
  </si>
  <si>
    <t>The Less I Know The Better</t>
  </si>
  <si>
    <t>Tame Impala</t>
  </si>
  <si>
    <t>ULTRA SOLO REMIX</t>
  </si>
  <si>
    <t>Next Thing You Know</t>
  </si>
  <si>
    <t>Jordan Davis</t>
  </si>
  <si>
    <t>Faster n Harder</t>
  </si>
  <si>
    <t>6arelyhuman</t>
  </si>
  <si>
    <t>Bongos (feat. Megan Thee Stallion)</t>
  </si>
  <si>
    <t>Better Days (NEIKED x Mae Muller x Polo G)</t>
  </si>
  <si>
    <t>NEIKED</t>
  </si>
  <si>
    <t>Cabaï¿½</t>
  </si>
  <si>
    <t>El Jordan 23</t>
  </si>
  <si>
    <t>Golden</t>
  </si>
  <si>
    <t>Music For a Sushi Restaurant</t>
  </si>
  <si>
    <t>HYPNOTIC DATA</t>
  </si>
  <si>
    <t>Bad Feeling (Oompa Loompa)</t>
  </si>
  <si>
    <t>Jagwar Twin</t>
  </si>
  <si>
    <t>Dance The Night</t>
  </si>
  <si>
    <t>RAM TCHUM</t>
  </si>
  <si>
    <t>Coal</t>
  </si>
  <si>
    <t>Dylan Gossett</t>
  </si>
  <si>
    <t>KAYDEN</t>
  </si>
  <si>
    <t>Habits (Stay High)</t>
  </si>
  <si>
    <t>Tove Lo</t>
  </si>
  <si>
    <t>Kilerito</t>
  </si>
  <si>
    <t>Brytiago</t>
  </si>
  <si>
    <t>Moonwalking in Calabasas (feat. Blueface) - Remix</t>
  </si>
  <si>
    <t>DDG</t>
  </si>
  <si>
    <t>Deli</t>
  </si>
  <si>
    <t>Too Little Light</t>
  </si>
  <si>
    <t>koko die</t>
  </si>
  <si>
    <t>God's Country</t>
  </si>
  <si>
    <t>Blake Shelton</t>
  </si>
  <si>
    <t>Desejo Imortal (It Must Have Been Love)</t>
  </si>
  <si>
    <t>Gusttavo Lima</t>
  </si>
  <si>
    <t>BOA</t>
  </si>
  <si>
    <t>I Don't Even Want To Know</t>
  </si>
  <si>
    <t>Delifinger</t>
  </si>
  <si>
    <t>30 GRADOS</t>
  </si>
  <si>
    <t>El Turko</t>
  </si>
  <si>
    <t>Relax My Eyes</t>
  </si>
  <si>
    <t>ANOTR</t>
  </si>
  <si>
    <t>Starlight</t>
  </si>
  <si>
    <t>IDOL</t>
  </si>
  <si>
    <t>Soy Peor</t>
  </si>
  <si>
    <t>Never Stop</t>
  </si>
  <si>
    <t>ian</t>
  </si>
  <si>
    <t>ýýýýýýýýýýýýýýý</t>
  </si>
  <si>
    <t>Tatsuya Kitani</t>
  </si>
  <si>
    <t>Earth Song</t>
  </si>
  <si>
    <t>Wizard Chan</t>
  </si>
  <si>
    <t>GREECE (feat. Drake)</t>
  </si>
  <si>
    <t>Jericho</t>
  </si>
  <si>
    <t>Iniko</t>
  </si>
  <si>
    <t>someday i'll get it</t>
  </si>
  <si>
    <t>Alek Olsen</t>
  </si>
  <si>
    <t>I Fall Apart</t>
  </si>
  <si>
    <t>Iced Coffee</t>
  </si>
  <si>
    <t>Arthur Hill</t>
  </si>
  <si>
    <t>Anyone</t>
  </si>
  <si>
    <t>Betty (Get Money)</t>
  </si>
  <si>
    <t>Yung Gravy</t>
  </si>
  <si>
    <t>Paradise (feat. Dermot Kennedy)</t>
  </si>
  <si>
    <t>Bel Mercy</t>
  </si>
  <si>
    <t>Jengi</t>
  </si>
  <si>
    <t>The Nights</t>
  </si>
  <si>
    <t>Run</t>
  </si>
  <si>
    <t>Hate Me (with Juice WRLD)</t>
  </si>
  <si>
    <t>Wellerman - Sea Shanty / 220 KID x Billen Ted Remix</t>
  </si>
  <si>
    <t>Nathan Evans</t>
  </si>
  <si>
    <t>Mi Cuarto</t>
  </si>
  <si>
    <t>Jerry Di</t>
  </si>
  <si>
    <t>Commas</t>
  </si>
  <si>
    <t>Dial Drunk</t>
  </si>
  <si>
    <t>Angels Like You</t>
  </si>
  <si>
    <t>Dime Cï¿½ï¿½mo Qui</t>
  </si>
  <si>
    <t>Call It Love</t>
  </si>
  <si>
    <t>Felix Jaehn</t>
  </si>
  <si>
    <t>Rodeo (Remix)</t>
  </si>
  <si>
    <t>Lah Pat</t>
  </si>
  <si>
    <t>Head Down</t>
  </si>
  <si>
    <t>Vete</t>
  </si>
  <si>
    <t>What If</t>
  </si>
  <si>
    <t>Johnny Orlando</t>
  </si>
  <si>
    <t>TRUCK BED</t>
  </si>
  <si>
    <t>Chosen (feat. Ty Dolla $ign)</t>
  </si>
  <si>
    <t>Blxst</t>
  </si>
  <si>
    <t>Que Tire Pa Lante</t>
  </si>
  <si>
    <t>Where the Wild Things Are</t>
  </si>
  <si>
    <t>Jaldi Chhoda Ghare Bullet Se</t>
  </si>
  <si>
    <t>Vinay Pandey Sanu</t>
  </si>
  <si>
    <t>REINA</t>
  </si>
  <si>
    <t>ANTIFRAGILE</t>
  </si>
  <si>
    <t>This Girl (Kungs Vs. Cookin' On 3 Burners)</t>
  </si>
  <si>
    <t>Kungs</t>
  </si>
  <si>
    <t>Dreaming</t>
  </si>
  <si>
    <t>Own Brand Freestyle</t>
  </si>
  <si>
    <t>FelixThe1st</t>
  </si>
  <si>
    <t>Pussy &amp; Millions (feat. Travis Scott)</t>
  </si>
  <si>
    <t>Sent Gamkauwa</t>
  </si>
  <si>
    <t>Shivani Singh</t>
  </si>
  <si>
    <t>Bulletproof</t>
  </si>
  <si>
    <t>I Hope</t>
  </si>
  <si>
    <t>Gabby Barrett</t>
  </si>
  <si>
    <t>...And to Those I Love, Thanks for Sticking Around</t>
  </si>
  <si>
    <t>Bite Me</t>
  </si>
  <si>
    <t>ENHYPEN</t>
  </si>
  <si>
    <t>Promises (with Sam Smith)</t>
  </si>
  <si>
    <t>Cover Me In Sunshine</t>
  </si>
  <si>
    <t>Outside (feat. Ellie Goulding)</t>
  </si>
  <si>
    <t>Bamba (feat. Aitch &amp; BIA)</t>
  </si>
  <si>
    <t>Luciano</t>
  </si>
  <si>
    <t>Sin Querer</t>
  </si>
  <si>
    <t>Fer Vazquez</t>
  </si>
  <si>
    <t>Filhall 2</t>
  </si>
  <si>
    <t>TOMBOY</t>
  </si>
  <si>
    <t>Everything I Love</t>
  </si>
  <si>
    <t>ýýýýýýýýýýýýýýýýýý ýýýýýý ýýýýýý ýýýýýýýýýýýýýýýýýý</t>
  </si>
  <si>
    <t>Md Faisal Ahmed</t>
  </si>
  <si>
    <t>Butta My Bread</t>
  </si>
  <si>
    <t>JZyNo</t>
  </si>
  <si>
    <t>Barking</t>
  </si>
  <si>
    <t>Ramz</t>
  </si>
  <si>
    <t>One Of Them Girls</t>
  </si>
  <si>
    <t>Lee Brice</t>
  </si>
  <si>
    <t>INFERNO</t>
  </si>
  <si>
    <t>Chord Overstreet</t>
  </si>
  <si>
    <t>Bipolar</t>
  </si>
  <si>
    <t>Mc Davi</t>
  </si>
  <si>
    <t>bury a friend</t>
  </si>
  <si>
    <t>Time Slowly Slippin'</t>
  </si>
  <si>
    <t>LAZA</t>
  </si>
  <si>
    <t>Alone, Pt. II</t>
  </si>
  <si>
    <t>El Tsurito</t>
  </si>
  <si>
    <t>GOOD LOYAL THOTS</t>
  </si>
  <si>
    <t>No Me Acuerdo</t>
  </si>
  <si>
    <t>Thalia</t>
  </si>
  <si>
    <t>Abcdario</t>
  </si>
  <si>
    <t>Freestyle</t>
  </si>
  <si>
    <t>Una Locura</t>
  </si>
  <si>
    <t>double take</t>
  </si>
  <si>
    <t>Dhruv</t>
  </si>
  <si>
    <t>Trip</t>
  </si>
  <si>
    <t>Ella Mai</t>
  </si>
  <si>
    <t>Ni Una Ni Dos</t>
  </si>
  <si>
    <t>BM</t>
  </si>
  <si>
    <t>Un Desperdicio</t>
  </si>
  <si>
    <t>Rels B</t>
  </si>
  <si>
    <t>El Boss</t>
  </si>
  <si>
    <t>Gabito Ballesteros</t>
  </si>
  <si>
    <t>La Corriente</t>
  </si>
  <si>
    <t>POLARIS - Remix</t>
  </si>
  <si>
    <t>Love Tonight - David Guetta Remix Edit</t>
  </si>
  <si>
    <t>Shouse</t>
  </si>
  <si>
    <t>5 Foot 9</t>
  </si>
  <si>
    <t>Tyler Hubbard</t>
  </si>
  <si>
    <t>Mejor Que Ayer</t>
  </si>
  <si>
    <t>Diego Torres</t>
  </si>
  <si>
    <t>Broadway Girls (feat. Morgan Wallen)</t>
  </si>
  <si>
    <t>Se Te Nota (with Guaynaa)</t>
  </si>
  <si>
    <t>Lele Pons</t>
  </si>
  <si>
    <t>Ameno Amapiano Remix (You Wanna Bamba)</t>
  </si>
  <si>
    <t>Goya Menor</t>
  </si>
  <si>
    <t>Canon and Gigue for Three Violins and Continuo in D Major: Canon</t>
  </si>
  <si>
    <t>Sir Neville Marriner</t>
  </si>
  <si>
    <t>See You Dance (Extended Mix)</t>
  </si>
  <si>
    <t>DJ Meetch</t>
  </si>
  <si>
    <t>MAMACITA</t>
  </si>
  <si>
    <t>I Took A Pill In Ibiza - Seeb Remix</t>
  </si>
  <si>
    <t>Mike Posner</t>
  </si>
  <si>
    <t>No Fuss</t>
  </si>
  <si>
    <t>Zeme Libre</t>
  </si>
  <si>
    <t>El Efecto</t>
  </si>
  <si>
    <t>What Lovers Do (feat. SZA)</t>
  </si>
  <si>
    <t>Dream Girl</t>
  </si>
  <si>
    <t>Izellah</t>
  </si>
  <si>
    <t>Zona De Perigo</t>
  </si>
  <si>
    <t>Leo Santana</t>
  </si>
  <si>
    <t>Crazy Form</t>
  </si>
  <si>
    <t>Kehribar</t>
  </si>
  <si>
    <t>Burak Bulut</t>
  </si>
  <si>
    <t>SAY MY GRACE (feat. Travis Scott)</t>
  </si>
  <si>
    <t>Drugs From Amsterdam</t>
  </si>
  <si>
    <t>Mau P</t>
  </si>
  <si>
    <t>M.A - Remix</t>
  </si>
  <si>
    <t>BBY BOO (REMIX)</t>
  </si>
  <si>
    <t>iZaak</t>
  </si>
  <si>
    <t>What My World Spins Around</t>
  </si>
  <si>
    <t>HOLIDAY</t>
  </si>
  <si>
    <t>Beautiful People (feat. Khalid)</t>
  </si>
  <si>
    <t>Son Of A Sinner</t>
  </si>
  <si>
    <t>On My Grind</t>
  </si>
  <si>
    <t>OG Eat</t>
  </si>
  <si>
    <t>Animals</t>
  </si>
  <si>
    <t>Kurchi Madathapetti</t>
  </si>
  <si>
    <t>Thaman S</t>
  </si>
  <si>
    <t>DNA</t>
  </si>
  <si>
    <t>EXCESOS</t>
  </si>
  <si>
    <t>VVV</t>
  </si>
  <si>
    <t>mikeeysmind</t>
  </si>
  <si>
    <t>EL BARCO</t>
  </si>
  <si>
    <t>Ahora Dice</t>
  </si>
  <si>
    <t>Chris Jedi</t>
  </si>
  <si>
    <t>Breakfast Challenge Song (Slowly)</t>
  </si>
  <si>
    <t>SPENCE</t>
  </si>
  <si>
    <t>Heaven</t>
  </si>
  <si>
    <t>Niall Horan</t>
  </si>
  <si>
    <t>Fingers Crossed</t>
  </si>
  <si>
    <t>Lauren Spencer Smith</t>
  </si>
  <si>
    <t>This Side of Paradise</t>
  </si>
  <si>
    <t>Coyote Theory</t>
  </si>
  <si>
    <t>Pipoco</t>
  </si>
  <si>
    <t>Don't Go Yet</t>
  </si>
  <si>
    <t>My Baby</t>
  </si>
  <si>
    <t>Diamond Platnumz</t>
  </si>
  <si>
    <t>DNA (Loving You) [feat. Hannah Boleyn]</t>
  </si>
  <si>
    <t>Billy Gillies</t>
  </si>
  <si>
    <t>The Magic Bomb</t>
  </si>
  <si>
    <t xml:space="preserve">Hoï¿½ï¿½ng </t>
  </si>
  <si>
    <t>How Far I'll Go</t>
  </si>
  <si>
    <t>Auli'i Cravalho</t>
  </si>
  <si>
    <t>Paani Paani</t>
  </si>
  <si>
    <t>Static</t>
  </si>
  <si>
    <t>Through Da Storm</t>
  </si>
  <si>
    <t>Sabran</t>
  </si>
  <si>
    <t>Komet</t>
  </si>
  <si>
    <t>Udo Lindenberg</t>
  </si>
  <si>
    <t>La Bicicleta</t>
  </si>
  <si>
    <t>Hecha Pa' Mi</t>
  </si>
  <si>
    <t>Boza</t>
  </si>
  <si>
    <t>SPIT IN MY FACE!</t>
  </si>
  <si>
    <t>ThxSoMch</t>
  </si>
  <si>
    <t>Caramelo</t>
  </si>
  <si>
    <t>Calling My Spirit</t>
  </si>
  <si>
    <t>Virtual Angel</t>
  </si>
  <si>
    <t>ARTMS</t>
  </si>
  <si>
    <t>Everybody Dies In Their Nightmares</t>
  </si>
  <si>
    <t>Maria Mariah</t>
  </si>
  <si>
    <t>JC NO BEAT</t>
  </si>
  <si>
    <t>Shaitan Ka Saala (From "Housefull 4")</t>
  </si>
  <si>
    <t>Sohail Sen</t>
  </si>
  <si>
    <t>Fï¿½ï¿½S</t>
  </si>
  <si>
    <t>Britney Manson</t>
  </si>
  <si>
    <t>Danza Kuduro (feat. Lucenzo)</t>
  </si>
  <si>
    <t>Spokojnie</t>
  </si>
  <si>
    <t>HOT DONUTS</t>
  </si>
  <si>
    <t>Me Niego (feat. Ozuna &amp; Wisin)</t>
  </si>
  <si>
    <t>Reik</t>
  </si>
  <si>
    <t>Sheï¿½ï¿½ï¿½s Gone, Da</t>
  </si>
  <si>
    <t>Disclosure</t>
  </si>
  <si>
    <t>Parkmalody</t>
  </si>
  <si>
    <t>Ma Fi Leil</t>
  </si>
  <si>
    <t>Nassif Zeytoun</t>
  </si>
  <si>
    <t>NEON BLADE</t>
  </si>
  <si>
    <t>MoonDeity</t>
  </si>
  <si>
    <t>Ho Hey</t>
  </si>
  <si>
    <t>The Lumineers</t>
  </si>
  <si>
    <t>Corrido de Juan Armenta</t>
  </si>
  <si>
    <t>Vicente Fernï¿½ï¿½</t>
  </si>
  <si>
    <t>Frozen</t>
  </si>
  <si>
    <t>Mahiye Jinna Sohna</t>
  </si>
  <si>
    <t>Pain</t>
  </si>
  <si>
    <t>T.B.H</t>
  </si>
  <si>
    <t>QWER</t>
  </si>
  <si>
    <t>Arms Around You (feat. Maluma &amp; Swae Lee)</t>
  </si>
  <si>
    <t>Titliaan</t>
  </si>
  <si>
    <t>Afsana Khan</t>
  </si>
  <si>
    <t>Padam Padam</t>
  </si>
  <si>
    <t>Kylie Minogue</t>
  </si>
  <si>
    <t>Pacto (feat. Bryant Myers &amp; Dei V) - Remix</t>
  </si>
  <si>
    <t>Finesse</t>
  </si>
  <si>
    <t>Pheelz</t>
  </si>
  <si>
    <t>Bad Blood</t>
  </si>
  <si>
    <t>La Intenciï¿½</t>
  </si>
  <si>
    <t>Crazy What Love Can Do</t>
  </si>
  <si>
    <t>Man Made A Bar (feat. Eric Church)</t>
  </si>
  <si>
    <t>Aventura</t>
  </si>
  <si>
    <t>Bijlee Bijlee</t>
  </si>
  <si>
    <t>Harrdy Sandhu</t>
  </si>
  <si>
    <t>Super</t>
  </si>
  <si>
    <t>Do I Wanna Know?</t>
  </si>
  <si>
    <t>Arctic Monkeys</t>
  </si>
  <si>
    <t>Self Love (Spider-Man: Across the Spider-Verse)</t>
  </si>
  <si>
    <t>It's Not Right But It's Okay</t>
  </si>
  <si>
    <t>Mr. Belt &amp; Wezol</t>
  </si>
  <si>
    <t>Sweet Dreams</t>
  </si>
  <si>
    <t>Mittelmeer</t>
  </si>
  <si>
    <t>Pashanim</t>
  </si>
  <si>
    <t>Another Love</t>
  </si>
  <si>
    <t>Tom Odell</t>
  </si>
  <si>
    <t>Djadja</t>
  </si>
  <si>
    <t xml:space="preserve">LOOK DONï¿½ï¿½ï¿½T TOUCH (feat. cade </t>
  </si>
  <si>
    <t>We Are The People - southstar Remix</t>
  </si>
  <si>
    <t>Empire Of The Sun</t>
  </si>
  <si>
    <t>Body (Remix) [feat. ArrDee, E1 (3x3), ZT (3x3), Bugzy Malone, Buni, Fivio Foreign &amp; Darkoo]</t>
  </si>
  <si>
    <t>Tion Wayne</t>
  </si>
  <si>
    <t>Piyar Farak Wali</t>
  </si>
  <si>
    <t>Timber (feat. Ke$ha)</t>
  </si>
  <si>
    <t>Pitbull</t>
  </si>
  <si>
    <t>Little Life</t>
  </si>
  <si>
    <t>Cordelia</t>
  </si>
  <si>
    <t>LOVE YOU BETTER</t>
  </si>
  <si>
    <t>Woah</t>
  </si>
  <si>
    <t>As If It's Your Last</t>
  </si>
  <si>
    <t>679 (feat. Remy Boyz)</t>
  </si>
  <si>
    <t>DE LUNES A LUNES</t>
  </si>
  <si>
    <t>Whistle</t>
  </si>
  <si>
    <t>Look At Me!</t>
  </si>
  <si>
    <t>Thang For You (feat. No Cap)</t>
  </si>
  <si>
    <t>Rylo Rodriguez</t>
  </si>
  <si>
    <t>Before You Leave Me</t>
  </si>
  <si>
    <t>Alex Warren</t>
  </si>
  <si>
    <t>2Humpy is Back</t>
  </si>
  <si>
    <t>2Rare</t>
  </si>
  <si>
    <t>break up with your girlfriend, i'm bored</t>
  </si>
  <si>
    <t>la noia</t>
  </si>
  <si>
    <t>Angelina Mango</t>
  </si>
  <si>
    <t>Nothing Breaks Like a Heart (feat. Miley Cyrus)</t>
  </si>
  <si>
    <t>TUS Lï¿½ï¿½GR</t>
  </si>
  <si>
    <t>The EPA Song</t>
  </si>
  <si>
    <t>Ants on a Log</t>
  </si>
  <si>
    <t>La solution</t>
  </si>
  <si>
    <t>Marka</t>
  </si>
  <si>
    <t>Pump</t>
  </si>
  <si>
    <t>Valentino Khan</t>
  </si>
  <si>
    <t>Higher Love</t>
  </si>
  <si>
    <t>WORTH NOTHING (feat. Oliver Tree) - Fast &amp; Furious: Drift Tape/Phonk Vol 1</t>
  </si>
  <si>
    <t>TWISTED</t>
  </si>
  <si>
    <t>Friends</t>
  </si>
  <si>
    <t>Entre Nosotros (Remix) [con Nicki Nicole]</t>
  </si>
  <si>
    <t>Love Lies (with Normani)</t>
  </si>
  <si>
    <t>Tal Para Cual</t>
  </si>
  <si>
    <t>El Tï¿½ï¿½</t>
  </si>
  <si>
    <t>Sorriso no Rosto</t>
  </si>
  <si>
    <t>jealousy, jealousy</t>
  </si>
  <si>
    <t>Shaky Shaky</t>
  </si>
  <si>
    <t>El Amante</t>
  </si>
  <si>
    <t>ICU</t>
  </si>
  <si>
    <t>Coco Jones</t>
  </si>
  <si>
    <t>Way down We Go</t>
  </si>
  <si>
    <t>KALEO</t>
  </si>
  <si>
    <t>Joy (In My Own Time) - Tribe Song</t>
  </si>
  <si>
    <t>DAMIEN</t>
  </si>
  <si>
    <t>PILLOWTALK</t>
  </si>
  <si>
    <t>Enemy - Radio Edit</t>
  </si>
  <si>
    <t>When It Comes To You</t>
  </si>
  <si>
    <t>Fridayy</t>
  </si>
  <si>
    <t>Semangat Kerjanya Kawan</t>
  </si>
  <si>
    <t>Aldo Zee</t>
  </si>
  <si>
    <t>Libaas</t>
  </si>
  <si>
    <t>Kaka</t>
  </si>
  <si>
    <t>OOOUUU</t>
  </si>
  <si>
    <t>Young M.A</t>
  </si>
  <si>
    <t>Flooded The Face</t>
  </si>
  <si>
    <t>90-90 Nabbe Nabbe (From "Jatt Nuu Chudail Takri")</t>
  </si>
  <si>
    <t>Gippy Grewal</t>
  </si>
  <si>
    <t>Ranjithame (From "Varisu")</t>
  </si>
  <si>
    <t>Thalapathy Vijay</t>
  </si>
  <si>
    <t>X SI VOLVEMOS</t>
  </si>
  <si>
    <t>IT GIRL</t>
  </si>
  <si>
    <t>Aliyah's Interlude</t>
  </si>
  <si>
    <t>It's A Wrap - Sped Up</t>
  </si>
  <si>
    <t>Mariah Carey</t>
  </si>
  <si>
    <t>Never Be Lonely</t>
  </si>
  <si>
    <t>Give Me Everything (feat. Ne-Yo, Afrojack &amp; Nayer)</t>
  </si>
  <si>
    <t>Iko Iko (My Bestie)</t>
  </si>
  <si>
    <t>Justin Wellington</t>
  </si>
  <si>
    <t>Beat Of Your Heart</t>
  </si>
  <si>
    <t>Low Life</t>
  </si>
  <si>
    <t>Oi Erro - Ao Vivo</t>
  </si>
  <si>
    <t>Simone Mendes</t>
  </si>
  <si>
    <t>These Days (feat. Jess Glynne, Macklemore &amp; Dan Caplen)</t>
  </si>
  <si>
    <t>Rudimental</t>
  </si>
  <si>
    <t>Been Like This</t>
  </si>
  <si>
    <t>Light It Up (feat. Nyla &amp; Fuse ODG) [Remix]</t>
  </si>
  <si>
    <t>The Weekend - Funk Wav Remix</t>
  </si>
  <si>
    <t>Un Coco</t>
  </si>
  <si>
    <t>Tutu</t>
  </si>
  <si>
    <t>Tadow</t>
  </si>
  <si>
    <t>Masego</t>
  </si>
  <si>
    <t>Heart Like A Truck</t>
  </si>
  <si>
    <t>Lainey Wilson</t>
  </si>
  <si>
    <t>Honey Boy (feat. Nile Rodgers &amp; Shenseea)</t>
  </si>
  <si>
    <t>Creeper Star</t>
  </si>
  <si>
    <t>Leo Walrus</t>
  </si>
  <si>
    <t>Ya Acabo</t>
  </si>
  <si>
    <t>Marca MP</t>
  </si>
  <si>
    <t>Love You So</t>
  </si>
  <si>
    <t>The King Khan &amp; BBQ Show</t>
  </si>
  <si>
    <t>DOGTOOTH</t>
  </si>
  <si>
    <t>All Too Well (10 Minute Version) (Taylor's Version) (From The Vault)</t>
  </si>
  <si>
    <t>Srivalli (From "Pushpa The Rise Part - 01")</t>
  </si>
  <si>
    <t>Javed Ali</t>
  </si>
  <si>
    <t>Go Back (feat. Julia Church)</t>
  </si>
  <si>
    <t>John Summit</t>
  </si>
  <si>
    <t>Did It Again</t>
  </si>
  <si>
    <t xml:space="preserve">QUï¿½ï¿½TENME EL TELï¿½ï¿½FONO (feat. Yandel, Jay </t>
  </si>
  <si>
    <t>Kalaastar (From "Honey 3.0")</t>
  </si>
  <si>
    <t>Yo Yo Honey Singh</t>
  </si>
  <si>
    <t>Tshwala Bam (feat. S.N.E, EeQue)</t>
  </si>
  <si>
    <t>TitoM</t>
  </si>
  <si>
    <t>Firestone</t>
  </si>
  <si>
    <t>GOSSIP (feat. Tom Morello)</t>
  </si>
  <si>
    <t>Meridian</t>
  </si>
  <si>
    <t>Ten by Ten</t>
  </si>
  <si>
    <t>Carrier</t>
  </si>
  <si>
    <t>ANNA ASTI</t>
  </si>
  <si>
    <t>LOU LOU</t>
  </si>
  <si>
    <t>Dangerous Woman</t>
  </si>
  <si>
    <t>ON</t>
  </si>
  <si>
    <t>Problem</t>
  </si>
  <si>
    <t>SUPERMODEL</t>
  </si>
  <si>
    <t>Don't Call Me Up</t>
  </si>
  <si>
    <t>Mabel</t>
  </si>
  <si>
    <t>Bodak Yellow</t>
  </si>
  <si>
    <t>Latch</t>
  </si>
  <si>
    <t>Mourning</t>
  </si>
  <si>
    <t>300 Noches</t>
  </si>
  <si>
    <t>Belinda</t>
  </si>
  <si>
    <t>How Do You Sleep?</t>
  </si>
  <si>
    <t>BAIXO</t>
  </si>
  <si>
    <t>xxanteria</t>
  </si>
  <si>
    <t>Asylum</t>
  </si>
  <si>
    <t>Olivetheboy</t>
  </si>
  <si>
    <t>American Boy (No Rap Version)</t>
  </si>
  <si>
    <t>Estelle</t>
  </si>
  <si>
    <t>ceilings</t>
  </si>
  <si>
    <t>Lizzy McAlpine</t>
  </si>
  <si>
    <t>Love On The Brain</t>
  </si>
  <si>
    <t>HIBIKI</t>
  </si>
  <si>
    <t>GATITAS SANDUNGUERAS VOL.1</t>
  </si>
  <si>
    <t>Alvaro Diaz</t>
  </si>
  <si>
    <t>Gangsta's Paradise</t>
  </si>
  <si>
    <t>Coolio</t>
  </si>
  <si>
    <t>Broccoli (feat. Lil Yachty)</t>
  </si>
  <si>
    <t>DRAM</t>
  </si>
  <si>
    <t>LOST!</t>
  </si>
  <si>
    <t>Stay (with Alessia Cara)</t>
  </si>
  <si>
    <t>YuNg BrAtZ</t>
  </si>
  <si>
    <t>Saami Saami (From "Pushpa The Rise Part - 01")</t>
  </si>
  <si>
    <t>Sunidhi Chauhan</t>
  </si>
  <si>
    <t>Facas - Ao Vivo</t>
  </si>
  <si>
    <t>Diego &amp; Victor Hugo</t>
  </si>
  <si>
    <t>Thoda Thoda Pyaar</t>
  </si>
  <si>
    <t>Stebin Ben</t>
  </si>
  <si>
    <t>Black And Yellow</t>
  </si>
  <si>
    <t>SKEU SKEU (SPEED UP)</t>
  </si>
  <si>
    <t>Jogga</t>
  </si>
  <si>
    <t>Sahara</t>
  </si>
  <si>
    <t>Hensonn</t>
  </si>
  <si>
    <t>Leke Prabhu Ka Naam (From "Tiger 3")</t>
  </si>
  <si>
    <t>The Search</t>
  </si>
  <si>
    <t>Save Me (with Lainey Wilson)</t>
  </si>
  <si>
    <t>Tacos Gucci</t>
  </si>
  <si>
    <t>wiggy</t>
  </si>
  <si>
    <t>Nxde</t>
  </si>
  <si>
    <t>Vaina Loca</t>
  </si>
  <si>
    <t>Street Runner</t>
  </si>
  <si>
    <t>Pure Water (with Migos)</t>
  </si>
  <si>
    <t>Ay Vamos</t>
  </si>
  <si>
    <t>Samba de Malandro</t>
  </si>
  <si>
    <t>MC Paulin da Capital</t>
  </si>
  <si>
    <t>Entre las de 20</t>
  </si>
  <si>
    <t>We Found Love</t>
  </si>
  <si>
    <t>Shut up My Moms Calling</t>
  </si>
  <si>
    <t>Hotel Ugly</t>
  </si>
  <si>
    <t>Hell N Back</t>
  </si>
  <si>
    <t>Bakar</t>
  </si>
  <si>
    <t>Stand By Me (feat. Morgan Wallen)</t>
  </si>
  <si>
    <t>Wake Me Up (Remix)</t>
  </si>
  <si>
    <t>Nick White</t>
  </si>
  <si>
    <t>Yaad Piya Ki Aane Lagi</t>
  </si>
  <si>
    <t>A-O-K</t>
  </si>
  <si>
    <t>Tai Verdes</t>
  </si>
  <si>
    <t>Shotgun</t>
  </si>
  <si>
    <t>Kiss Me</t>
  </si>
  <si>
    <t>Dermot Kennedy</t>
  </si>
  <si>
    <t>COCO LOCO</t>
  </si>
  <si>
    <t>Sunny Day</t>
  </si>
  <si>
    <t>Matteo Rossanese</t>
  </si>
  <si>
    <t>High Rated Gabru (From "High Rated Gabru")</t>
  </si>
  <si>
    <t>Guru Randhawa</t>
  </si>
  <si>
    <t>I spoke to the devil in miami, he said everything would be fine</t>
  </si>
  <si>
    <t>Goosebumps</t>
  </si>
  <si>
    <t>HVME</t>
  </si>
  <si>
    <t>Tï¿½ï¿½ï¿½t Bï¿½ï¿½n</t>
  </si>
  <si>
    <t>Hana Cï¿½ï¿½ï¿½m</t>
  </si>
  <si>
    <t>Aigiri Nandini</t>
  </si>
  <si>
    <t>Nagavalli</t>
  </si>
  <si>
    <t>Rolex</t>
  </si>
  <si>
    <t>Ayo &amp; Teo</t>
  </si>
  <si>
    <t>on one tonight</t>
  </si>
  <si>
    <t>You &amp; Me - Rivo Remix</t>
  </si>
  <si>
    <t>Whiskey On You</t>
  </si>
  <si>
    <t>Nostï¿½ï¿½l</t>
  </si>
  <si>
    <t>Rvssian</t>
  </si>
  <si>
    <t>NO</t>
  </si>
  <si>
    <t>HP</t>
  </si>
  <si>
    <t>I Smoked Away My Brain (I'm God x Demons Mashup) (feat. Imogen Heap &amp; Clams Casino)</t>
  </si>
  <si>
    <t>I'm a Mess</t>
  </si>
  <si>
    <t>Un Ratito</t>
  </si>
  <si>
    <t>Mamaw's House</t>
  </si>
  <si>
    <t>Thomas Rhett</t>
  </si>
  <si>
    <t>Sezen Aksu</t>
  </si>
  <si>
    <t>Lvbel C5</t>
  </si>
  <si>
    <t>hotline (edit)</t>
  </si>
  <si>
    <t>One More Night</t>
  </si>
  <si>
    <t>Sigue</t>
  </si>
  <si>
    <t>Beny Jr</t>
  </si>
  <si>
    <t>Desconocidos</t>
  </si>
  <si>
    <t>Mau y Ricky</t>
  </si>
  <si>
    <t>After Party</t>
  </si>
  <si>
    <t>Fluxxwave</t>
  </si>
  <si>
    <t>Clovis Reyes</t>
  </si>
  <si>
    <t>We Can't Stop</t>
  </si>
  <si>
    <t>Buy Dirt</t>
  </si>
  <si>
    <t>Las Morras</t>
  </si>
  <si>
    <t>Mamichula - con Nicki Nicole</t>
  </si>
  <si>
    <t>Fighting My Demons</t>
  </si>
  <si>
    <t>FAKE LOVE</t>
  </si>
  <si>
    <t>The Sound Of Silence</t>
  </si>
  <si>
    <t>Disturbed</t>
  </si>
  <si>
    <t>Higher Power</t>
  </si>
  <si>
    <t>The Perfect Girl</t>
  </si>
  <si>
    <t>Mareux</t>
  </si>
  <si>
    <t>Yeah! (feat. Lil Jon &amp; Ludacris)</t>
  </si>
  <si>
    <t>Swear to God (feat. Future)</t>
  </si>
  <si>
    <t>Prohibidox</t>
  </si>
  <si>
    <t>LOVE. FEAT. ZACARI.</t>
  </si>
  <si>
    <t>Joga o Bum Bum Tam Tam</t>
  </si>
  <si>
    <t>MC Fioti</t>
  </si>
  <si>
    <t>Montagem Mysterious Game</t>
  </si>
  <si>
    <t>LXNGVX</t>
  </si>
  <si>
    <t>soso</t>
  </si>
  <si>
    <t>Omah Lay</t>
  </si>
  <si>
    <t>SEDA</t>
  </si>
  <si>
    <t>Lace It</t>
  </si>
  <si>
    <t>You Say</t>
  </si>
  <si>
    <t>Lauren Daigle</t>
  </si>
  <si>
    <t>Watch The World Burn</t>
  </si>
  <si>
    <t>Hukum - Thalaivar Alappara (From "Jailer")</t>
  </si>
  <si>
    <t>With You</t>
  </si>
  <si>
    <t>AP Dhillon</t>
  </si>
  <si>
    <t>HUMO</t>
  </si>
  <si>
    <t>Chencho Corleone</t>
  </si>
  <si>
    <t>I Love It (&amp; Lil Pump)</t>
  </si>
  <si>
    <t>Love Songs - Bonus</t>
  </si>
  <si>
    <t>Kaash Paige</t>
  </si>
  <si>
    <t>Me Atraiu - Ao Vivo</t>
  </si>
  <si>
    <t>Gabriela Rocha</t>
  </si>
  <si>
    <t>LET'S GET FKD UP</t>
  </si>
  <si>
    <t>Alok</t>
  </si>
  <si>
    <t>I LOVE YOU HOE (w/ 9lives)</t>
  </si>
  <si>
    <t>HAPPY</t>
  </si>
  <si>
    <t>BOOMBAYAH</t>
  </si>
  <si>
    <t>Min Awel Dekika</t>
  </si>
  <si>
    <t>Elissa</t>
  </si>
  <si>
    <t>cï¿½ï¿½mo dormi</t>
  </si>
  <si>
    <t>my ex's best friend (with blackbear)</t>
  </si>
  <si>
    <t>mgk</t>
  </si>
  <si>
    <t>Parce (feat. Justin Quiles)</t>
  </si>
  <si>
    <t>ýýCuýýl Es Su Nombre?</t>
  </si>
  <si>
    <t>Lucky Brown</t>
  </si>
  <si>
    <t>Borro Cassette</t>
  </si>
  <si>
    <t>Wild Thoughts</t>
  </si>
  <si>
    <t>L'ULTIMA POESIA</t>
  </si>
  <si>
    <t>Geolier</t>
  </si>
  <si>
    <t>Where Are ï¿½ï¿½ Now (with Justin Bie</t>
  </si>
  <si>
    <t>Jack ï¿</t>
  </si>
  <si>
    <t>TKN (feat. Travis Scott)</t>
  </si>
  <si>
    <t>loml</t>
  </si>
  <si>
    <t>Estï¿½ï¿½ Daï</t>
  </si>
  <si>
    <t>Ivan Cornejo</t>
  </si>
  <si>
    <t>In Your Eyes</t>
  </si>
  <si>
    <t>Take Her Home</t>
  </si>
  <si>
    <t>Kenny Chesney</t>
  </si>
  <si>
    <t>Don't Wanna Know (feat. Kendrick Lamar)</t>
  </si>
  <si>
    <t>Entra Na Defender</t>
  </si>
  <si>
    <t>Maps</t>
  </si>
  <si>
    <t>We're Good</t>
  </si>
  <si>
    <t>Sip (Alcohol)</t>
  </si>
  <si>
    <t>Joeboy</t>
  </si>
  <si>
    <t>Get You (feat. Kali Uchis)</t>
  </si>
  <si>
    <t>Body</t>
  </si>
  <si>
    <t>Loud Luxury</t>
  </si>
  <si>
    <t>One Thing At A Time</t>
  </si>
  <si>
    <t>Mentiras | CROSSOVER #3</t>
  </si>
  <si>
    <t>Boyz Don't Cry</t>
  </si>
  <si>
    <t>Loser, Baby</t>
  </si>
  <si>
    <t>Andrew Underberg</t>
  </si>
  <si>
    <t>Aldy Santos</t>
  </si>
  <si>
    <t>You Make It Easy</t>
  </si>
  <si>
    <t>Hoy</t>
  </si>
  <si>
    <t>Valentino Merlo</t>
  </si>
  <si>
    <t>Suge</t>
  </si>
  <si>
    <t>ball w/o you</t>
  </si>
  <si>
    <t>Money</t>
  </si>
  <si>
    <t>Queen of Kings</t>
  </si>
  <si>
    <t>Alessandra</t>
  </si>
  <si>
    <t>Hasta Que Dios Diga</t>
  </si>
  <si>
    <t>H.Y.B. (feat. Bas &amp; Central Cee)</t>
  </si>
  <si>
    <t>Hackearam-me</t>
  </si>
  <si>
    <t>No Type</t>
  </si>
  <si>
    <t>Sand In My Boots</t>
  </si>
  <si>
    <t>Fouji Fojan Lofi 2 (feat. Aamin Barodi &amp; Sapna Choudhary)</t>
  </si>
  <si>
    <t>Raj Mawer</t>
  </si>
  <si>
    <t>A Cara do Crime (Nï¿½ï¿½s Incom</t>
  </si>
  <si>
    <t>Mc Poze do Rodo</t>
  </si>
  <si>
    <t>Overseas</t>
  </si>
  <si>
    <t>D-Block Europe</t>
  </si>
  <si>
    <t>I Pï¿½ï¿½ï¿½ ME, TU P</t>
  </si>
  <si>
    <t>Monster (Shawn Mendes &amp;amp; Justin Bieber)</t>
  </si>
  <si>
    <t>Last Friday Night (T.G.I.F.)</t>
  </si>
  <si>
    <t>Circo Loco</t>
  </si>
  <si>
    <t>Canï¿½ï¿½n Saï¿½ï</t>
  </si>
  <si>
    <t>Limbo</t>
  </si>
  <si>
    <t>Freddie Dredd</t>
  </si>
  <si>
    <t>Laad Piya Ke</t>
  </si>
  <si>
    <t>Raju Punjabi</t>
  </si>
  <si>
    <t>Coco Cola</t>
  </si>
  <si>
    <t>Ruchika Jangid</t>
  </si>
  <si>
    <t>DUELE EL CORAZON</t>
  </si>
  <si>
    <t>The Code</t>
  </si>
  <si>
    <t>Nemo</t>
  </si>
  <si>
    <t>Jï¿½ï¿½lale</t>
  </si>
  <si>
    <t>Bb trickz</t>
  </si>
  <si>
    <t>A Puro Dolor</t>
  </si>
  <si>
    <t>Baddie</t>
  </si>
  <si>
    <t>Prisoner (feat. Dua Lipa)</t>
  </si>
  <si>
    <t>Why Not</t>
  </si>
  <si>
    <t>Ghostface Playa</t>
  </si>
  <si>
    <t>Got It On Me</t>
  </si>
  <si>
    <t>intro (end of the world)</t>
  </si>
  <si>
    <t>All I Want for Christmas Is You</t>
  </si>
  <si>
    <t>La Rompe Corazones</t>
  </si>
  <si>
    <t>QUE ME FALTE TODO</t>
  </si>
  <si>
    <t>How To Fly (Abbey Road Remaster 2024)</t>
  </si>
  <si>
    <t>Sticky Fingers</t>
  </si>
  <si>
    <t>Dj Dayak Full Beat Lagu Malihi Janji</t>
  </si>
  <si>
    <t>Jeremya Ginting</t>
  </si>
  <si>
    <t>Si Estuviï¿½ï¿½semos Ju</t>
  </si>
  <si>
    <t>Charli xcx</t>
  </si>
  <si>
    <t>GATA ONLY (Con Cris MJ)</t>
  </si>
  <si>
    <t>El Perdï¿½</t>
  </si>
  <si>
    <t>Love Scars</t>
  </si>
  <si>
    <t>Die Hard</t>
  </si>
  <si>
    <t>Akher Yawm</t>
  </si>
  <si>
    <t>Ghaliaa</t>
  </si>
  <si>
    <t>Ascend</t>
  </si>
  <si>
    <t>Dezko</t>
  </si>
  <si>
    <t>SI SABE FERXXO</t>
  </si>
  <si>
    <t>Wind Up Missin' You</t>
  </si>
  <si>
    <t>Tucker Wetmore</t>
  </si>
  <si>
    <t>No Limit</t>
  </si>
  <si>
    <t>ten</t>
  </si>
  <si>
    <t>Dance For Me (1, 2, 3) - Stutter Techno</t>
  </si>
  <si>
    <t>Sonny Wern</t>
  </si>
  <si>
    <t>Paro</t>
  </si>
  <si>
    <t>Nej</t>
  </si>
  <si>
    <t>HOPE</t>
  </si>
  <si>
    <t>On My Way</t>
  </si>
  <si>
    <t>You Need To Calm Down</t>
  </si>
  <si>
    <t>Dancinï¿½ï¿½ï¿½ In The C</t>
  </si>
  <si>
    <t>Starting Over</t>
  </si>
  <si>
    <t>Sidhu Moose Wala</t>
  </si>
  <si>
    <t>Gangsta's Paradise (feat. L.V.)</t>
  </si>
  <si>
    <t>Gulabi Sharara</t>
  </si>
  <si>
    <t>Inder Arya</t>
  </si>
  <si>
    <t>Otro Atardecer</t>
  </si>
  <si>
    <t>ýýlle de Sen</t>
  </si>
  <si>
    <t>Muti</t>
  </si>
  <si>
    <t>Soweto</t>
  </si>
  <si>
    <t>Victony</t>
  </si>
  <si>
    <t>Enjoy</t>
  </si>
  <si>
    <t>Jux</t>
  </si>
  <si>
    <t>Poland</t>
  </si>
  <si>
    <t>Lil Yachty</t>
  </si>
  <si>
    <t>BBY BOO</t>
  </si>
  <si>
    <t>Brillarosa</t>
  </si>
  <si>
    <t>Bertaraf</t>
  </si>
  <si>
    <t>Canbay &amp; Wolker</t>
  </si>
  <si>
    <t>U My Everything (feat. Drake)</t>
  </si>
  <si>
    <t>Devil Eyes</t>
  </si>
  <si>
    <t>Hippie Sabotage</t>
  </si>
  <si>
    <t>m y . l i f e (with 21 Savage &amp; Morray)</t>
  </si>
  <si>
    <t>I'm Yours</t>
  </si>
  <si>
    <t>Jason Mraz</t>
  </si>
  <si>
    <t>Going, Going, Gone</t>
  </si>
  <si>
    <t>HISS</t>
  </si>
  <si>
    <t>Baarish Ki Jaaye</t>
  </si>
  <si>
    <t>Company</t>
  </si>
  <si>
    <t>Emiway Bantai</t>
  </si>
  <si>
    <t>LA PEOPLE</t>
  </si>
  <si>
    <t>BRAZILIAN DANï¿½ï¿½A P</t>
  </si>
  <si>
    <t>6YNTHMANE</t>
  </si>
  <si>
    <t>REACT</t>
  </si>
  <si>
    <t>Switch Disco</t>
  </si>
  <si>
    <t>Ocean</t>
  </si>
  <si>
    <t>Wrecked</t>
  </si>
  <si>
    <t>Think U The Shit (Fart)</t>
  </si>
  <si>
    <t>Brown Munde</t>
  </si>
  <si>
    <t>Kallo(Feat.Ajay Hooda,Pooja Hooda)</t>
  </si>
  <si>
    <t>Komal Choudhary</t>
  </si>
  <si>
    <t>pov</t>
  </si>
  <si>
    <t>Dancing On My Own</t>
  </si>
  <si>
    <t>Stay With Me</t>
  </si>
  <si>
    <t>Back Then Right Now</t>
  </si>
  <si>
    <t>Boucan (feat. Franglish)</t>
  </si>
  <si>
    <t>KeBlack</t>
  </si>
  <si>
    <t>Fulanito</t>
  </si>
  <si>
    <t>Only Love Can Hurt Like This (feat. Teddy Swims) - Remix</t>
  </si>
  <si>
    <t>Paloma Faith</t>
  </si>
  <si>
    <t>Business (feat. Naza)</t>
  </si>
  <si>
    <t>DYSTINCT</t>
  </si>
  <si>
    <t>MANIAC</t>
  </si>
  <si>
    <t>A Real Playa</t>
  </si>
  <si>
    <t>Parsa Nani</t>
  </si>
  <si>
    <t>Mona Lisa - Spider-Man: Across the Spider-Verse (Deluxe Edition)</t>
  </si>
  <si>
    <t>Dominic Fike</t>
  </si>
  <si>
    <t>ADIï¿½</t>
  </si>
  <si>
    <t>Something About You</t>
  </si>
  <si>
    <t>Patadas de Ahogado</t>
  </si>
  <si>
    <t>LATIN MAFIA</t>
  </si>
  <si>
    <t>After LIKE</t>
  </si>
  <si>
    <t>So Far</t>
  </si>
  <si>
    <t>florias</t>
  </si>
  <si>
    <t>idontwannabeyouanymore</t>
  </si>
  <si>
    <t>Debo Entender</t>
  </si>
  <si>
    <t>Santa Fe Klan</t>
  </si>
  <si>
    <t>Vem Desestressar</t>
  </si>
  <si>
    <t>Darkside</t>
  </si>
  <si>
    <t>Call Me Every Day (feat. WizKid)</t>
  </si>
  <si>
    <t>World's Smallest Violin</t>
  </si>
  <si>
    <t>Thot Shit</t>
  </si>
  <si>
    <t>Money Trees</t>
  </si>
  <si>
    <t>Si La Calle Llama - Remix</t>
  </si>
  <si>
    <t>Kusu Kusu (feat. Pamela Jain)</t>
  </si>
  <si>
    <t>Dev Negi</t>
  </si>
  <si>
    <t>Waffle House</t>
  </si>
  <si>
    <t>Tacata</t>
  </si>
  <si>
    <t>Tiagz</t>
  </si>
  <si>
    <t>Got Me Started</t>
  </si>
  <si>
    <t>Low</t>
  </si>
  <si>
    <t>Night Changes</t>
  </si>
  <si>
    <t>De Los Besos Que Te Di</t>
  </si>
  <si>
    <t>BRODYAGA FUNK</t>
  </si>
  <si>
    <t>Eternxlkz</t>
  </si>
  <si>
    <t>Private Jet</t>
  </si>
  <si>
    <t>D. Savage</t>
  </si>
  <si>
    <t>DNA.</t>
  </si>
  <si>
    <t>Or Nah (feat. The Weeknd, Wiz Khalifa and DJ Mustard) - Remix</t>
  </si>
  <si>
    <t>Ty Dolla $ign</t>
  </si>
  <si>
    <t>Baklava</t>
  </si>
  <si>
    <t>Gya</t>
  </si>
  <si>
    <t>bye</t>
  </si>
  <si>
    <t>BIZCOCHITO</t>
  </si>
  <si>
    <t>Veggie Dance</t>
  </si>
  <si>
    <t>Gracie's Corner</t>
  </si>
  <si>
    <t>Still Don't Know My Name</t>
  </si>
  <si>
    <t>Sittin' On Top Of The World</t>
  </si>
  <si>
    <t>Si Fuera Fï¿½ï¿</t>
  </si>
  <si>
    <t>Grupo Marca Registrada</t>
  </si>
  <si>
    <t>Broke In A Minute</t>
  </si>
  <si>
    <t>Mahiya Ve Gal Sun Mahiya Vey</t>
  </si>
  <si>
    <t>Nimra Mehra</t>
  </si>
  <si>
    <t>Engana Dizendo Que Ama</t>
  </si>
  <si>
    <t>In Case You Didn't Know</t>
  </si>
  <si>
    <t>Brett Young</t>
  </si>
  <si>
    <t>Arcï¿½ï¿½ngel: Bzrp Music Sessions, Vol</t>
  </si>
  <si>
    <t>Tu No Vive Asi (feat. Mambo Kingz &amp; DJ Luian)</t>
  </si>
  <si>
    <t>HVN ON EARTH (with Kodak Black)</t>
  </si>
  <si>
    <t>Gently (feat. Bad Bunny)</t>
  </si>
  <si>
    <t>It Ain't Me (with Selena Gomez)</t>
  </si>
  <si>
    <t>Baarish Ban Jaana</t>
  </si>
  <si>
    <t>Payal Dev</t>
  </si>
  <si>
    <t>I CAN'T STOP ME</t>
  </si>
  <si>
    <t>Take What You Want (feat. Ozzy Osbourne &amp; Travis Scott)</t>
  </si>
  <si>
    <t>Filhaal2 Mohabbat</t>
  </si>
  <si>
    <t>8am in Charlotte</t>
  </si>
  <si>
    <t>Vivir Mi Vida</t>
  </si>
  <si>
    <t>Marc Anthony</t>
  </si>
  <si>
    <t>Lullaby - BadWolf Remix</t>
  </si>
  <si>
    <t>TR-MEET</t>
  </si>
  <si>
    <t>Love Not War (The Tampa Beat)</t>
  </si>
  <si>
    <t>Lose Yourself - From "8 Mile" Soundtrack</t>
  </si>
  <si>
    <t>My Oh My</t>
  </si>
  <si>
    <t>Not My Fault (with Megan Thee Stallion)</t>
  </si>
  <si>
    <t xml:space="preserve">Reneï¿½ï¿½ </t>
  </si>
  <si>
    <t>willow</t>
  </si>
  <si>
    <t>100 MESSAGGI</t>
  </si>
  <si>
    <t>Lazza</t>
  </si>
  <si>
    <t>OUT OUT (feat. Charli XCX &amp; Saweetie)</t>
  </si>
  <si>
    <t>Cï¿½ï¿½</t>
  </si>
  <si>
    <t>Whatï¿½ï¿½ï¿½</t>
  </si>
  <si>
    <t>Turn On The Lights again.. (feat. Future)</t>
  </si>
  <si>
    <t xml:space="preserve">Despï¿½ï¿½dase </t>
  </si>
  <si>
    <t>Mommy, Mommy Give Me Yummy</t>
  </si>
  <si>
    <t>Illegal Weapon</t>
  </si>
  <si>
    <t>Garry Sandhu</t>
  </si>
  <si>
    <t>Starships</t>
  </si>
  <si>
    <t>Calidad</t>
  </si>
  <si>
    <t>Watch Me</t>
  </si>
  <si>
    <t>Silento</t>
  </si>
  <si>
    <t>Send My Love (To Your New Lover)</t>
  </si>
  <si>
    <t>Chakalitos</t>
  </si>
  <si>
    <t>Angi Fire</t>
  </si>
  <si>
    <t>No Hay Nadie Mï¿½</t>
  </si>
  <si>
    <t>Rather Be (feat. Jess Glynne)</t>
  </si>
  <si>
    <t>Into Your Arms (feat. Ava Max)</t>
  </si>
  <si>
    <t>Witt Lowry</t>
  </si>
  <si>
    <t>Ramenez la coupe ï¿½ï¿½ la ma</t>
  </si>
  <si>
    <t>Vegedream</t>
  </si>
  <si>
    <t>1000 Blunts</t>
  </si>
  <si>
    <t>#BrooklynBloodPop!</t>
  </si>
  <si>
    <t>SyKo</t>
  </si>
  <si>
    <t>Baby Songs</t>
  </si>
  <si>
    <t>Baby Lullaby</t>
  </si>
  <si>
    <t>Mï¿½ï¿½dchen auf dem P</t>
  </si>
  <si>
    <t>Luca-Dante Spadafora</t>
  </si>
  <si>
    <t>Cuando Te Besï¿</t>
  </si>
  <si>
    <t>Lutt Putt Gaya (From "Dunki")</t>
  </si>
  <si>
    <t>girl$</t>
  </si>
  <si>
    <t>Dom Dolla</t>
  </si>
  <si>
    <t>Clout (feat. Cardi B)</t>
  </si>
  <si>
    <t>I love you</t>
  </si>
  <si>
    <t>Dadju</t>
  </si>
  <si>
    <t>Loucura</t>
  </si>
  <si>
    <t>Borges</t>
  </si>
  <si>
    <t>Forget About Us</t>
  </si>
  <si>
    <t>Perrie</t>
  </si>
  <si>
    <t>One Last Time</t>
  </si>
  <si>
    <t>Malas Decisiones</t>
  </si>
  <si>
    <t>Kenia OS</t>
  </si>
  <si>
    <t>Dos Mil 16</t>
  </si>
  <si>
    <t>Toy Cantando</t>
  </si>
  <si>
    <t>Termina Comigo Antes</t>
  </si>
  <si>
    <t>Baarish</t>
  </si>
  <si>
    <t>ZITTI E BUONI</t>
  </si>
  <si>
    <t>Dijeron Que No La Iba Lograr</t>
  </si>
  <si>
    <t>Is It Love</t>
  </si>
  <si>
    <t>Feel It Still</t>
  </si>
  <si>
    <t>Portugal. The Man</t>
  </si>
  <si>
    <t>Portobello Beach</t>
  </si>
  <si>
    <t>Quiet as a Mouse</t>
  </si>
  <si>
    <t>MotorSport</t>
  </si>
  <si>
    <t>Bad At Love</t>
  </si>
  <si>
    <t>Nevada</t>
  </si>
  <si>
    <t>The Adults Are Talking</t>
  </si>
  <si>
    <t>The Strokes</t>
  </si>
  <si>
    <t>Melhor Eu Ir / Ligando os Fatos / Sonho de Amor / Deixa Eu Te Querer (Ao Vivo)</t>
  </si>
  <si>
    <t xml:space="preserve">Grupo Menos ï¿½ï¿½ </t>
  </si>
  <si>
    <t>Hips Don't Lie (feat. Wyclef Jean)</t>
  </si>
  <si>
    <t>Overdose</t>
  </si>
  <si>
    <t>natori</t>
  </si>
  <si>
    <t>Techno Cumbia (Remasterizado 2024/30th Anniversary)</t>
  </si>
  <si>
    <t>Tak Segampang Itu</t>
  </si>
  <si>
    <t>Anggi Marito</t>
  </si>
  <si>
    <t>Emotionally Scarred</t>
  </si>
  <si>
    <t>When It Rains It Pours</t>
  </si>
  <si>
    <t>If I Didn't Love You</t>
  </si>
  <si>
    <t>NO ME QUIERO CASAR</t>
  </si>
  <si>
    <t>UNHEALTHY (feat. Shania Twain)</t>
  </si>
  <si>
    <t>Anne-Marie</t>
  </si>
  <si>
    <t>ATORRANTE - con Los Palmeras</t>
  </si>
  <si>
    <t>Emanero</t>
  </si>
  <si>
    <t>Praise (feat. Brandon Lake, Chris Brown &amp; Chandler Moore)</t>
  </si>
  <si>
    <t>Elevation Worship</t>
  </si>
  <si>
    <t>El Mejor</t>
  </si>
  <si>
    <t>Chayï¿½ï¿½n R</t>
  </si>
  <si>
    <t>Roses</t>
  </si>
  <si>
    <t>Close Friends (Lil Baby &amp; Gunna)</t>
  </si>
  <si>
    <t>0 Sentimientos (Remix) [feat. Baby Rasta, Noriel, Darkiel, Messiah &amp; Lyan]</t>
  </si>
  <si>
    <t>Boy Wonder CF</t>
  </si>
  <si>
    <t>BEBï¿</t>
  </si>
  <si>
    <t>Propuesta Indecente</t>
  </si>
  <si>
    <t>Palhaï¿½ï¿½a (Ao V</t>
  </si>
  <si>
    <t>Naiara Azevedo</t>
  </si>
  <si>
    <t>Atmosphere</t>
  </si>
  <si>
    <t>FISHER</t>
  </si>
  <si>
    <t>Eid</t>
  </si>
  <si>
    <t>Mehmood J</t>
  </si>
  <si>
    <t>Money In The Grave (Drake ft. Rick Ross)</t>
  </si>
  <si>
    <t>BABY NUEVA</t>
  </si>
  <si>
    <t>ýýýýýýýýýý ýýýý ýýýýýý ýýýýýýýý</t>
  </si>
  <si>
    <t>ýýýýýýýýýý ýýýýýýýý</t>
  </si>
  <si>
    <t>Escapate Conmigo</t>
  </si>
  <si>
    <t>Wisin</t>
  </si>
  <si>
    <t>Lighter</t>
  </si>
  <si>
    <t>Galantis</t>
  </si>
  <si>
    <t>Halli Naatu (From "Rrr")</t>
  </si>
  <si>
    <t>Rahul Sipligunj</t>
  </si>
  <si>
    <t>Kill Em With Kindness</t>
  </si>
  <si>
    <t>Good Love</t>
  </si>
  <si>
    <t>Hannah Laing</t>
  </si>
  <si>
    <t>Little Girl Gone</t>
  </si>
  <si>
    <t>CHINCHILLA</t>
  </si>
  <si>
    <t>Ella Quiere Beber - Remix</t>
  </si>
  <si>
    <t>Blicky</t>
  </si>
  <si>
    <t>Fresh X Reckless</t>
  </si>
  <si>
    <t>Baby (Lil Baby feat. DaBaby)</t>
  </si>
  <si>
    <t>Quality Control</t>
  </si>
  <si>
    <t>Hotel</t>
  </si>
  <si>
    <t>Montell Fish</t>
  </si>
  <si>
    <t>Mas Altas Que Bajadas</t>
  </si>
  <si>
    <t>Somewhere Only We Know</t>
  </si>
  <si>
    <t>Gustixa</t>
  </si>
  <si>
    <t>X1</t>
  </si>
  <si>
    <t>MC Cabelinho</t>
  </si>
  <si>
    <t>Bebefinn</t>
  </si>
  <si>
    <t>DISPARA ***</t>
  </si>
  <si>
    <t>Nicki Nicole</t>
  </si>
  <si>
    <t>By Your Side</t>
  </si>
  <si>
    <t>Very Sad</t>
  </si>
  <si>
    <t>Enchan</t>
  </si>
  <si>
    <t>No Te Contaron Mal</t>
  </si>
  <si>
    <t>When We Were Young</t>
  </si>
  <si>
    <t>Miracle (Extended)</t>
  </si>
  <si>
    <t>Zapateado Encabronado #3</t>
  </si>
  <si>
    <t>Alacranes Musical</t>
  </si>
  <si>
    <t>Ainï¿½ï¿½ï¿½t Tha</t>
  </si>
  <si>
    <t>I Am Your Gummy Bear (The Gummy Bear Song)</t>
  </si>
  <si>
    <t>Gummibï¿½</t>
  </si>
  <si>
    <t>Do It Again (feat. 2Rare)</t>
  </si>
  <si>
    <t>Gerardo Coronel</t>
  </si>
  <si>
    <t>Bruno Portinho Trilhas para filmes</t>
  </si>
  <si>
    <t>The Smallest Man Who Ever Lived</t>
  </si>
  <si>
    <t>Loading</t>
  </si>
  <si>
    <t>Tek Tek (feat. MHD)</t>
  </si>
  <si>
    <t>Everyday Hustle</t>
  </si>
  <si>
    <t>Dos Besitos</t>
  </si>
  <si>
    <t>La Joaqui</t>
  </si>
  <si>
    <t>Deep Down (feat. Never Dull)</t>
  </si>
  <si>
    <t>No Me Conoce - Remix</t>
  </si>
  <si>
    <t>ýýCýýmo Pasýý?</t>
  </si>
  <si>
    <t>Ela Taubert</t>
  </si>
  <si>
    <t>Freaky Friday (feat. Chris Brown)</t>
  </si>
  <si>
    <t>Lil Dicky</t>
  </si>
  <si>
    <t>Still Rollin</t>
  </si>
  <si>
    <t>Safe And Sound</t>
  </si>
  <si>
    <t>Capital Cities</t>
  </si>
  <si>
    <t>Mal Hombre</t>
  </si>
  <si>
    <t>Kim Loaiza</t>
  </si>
  <si>
    <t>Teeth</t>
  </si>
  <si>
    <t>I Took A Pill In Ibiza</t>
  </si>
  <si>
    <t>Run Free</t>
  </si>
  <si>
    <t>Deep Chills</t>
  </si>
  <si>
    <t>In The Dark</t>
  </si>
  <si>
    <t>Felina</t>
  </si>
  <si>
    <t>WIU</t>
  </si>
  <si>
    <t>Meet you at the Graveyard</t>
  </si>
  <si>
    <t>Cleffy</t>
  </si>
  <si>
    <t>Sexy to Someone</t>
  </si>
  <si>
    <t>Clairo</t>
  </si>
  <si>
    <t>Se Le Ve</t>
  </si>
  <si>
    <t xml:space="preserve">Dï¿½ï¿½melo </t>
  </si>
  <si>
    <t>Coraï¿½ï¿½ï¿½ï¿½o</t>
  </si>
  <si>
    <t>FEARLESS</t>
  </si>
  <si>
    <t>Let It Go</t>
  </si>
  <si>
    <t>James Bay</t>
  </si>
  <si>
    <t>Where It Ends</t>
  </si>
  <si>
    <t>Desenrola Bate Joga de Ladin (feat. DJ Biel do Furduncinho)</t>
  </si>
  <si>
    <t>L7NNON</t>
  </si>
  <si>
    <t>Carry You Home</t>
  </si>
  <si>
    <t>City Boys</t>
  </si>
  <si>
    <t>Wellerman - Sea Shanty</t>
  </si>
  <si>
    <t>Every Summertime</t>
  </si>
  <si>
    <t>NIKI</t>
  </si>
  <si>
    <t>MANDA BALA</t>
  </si>
  <si>
    <t>Ariis</t>
  </si>
  <si>
    <t>Walk It Talk It</t>
  </si>
  <si>
    <t>TQMQA</t>
  </si>
  <si>
    <t>Face Off</t>
  </si>
  <si>
    <t>Tech N9ne</t>
  </si>
  <si>
    <t>Otra vez (feat. J Balvin)</t>
  </si>
  <si>
    <t>Zion &amp; Lennox</t>
  </si>
  <si>
    <t>BOOKER T</t>
  </si>
  <si>
    <t>Girls Never Die</t>
  </si>
  <si>
    <t>tripleS</t>
  </si>
  <si>
    <t>24/7, 365</t>
  </si>
  <si>
    <t>elijah woods</t>
  </si>
  <si>
    <t>POCPOC</t>
  </si>
  <si>
    <t>PEDRO SAMPAIO</t>
  </si>
  <si>
    <t>Je M'appelle</t>
  </si>
  <si>
    <t>Benzz</t>
  </si>
  <si>
    <t>Soap</t>
  </si>
  <si>
    <t>Melanie Martinez</t>
  </si>
  <si>
    <t>Bam Yang Gang</t>
  </si>
  <si>
    <t>BIBI</t>
  </si>
  <si>
    <t>Never Forget You</t>
  </si>
  <si>
    <t>Tyler Herro</t>
  </si>
  <si>
    <t>i hate u, i love u (feat. olivia o'brien)</t>
  </si>
  <si>
    <t>gnash</t>
  </si>
  <si>
    <t>Ophelia</t>
  </si>
  <si>
    <t>Manos Rotas</t>
  </si>
  <si>
    <t>DELLAFUENTE</t>
  </si>
  <si>
    <t>Ella No Es Tuya - Remix</t>
  </si>
  <si>
    <t>Rochy RD</t>
  </si>
  <si>
    <t>Satellite</t>
  </si>
  <si>
    <t>La Santa</t>
  </si>
  <si>
    <t>Tera Ban Jaunga</t>
  </si>
  <si>
    <t>Akhil Sachdeva</t>
  </si>
  <si>
    <t>Monï¿½ï¿½y so</t>
  </si>
  <si>
    <t>Ranjha Maahi</t>
  </si>
  <si>
    <t>Siddhant</t>
  </si>
  <si>
    <t>Sure Thing</t>
  </si>
  <si>
    <t>Miguel</t>
  </si>
  <si>
    <t>Talibans</t>
  </si>
  <si>
    <t>Byron Messia</t>
  </si>
  <si>
    <t>Love Story (Taylorï¿½ï¿½ï¿½s Ve</t>
  </si>
  <si>
    <t>Skin de Bandida</t>
  </si>
  <si>
    <t>Escapism. - Sped Up</t>
  </si>
  <si>
    <t>Lisa</t>
  </si>
  <si>
    <t>I Can Feel It</t>
  </si>
  <si>
    <t>ýýýý ýýýý ýýýýýýýý</t>
  </si>
  <si>
    <t>ýýýýýýýý ýýýýýýýýýýýý</t>
  </si>
  <si>
    <t>you should see me in a crown</t>
  </si>
  <si>
    <t>Te Robarï¿</t>
  </si>
  <si>
    <t>Rewrite The Stars (with James Arthur &amp; Anne-Marie)</t>
  </si>
  <si>
    <t>FBI</t>
  </si>
  <si>
    <t>Picus</t>
  </si>
  <si>
    <t>Come and Say - Original Mix</t>
  </si>
  <si>
    <t>"XY"</t>
  </si>
  <si>
    <t>Somebody (2024)</t>
  </si>
  <si>
    <t>Dandelions</t>
  </si>
  <si>
    <t>Ruth B.</t>
  </si>
  <si>
    <t>Malvada</t>
  </si>
  <si>
    <t>Zï¿½ï¿½ Fe</t>
  </si>
  <si>
    <t>I Love You So</t>
  </si>
  <si>
    <t>The Walters</t>
  </si>
  <si>
    <t>i love you</t>
  </si>
  <si>
    <t>Not Fair</t>
  </si>
  <si>
    <t>Niklas Dee</t>
  </si>
  <si>
    <t>Benjamins Deli</t>
  </si>
  <si>
    <t>JRitt</t>
  </si>
  <si>
    <t>Him &amp; I (with Halsey)</t>
  </si>
  <si>
    <t>TIKTOK</t>
  </si>
  <si>
    <t>Ian Lucas</t>
  </si>
  <si>
    <t>Call Your Friends</t>
  </si>
  <si>
    <t>Rosa Pastel</t>
  </si>
  <si>
    <t>Dirt Cheap</t>
  </si>
  <si>
    <t>Borderline</t>
  </si>
  <si>
    <t>Tï¿</t>
  </si>
  <si>
    <t>No Time To Die</t>
  </si>
  <si>
    <t>All Eyes on Me</t>
  </si>
  <si>
    <t>Dj Belite</t>
  </si>
  <si>
    <t>En El Radio Un Cochinero</t>
  </si>
  <si>
    <t>Victor Cibrian</t>
  </si>
  <si>
    <t>Safari</t>
  </si>
  <si>
    <t>comethru</t>
  </si>
  <si>
    <t>Jeremy Zucker</t>
  </si>
  <si>
    <t>ýýýýýýýýýýýýýýýýýýýýýýýýýýýýýýýýýýýýýýýýýý</t>
  </si>
  <si>
    <t>ýýýýýýýýýýýýýýý ýýýýýýýýýýýýýýý</t>
  </si>
  <si>
    <t>ROCKSTAR</t>
  </si>
  <si>
    <t>Boy's a liar</t>
  </si>
  <si>
    <t>O Patinho Colorido</t>
  </si>
  <si>
    <t>La Mejor Version de Mi</t>
  </si>
  <si>
    <t>B.O.T.A. (Baddest Of Them All)</t>
  </si>
  <si>
    <t>Love Terremoto - Ao Vivo</t>
  </si>
  <si>
    <t>Os Barï¿½ï¿½es Da Pisad</t>
  </si>
  <si>
    <t>Lucky Girl Syndrome</t>
  </si>
  <si>
    <t>...Baby One More Time (from Kung Fu Panda 4)</t>
  </si>
  <si>
    <t>Tenacious D</t>
  </si>
  <si>
    <t>Little Dark Age</t>
  </si>
  <si>
    <t>MGMT</t>
  </si>
  <si>
    <t>Una Lady Como Tï¿</t>
  </si>
  <si>
    <t>Hypnotized</t>
  </si>
  <si>
    <t>Diable</t>
  </si>
  <si>
    <t>Ven'nus</t>
  </si>
  <si>
    <t>Laung Laachi Title Track</t>
  </si>
  <si>
    <t>Mannat Noor</t>
  </si>
  <si>
    <t>Chunni Me Perfume Lagawe</t>
  </si>
  <si>
    <t>Gajendra Gurjar</t>
  </si>
  <si>
    <t>Koka</t>
  </si>
  <si>
    <t>Mankirt Aulakh</t>
  </si>
  <si>
    <t>ELEVEN</t>
  </si>
  <si>
    <t>Hasta el Amanecer</t>
  </si>
  <si>
    <t>Space Cadet (feat. Gunna)</t>
  </si>
  <si>
    <t>Poker Face ( Remix )</t>
  </si>
  <si>
    <t>Bora Media</t>
  </si>
  <si>
    <t>November Rain (2022 Version)</t>
  </si>
  <si>
    <t>Guns N' Roses</t>
  </si>
  <si>
    <t>ýýýýýýýýýýýý ýýýýýýýýýýýý</t>
  </si>
  <si>
    <t>Lusia Chebotina</t>
  </si>
  <si>
    <t>We Ride</t>
  </si>
  <si>
    <t>Bryan Martin</t>
  </si>
  <si>
    <t>Rich Spirit</t>
  </si>
  <si>
    <t>Cochinae</t>
  </si>
  <si>
    <t>Julianno Sosa</t>
  </si>
  <si>
    <t>Juju On That Beat (TZ Anthem)</t>
  </si>
  <si>
    <t>Zay Hilfigerrr</t>
  </si>
  <si>
    <t>I'm Not The Only One</t>
  </si>
  <si>
    <t>Murder</t>
  </si>
  <si>
    <t>Bgnzinho</t>
  </si>
  <si>
    <t>Major Distribution</t>
  </si>
  <si>
    <t>Psikopat</t>
  </si>
  <si>
    <t>Butrint Imeri</t>
  </si>
  <si>
    <t>Piï¿½ï¿½man Deï¿</t>
  </si>
  <si>
    <t>Taio Cruz</t>
  </si>
  <si>
    <t>Chlorine</t>
  </si>
  <si>
    <t>GIVENCHY</t>
  </si>
  <si>
    <t>Duki</t>
  </si>
  <si>
    <t>Here</t>
  </si>
  <si>
    <t>COME UN TUONO (feat. Guï¿½</t>
  </si>
  <si>
    <t>Rose Villain</t>
  </si>
  <si>
    <t>Favorito</t>
  </si>
  <si>
    <t>Royalty</t>
  </si>
  <si>
    <t>Egzod</t>
  </si>
  <si>
    <t>Am I Wrong</t>
  </si>
  <si>
    <t>Nico &amp; Vinz</t>
  </si>
  <si>
    <t>Tennessee Orange</t>
  </si>
  <si>
    <t>Megan Moroney</t>
  </si>
  <si>
    <t>Still Trappin' (with King Von)</t>
  </si>
  <si>
    <t>De Fresa y Coco</t>
  </si>
  <si>
    <t>He Dead (Oil Thief Remix)</t>
  </si>
  <si>
    <t>clipping.</t>
  </si>
  <si>
    <t>YUM YUM (Slowed)</t>
  </si>
  <si>
    <t>Issues</t>
  </si>
  <si>
    <t>Julia Michaels</t>
  </si>
  <si>
    <t>Element</t>
  </si>
  <si>
    <t>n.h.i.e.</t>
  </si>
  <si>
    <t>GOD'S COUNTRY</t>
  </si>
  <si>
    <t>Parado no Bailï¿½</t>
  </si>
  <si>
    <t>MC L da Vinte</t>
  </si>
  <si>
    <t>El Paso del Gigante</t>
  </si>
  <si>
    <t>Grupo Soï¿½ï¿½</t>
  </si>
  <si>
    <t>F Boy</t>
  </si>
  <si>
    <t>Ander Huang</t>
  </si>
  <si>
    <t>Yo x Ti, Tu x Mi</t>
  </si>
  <si>
    <t>Say It</t>
  </si>
  <si>
    <t>Ain't Shit</t>
  </si>
  <si>
    <t>Dancing With Your Ghost</t>
  </si>
  <si>
    <t>Sasha Alex Sloan</t>
  </si>
  <si>
    <t>SIRENS</t>
  </si>
  <si>
    <t xml:space="preserve">Conexï¿½ï¿½es de Mï¿½ï¿½fia (feat. Rich </t>
  </si>
  <si>
    <t>Matuï¿</t>
  </si>
  <si>
    <t>2 Hielos</t>
  </si>
  <si>
    <t>King Savagge</t>
  </si>
  <si>
    <t>BAD BOY</t>
  </si>
  <si>
    <t>I Love Mama Mantu</t>
  </si>
  <si>
    <t>Bulan Sutena</t>
  </si>
  <si>
    <t>Hall of Fame (feat. will.i.am)</t>
  </si>
  <si>
    <t>Original som fan</t>
  </si>
  <si>
    <t>OP</t>
  </si>
  <si>
    <t>SLAY!</t>
  </si>
  <si>
    <t>Zaroori Tha</t>
  </si>
  <si>
    <t>Rahat Fateh Ali Khan</t>
  </si>
  <si>
    <t>Deixa</t>
  </si>
  <si>
    <t>Maria Marï¿½ï</t>
  </si>
  <si>
    <t>We Didnï¿½ï¿½ï¿½t Start Th</t>
  </si>
  <si>
    <t>ýýýýýýýýýýýýýýýýýýýýýýýýýýýýýýýýý- Sayonara</t>
  </si>
  <si>
    <t>Proud Mary - 2023 Remaster</t>
  </si>
  <si>
    <t>Runaway (U &amp; I)</t>
  </si>
  <si>
    <t>Ley Seca</t>
  </si>
  <si>
    <t>Dawns (feat. Maggie Rogers)</t>
  </si>
  <si>
    <t>Mesafe</t>
  </si>
  <si>
    <t>So High School</t>
  </si>
  <si>
    <t>Hola</t>
  </si>
  <si>
    <t>Dalex</t>
  </si>
  <si>
    <t>Dark Red</t>
  </si>
  <si>
    <t>Diosa</t>
  </si>
  <si>
    <t>Sand Monkey</t>
  </si>
  <si>
    <t>Kid Pharaoh</t>
  </si>
  <si>
    <t>Wagon Wheel</t>
  </si>
  <si>
    <t>Darius Rucker</t>
  </si>
  <si>
    <t>Dil Galti Kar Baitha Hai</t>
  </si>
  <si>
    <t>Is There Someone Else?</t>
  </si>
  <si>
    <t>Ir Sais</t>
  </si>
  <si>
    <t>Wild Side (feat. Cardi B)</t>
  </si>
  <si>
    <t>Normani</t>
  </si>
  <si>
    <t>Bi' Tek Ben Anlarï¿½</t>
  </si>
  <si>
    <t>Kï¿½ï</t>
  </si>
  <si>
    <t>Location (feat. Burna Boy)</t>
  </si>
  <si>
    <t>Mon Amour</t>
  </si>
  <si>
    <t>Annalisa</t>
  </si>
  <si>
    <t>Ve Kamleya (From "Rocky Aur Rani Kii Prem Kahaani")</t>
  </si>
  <si>
    <t>Pray For Me</t>
  </si>
  <si>
    <t>p r i d e . i s . t h e . d e v i l (with Lil Baby)</t>
  </si>
  <si>
    <t>Position</t>
  </si>
  <si>
    <t>Franglish</t>
  </si>
  <si>
    <t>Motley Crew</t>
  </si>
  <si>
    <t>Poppin</t>
  </si>
  <si>
    <t>Casi Completa</t>
  </si>
  <si>
    <t>JOLENE</t>
  </si>
  <si>
    <t>Roï¿½ï¿½a Em</t>
  </si>
  <si>
    <t>Sugarcane (Remix) [feat. King Promise, Mayorkun &amp; Darkoo]</t>
  </si>
  <si>
    <t>Camidoh</t>
  </si>
  <si>
    <t>Kya Hua</t>
  </si>
  <si>
    <t>TOES (feat. Lil Baby &amp; Moneybagg Yo)</t>
  </si>
  <si>
    <t>Ch-Ch-Ch Chick (feat. Chick McGee)</t>
  </si>
  <si>
    <t>Bob and Tom</t>
  </si>
  <si>
    <t>10 Things I Hate About You</t>
  </si>
  <si>
    <t>Leah Kate</t>
  </si>
  <si>
    <t>Adios Amor</t>
  </si>
  <si>
    <t>X ï¿½ï¿½LTIMA</t>
  </si>
  <si>
    <t>Lalala - Ilkan Gunuc Remix</t>
  </si>
  <si>
    <t>Poco A Poco</t>
  </si>
  <si>
    <t>The Alchemy</t>
  </si>
  <si>
    <t>Sunday Service</t>
  </si>
  <si>
    <t>Red Ruby Da Sleeze</t>
  </si>
  <si>
    <t>Mama</t>
  </si>
  <si>
    <t>Jonas Blue</t>
  </si>
  <si>
    <t>Puta Mexicana</t>
  </si>
  <si>
    <t>DJ Jeeh FDC</t>
  </si>
  <si>
    <t>Self Care</t>
  </si>
  <si>
    <t>Mac Miller</t>
  </si>
  <si>
    <t>Out of Time</t>
  </si>
  <si>
    <t>About You</t>
  </si>
  <si>
    <t>The 1975</t>
  </si>
  <si>
    <t>BED</t>
  </si>
  <si>
    <t>Chayce Beckham</t>
  </si>
  <si>
    <t>Andas En Mi Cabeza</t>
  </si>
  <si>
    <t>Chino &amp; Nacho</t>
  </si>
  <si>
    <t>Remember</t>
  </si>
  <si>
    <t>Becky Hill</t>
  </si>
  <si>
    <t>Here's Your Perfect</t>
  </si>
  <si>
    <t>Jamie Miller</t>
  </si>
  <si>
    <t>Highs &amp; Lows</t>
  </si>
  <si>
    <t>Prinz</t>
  </si>
  <si>
    <t>Survivorï¿½ï¿½ï¿½s R</t>
  </si>
  <si>
    <t>Halloween</t>
  </si>
  <si>
    <t>Blood Dance</t>
  </si>
  <si>
    <t>Impossible</t>
  </si>
  <si>
    <t>RIIZE</t>
  </si>
  <si>
    <t>El Rescate</t>
  </si>
  <si>
    <t>Wockesha</t>
  </si>
  <si>
    <t>Moneybagg Yo</t>
  </si>
  <si>
    <t>Mirame</t>
  </si>
  <si>
    <t>Pantysito</t>
  </si>
  <si>
    <t>Alejo</t>
  </si>
  <si>
    <t>brutal</t>
  </si>
  <si>
    <t>Recognize (feat. Drake)</t>
  </si>
  <si>
    <t>PARTYNEXTDOOR</t>
  </si>
  <si>
    <t>Lovefool</t>
  </si>
  <si>
    <t>MEMORIAS</t>
  </si>
  <si>
    <t>Mood Malandro</t>
  </si>
  <si>
    <t>Cï¿½ï¿½dig</t>
  </si>
  <si>
    <t>JACKIE BROWN</t>
  </si>
  <si>
    <t>TELEFONO NUEVO</t>
  </si>
  <si>
    <t>Danï¿½ï¿½a Ma</t>
  </si>
  <si>
    <t>Kalkatiya Raja</t>
  </si>
  <si>
    <t>Drippy</t>
  </si>
  <si>
    <t>Never Going Home</t>
  </si>
  <si>
    <t>Problemï¿½</t>
  </si>
  <si>
    <t>Waiting for the End</t>
  </si>
  <si>
    <t>Pacto (feat. Luar La L)</t>
  </si>
  <si>
    <t>Nena Maldiciï¿½ï¿½n (feat. Lenny Tavï¿</t>
  </si>
  <si>
    <t>Talk talk</t>
  </si>
  <si>
    <t>Daisy</t>
  </si>
  <si>
    <t>Ashnikko</t>
  </si>
  <si>
    <t>Fast Forward</t>
  </si>
  <si>
    <t>JEON SOMI</t>
  </si>
  <si>
    <t>Ice Attack</t>
  </si>
  <si>
    <t>Stolen Dance</t>
  </si>
  <si>
    <t>Milky Chance</t>
  </si>
  <si>
    <t>Set Me Free Pt.2</t>
  </si>
  <si>
    <t>Satu Rasa Cinta</t>
  </si>
  <si>
    <t>Fira Cantika</t>
  </si>
  <si>
    <t>LOCATION</t>
  </si>
  <si>
    <t>Terminator</t>
  </si>
  <si>
    <t>King Promise</t>
  </si>
  <si>
    <t>Orang Yang Salah - Sped Up Version</t>
  </si>
  <si>
    <t>Luvia band</t>
  </si>
  <si>
    <t>Snowman</t>
  </si>
  <si>
    <t>Hurricane</t>
  </si>
  <si>
    <t>Rumah Singgah</t>
  </si>
  <si>
    <t>Fabio Asher</t>
  </si>
  <si>
    <t>Strip That Down (feat. Quavo)</t>
  </si>
  <si>
    <t>Liam Payne</t>
  </si>
  <si>
    <t>IT GIRL - Sped up Version</t>
  </si>
  <si>
    <t>Khodni</t>
  </si>
  <si>
    <t>Lost in the Fire (feat. The Weeknd)</t>
  </si>
  <si>
    <t>Gesaffelstein</t>
  </si>
  <si>
    <t>Minha Heranï¿½</t>
  </si>
  <si>
    <t>Diva Yorgun</t>
  </si>
  <si>
    <t>Melike ï¿½ï¿½</t>
  </si>
  <si>
    <t>Can't Get Enough</t>
  </si>
  <si>
    <t>Jennifer Lopez</t>
  </si>
  <si>
    <t>The Man He Sees in Me</t>
  </si>
  <si>
    <t>Dilemma</t>
  </si>
  <si>
    <t>Nelly</t>
  </si>
  <si>
    <t>20 Tragos</t>
  </si>
  <si>
    <t>Yiï¿½</t>
  </si>
  <si>
    <t>My wrist (with Young Thug)</t>
  </si>
  <si>
    <t>GigaChad Theme - Phonk House Version</t>
  </si>
  <si>
    <t>g3ox_em</t>
  </si>
  <si>
    <t>Jackie Chan</t>
  </si>
  <si>
    <t>Words (feat. Zara Larsson)</t>
  </si>
  <si>
    <t>Alesso</t>
  </si>
  <si>
    <t>Bombonzinho - Ao Vivo</t>
  </si>
  <si>
    <t>Israel &amp; Rodolffo</t>
  </si>
  <si>
    <t>Mil Preguntas</t>
  </si>
  <si>
    <t>The La Planta</t>
  </si>
  <si>
    <t>OJALï¿</t>
  </si>
  <si>
    <t>Bejeweled</t>
  </si>
  <si>
    <t>Back for More (with Anitta)</t>
  </si>
  <si>
    <t>That Girl</t>
  </si>
  <si>
    <t>Amrinder Gill</t>
  </si>
  <si>
    <t>FERXXO 151</t>
  </si>
  <si>
    <t>Dhaniya Ae Jaan</t>
  </si>
  <si>
    <t>Young And Beautiful</t>
  </si>
  <si>
    <t>United In Grief</t>
  </si>
  <si>
    <t>Drunk in Love</t>
  </si>
  <si>
    <t>La Vida Sin Ti</t>
  </si>
  <si>
    <t>FREAK</t>
  </si>
  <si>
    <t>YUQI</t>
  </si>
  <si>
    <t>Casa Mia</t>
  </si>
  <si>
    <t>Ghali</t>
  </si>
  <si>
    <t>Kaikai Kitan</t>
  </si>
  <si>
    <t>Eve</t>
  </si>
  <si>
    <t>Opp Stoppa (feat. 21 Savage)</t>
  </si>
  <si>
    <t>YBN Nahmir</t>
  </si>
  <si>
    <t>Mary On A Cross</t>
  </si>
  <si>
    <t>Go Fuck Yourself</t>
  </si>
  <si>
    <t>Two Feet</t>
  </si>
  <si>
    <t>Crocodile Tearz</t>
  </si>
  <si>
    <t>PLIS</t>
  </si>
  <si>
    <t>Back to Me</t>
  </si>
  <si>
    <t>Antidepresan</t>
  </si>
  <si>
    <t>Rise</t>
  </si>
  <si>
    <t>Summertime Sadness</t>
  </si>
  <si>
    <t>PICK IT UP (feat. A$AP Rocky)</t>
  </si>
  <si>
    <t>Famous Dex</t>
  </si>
  <si>
    <t>Double Fantasy (with Future)</t>
  </si>
  <si>
    <t>Fisherrr</t>
  </si>
  <si>
    <t>Cash Cobain</t>
  </si>
  <si>
    <t>Thank You for Being You</t>
  </si>
  <si>
    <t>OctaSounds</t>
  </si>
  <si>
    <t>Wild as Her</t>
  </si>
  <si>
    <t>Corey Kent</t>
  </si>
  <si>
    <t>Beautiful (feat. Camila Cabello)</t>
  </si>
  <si>
    <t>Bazzi</t>
  </si>
  <si>
    <t>Black Friday</t>
  </si>
  <si>
    <t>Summertime Sadness (Sped Up)</t>
  </si>
  <si>
    <t>Ignorantes</t>
  </si>
  <si>
    <t>Break Free</t>
  </si>
  <si>
    <t>Risk</t>
  </si>
  <si>
    <t>Nathy Peluso: Bzrp Music Sessions, Vol. 36</t>
  </si>
  <si>
    <t>WY@</t>
  </si>
  <si>
    <t>Acapulco</t>
  </si>
  <si>
    <t>GHOST TOWN</t>
  </si>
  <si>
    <t>Bande organisï¿½</t>
  </si>
  <si>
    <t>13 Organisï¿</t>
  </si>
  <si>
    <t>Only Human</t>
  </si>
  <si>
    <t>Daddy Issues</t>
  </si>
  <si>
    <t>Cha Cha Cha</t>
  </si>
  <si>
    <t>Kï¿½ï¿½ï¿½</t>
  </si>
  <si>
    <t>Raining In Manila</t>
  </si>
  <si>
    <t>Lola Amour</t>
  </si>
  <si>
    <t>Diabï¿½ï¿½</t>
  </si>
  <si>
    <t>HE KNOWS (feat. Lil Nas X)</t>
  </si>
  <si>
    <t>Feels (feat. Pharrell Williams, Katy Perry &amp; Big Sean)</t>
  </si>
  <si>
    <t>Everybody make some Tik Tok</t>
  </si>
  <si>
    <t>Bounce Oï¿½ï¿½ï¿</t>
  </si>
  <si>
    <t>Another Love (Tiï¿½ï¿½sto Re</t>
  </si>
  <si>
    <t>His &amp; Hers (feat. Don Toliver, Lil Uzi Vert &amp; Gunna)</t>
  </si>
  <si>
    <t>Tu Aake Dekhle</t>
  </si>
  <si>
    <t>Red Leather</t>
  </si>
  <si>
    <t>Viva La Vida</t>
  </si>
  <si>
    <t>Nice to Meet You</t>
  </si>
  <si>
    <t>Verte Ir</t>
  </si>
  <si>
    <t>DJ Luian</t>
  </si>
  <si>
    <t>Pink + White</t>
  </si>
  <si>
    <t>Frank Ocean</t>
  </si>
  <si>
    <t>Mother</t>
  </si>
  <si>
    <t>Flashback (feat. Gazo)</t>
  </si>
  <si>
    <t>Favï¿</t>
  </si>
  <si>
    <t>Space Song</t>
  </si>
  <si>
    <t>Beach House</t>
  </si>
  <si>
    <t>OKAY</t>
  </si>
  <si>
    <t>JT</t>
  </si>
  <si>
    <t>Rude</t>
  </si>
  <si>
    <t>MAGIC!</t>
  </si>
  <si>
    <t>Chill Bill</t>
  </si>
  <si>
    <t>Rob $tone</t>
  </si>
  <si>
    <t>My Way</t>
  </si>
  <si>
    <t>Big City Life</t>
  </si>
  <si>
    <t>Luchï¿½ï¿½ La</t>
  </si>
  <si>
    <t>BoomBoxRepairKit</t>
  </si>
  <si>
    <t>Wife</t>
  </si>
  <si>
    <t>'Till I Collapse</t>
  </si>
  <si>
    <t>No Hands (feat. Roscoe Dash &amp; Wale)</t>
  </si>
  <si>
    <t>Waka Flocka Flame</t>
  </si>
  <si>
    <t>Jumbotron Shit Poppin</t>
  </si>
  <si>
    <t>La Nota</t>
  </si>
  <si>
    <t>Amor a Primera Vista</t>
  </si>
  <si>
    <t>Solo</t>
  </si>
  <si>
    <t>UNFORGIVEN (feat. Nile Rodgers)</t>
  </si>
  <si>
    <t>ýýýýýýýýýýýýýýýýýýýýýýýýýýýýýýýýýýýýýýýýýýýýýýýýýýýýýýýýýýýýýýýýýýýýýýýý</t>
  </si>
  <si>
    <t>Bonnadol</t>
  </si>
  <si>
    <t>Elini Ver</t>
  </si>
  <si>
    <t>Amo988</t>
  </si>
  <si>
    <t>Sex Music</t>
  </si>
  <si>
    <t>Tank</t>
  </si>
  <si>
    <t>Porfa</t>
  </si>
  <si>
    <t>P power (feat. Drake)</t>
  </si>
  <si>
    <t xml:space="preserve">I Can See You (Taylorï¿½ï¿½ï¿½s Version) (From The </t>
  </si>
  <si>
    <t>Derniï¿½ï¿½re d</t>
  </si>
  <si>
    <t>Indila</t>
  </si>
  <si>
    <t>Prada (Valexus Remix)</t>
  </si>
  <si>
    <t>A ver, a ver - Ric Piccolo Edit</t>
  </si>
  <si>
    <t>Donald</t>
  </si>
  <si>
    <t>Fight Song</t>
  </si>
  <si>
    <t>Rachel Platten</t>
  </si>
  <si>
    <t>South of the Border (feat. Camila Cabello &amp; Cardi B)</t>
  </si>
  <si>
    <t>Losing It</t>
  </si>
  <si>
    <t>MATHEMATICAL DISRESPECT</t>
  </si>
  <si>
    <t>Swervin (feat. 6ix9ine)</t>
  </si>
  <si>
    <t>Dick (feat. Doja Cat)</t>
  </si>
  <si>
    <t>StarBoi3</t>
  </si>
  <si>
    <t>Perfect Strangers</t>
  </si>
  <si>
    <t>Hey Brother</t>
  </si>
  <si>
    <t>Otra Noche</t>
  </si>
  <si>
    <t>Yet To Come</t>
  </si>
  <si>
    <t>When I'm Gone</t>
  </si>
  <si>
    <t>Girlfriend</t>
  </si>
  <si>
    <t>WATATI (feat. Aldo Ranks) [From Barbie The Album]</t>
  </si>
  <si>
    <t>Always</t>
  </si>
  <si>
    <t>YKWIM?</t>
  </si>
  <si>
    <t>Yot Club</t>
  </si>
  <si>
    <t>Damage</t>
  </si>
  <si>
    <t>H.E.R.</t>
  </si>
  <si>
    <t>Rags2Riches 2 (feat. Lil Baby)</t>
  </si>
  <si>
    <t>Bellyache</t>
  </si>
  <si>
    <t>No Wahala</t>
  </si>
  <si>
    <t>1da Banton</t>
  </si>
  <si>
    <t>Wait a Minute!</t>
  </si>
  <si>
    <t>WILLOW</t>
  </si>
  <si>
    <t>HONEY BEES</t>
  </si>
  <si>
    <t>Hachi</t>
  </si>
  <si>
    <t>Gypsy</t>
  </si>
  <si>
    <t>G.D. Kaur</t>
  </si>
  <si>
    <t>Ojos Marrones</t>
  </si>
  <si>
    <t>Lasso</t>
  </si>
  <si>
    <t>WASTE</t>
  </si>
  <si>
    <t>Kxllswxtch</t>
  </si>
  <si>
    <t>MTG MALDIï¿½ï¿½ï¿½ï¿½O ET</t>
  </si>
  <si>
    <t>DJ GLK</t>
  </si>
  <si>
    <t>Little Things x Gypsy Woman - L BEATS MASHUP</t>
  </si>
  <si>
    <t>Jorja Smith</t>
  </si>
  <si>
    <t>Wake Up (feat. Chris Brown)</t>
  </si>
  <si>
    <t>Skylar Blatt</t>
  </si>
  <si>
    <t>Sï¿½ï¿½guelo Bail</t>
  </si>
  <si>
    <t>Arranca (feat. Omega)</t>
  </si>
  <si>
    <t>The Family Madrigal</t>
  </si>
  <si>
    <t>Stephanie Beatriz</t>
  </si>
  <si>
    <t>Hasta Abajo</t>
  </si>
  <si>
    <t>KEVIN ROLDAN</t>
  </si>
  <si>
    <t>Flawlï¿½ï¿½ss (feat. Lil Uzi V</t>
  </si>
  <si>
    <t>Praise Jah in the Moonlight</t>
  </si>
  <si>
    <t>Uzii BigTalk</t>
  </si>
  <si>
    <t>Bon appï¿½ï¿</t>
  </si>
  <si>
    <t>I'm the One</t>
  </si>
  <si>
    <t>1nonly</t>
  </si>
  <si>
    <t>Typa Girl</t>
  </si>
  <si>
    <t>Ayy Macarena</t>
  </si>
  <si>
    <t>ELA PIROU NA DODGE RAM</t>
  </si>
  <si>
    <t>Like What (Freestyle)</t>
  </si>
  <si>
    <t>Party In The U.S.A.</t>
  </si>
  <si>
    <t>Wet Dreamz</t>
  </si>
  <si>
    <t>Dhani Ho Sab Dhan</t>
  </si>
  <si>
    <t>Next Level</t>
  </si>
  <si>
    <t>Whiskey Glasses</t>
  </si>
  <si>
    <t>Bado Badi</t>
  </si>
  <si>
    <t>Chahat Fateh Ali Khan</t>
  </si>
  <si>
    <t>Esta Vida</t>
  </si>
  <si>
    <t>Dusk Till Dawn - Radio Edit</t>
  </si>
  <si>
    <t>Shotta Flow [Remix]</t>
  </si>
  <si>
    <t>Bolide allemand</t>
  </si>
  <si>
    <t>SDM</t>
  </si>
  <si>
    <t>Amor Tumbado</t>
  </si>
  <si>
    <t>New Gold (feat. Tame Impala and Bootie Brown)</t>
  </si>
  <si>
    <t>Gorillaz</t>
  </si>
  <si>
    <t>VIVIZ</t>
  </si>
  <si>
    <t>Don't Mind</t>
  </si>
  <si>
    <t>Kent Jones</t>
  </si>
  <si>
    <t>Dientes</t>
  </si>
  <si>
    <t>Look Alive (feat. Drake)</t>
  </si>
  <si>
    <t>BlocBoy JB</t>
  </si>
  <si>
    <t>Wake Up! (feat. Juice WRLD)</t>
  </si>
  <si>
    <t>Midnight Rain</t>
  </si>
  <si>
    <t>Lagdi Lahore Di (From "Street Dancer 3D")</t>
  </si>
  <si>
    <t>Boo'd Up</t>
  </si>
  <si>
    <t>A Mï¿</t>
  </si>
  <si>
    <t>Buttabomma - Telugu</t>
  </si>
  <si>
    <t>Armaan Malik</t>
  </si>
  <si>
    <t>Burn It Down</t>
  </si>
  <si>
    <t>Parker McCollum</t>
  </si>
  <si>
    <t>Tu Fan</t>
  </si>
  <si>
    <t>mafalda cardenal</t>
  </si>
  <si>
    <t>Whole Lotta Choppas</t>
  </si>
  <si>
    <t>Sada Baby</t>
  </si>
  <si>
    <t>Galaxy Express</t>
  </si>
  <si>
    <t>D Gerrard</t>
  </si>
  <si>
    <t>Skate</t>
  </si>
  <si>
    <t>Mercy</t>
  </si>
  <si>
    <t>Dame Tu Cosita (feat. Cutty Ranks)</t>
  </si>
  <si>
    <t>Enemy - from the series Arcane League of Legends</t>
  </si>
  <si>
    <t>Dear John</t>
  </si>
  <si>
    <t>Wild Child</t>
  </si>
  <si>
    <t>Mount Everest</t>
  </si>
  <si>
    <t>Escï¿½ï¿½n</t>
  </si>
  <si>
    <t>LAISSE MOI</t>
  </si>
  <si>
    <t>This Is The Life</t>
  </si>
  <si>
    <t>LIZOT</t>
  </si>
  <si>
    <t>Baianï¿</t>
  </si>
  <si>
    <t>Bakermat</t>
  </si>
  <si>
    <t>Homicide (feat. Eminem)</t>
  </si>
  <si>
    <t>More Than My Hometown</t>
  </si>
  <si>
    <t>Work Out</t>
  </si>
  <si>
    <t>Soltera</t>
  </si>
  <si>
    <t>Lunay</t>
  </si>
  <si>
    <t>Fall In Love Alone</t>
  </si>
  <si>
    <t>Stacey Ryan</t>
  </si>
  <si>
    <t>Huntinï¿½ï¿½ï¿½ W</t>
  </si>
  <si>
    <t>Plain Jane</t>
  </si>
  <si>
    <t>A$AP Ferg</t>
  </si>
  <si>
    <t>ORANGE SODA</t>
  </si>
  <si>
    <t>Clap For 'Em (feat. Flo Milli &amp; Sada Baby)</t>
  </si>
  <si>
    <t>YungManny</t>
  </si>
  <si>
    <t>Righteous</t>
  </si>
  <si>
    <t>Casei Com a Putaria</t>
  </si>
  <si>
    <t>Mc Paiva ZS</t>
  </si>
  <si>
    <t>9mm</t>
  </si>
  <si>
    <t>Memphis Cult</t>
  </si>
  <si>
    <t>SOLO - Live</t>
  </si>
  <si>
    <t>Envy Me</t>
  </si>
  <si>
    <t>Calboy</t>
  </si>
  <si>
    <t>DEJA VU</t>
  </si>
  <si>
    <t>Luan Santana</t>
  </si>
  <si>
    <t>Gï¿½ï¿½r</t>
  </si>
  <si>
    <t>Fatih Bulut</t>
  </si>
  <si>
    <t>vendetta!</t>
  </si>
  <si>
    <t>MUPP</t>
  </si>
  <si>
    <t>Tï¿½ï¿½ OK (Re</t>
  </si>
  <si>
    <t>I'll Be Waiting</t>
  </si>
  <si>
    <t>Cian Ducrot</t>
  </si>
  <si>
    <t>Admirin' You (feat. Preston Pablo)</t>
  </si>
  <si>
    <t>Untitled #13</t>
  </si>
  <si>
    <t>Glwzbll</t>
  </si>
  <si>
    <t>El Belicï¿½</t>
  </si>
  <si>
    <t>imgonnagetyouback</t>
  </si>
  <si>
    <t>Roses (with Juice WRLD feat. Brendon Urie)</t>
  </si>
  <si>
    <t>BANZAI!</t>
  </si>
  <si>
    <t>Kazuo</t>
  </si>
  <si>
    <t>One Thing Right</t>
  </si>
  <si>
    <t>Wildest Dreams</t>
  </si>
  <si>
    <t>Calling For You (feat. 21 Savage)</t>
  </si>
  <si>
    <t>What About Us</t>
  </si>
  <si>
    <t>On The Floor</t>
  </si>
  <si>
    <t>Mentalitï¿</t>
  </si>
  <si>
    <t>Baby Gang</t>
  </si>
  <si>
    <t>Taki Taki (with Selena Gomez, Ozuna &amp; Cardi B)</t>
  </si>
  <si>
    <t>Captain Hook</t>
  </si>
  <si>
    <t>ýýýýýýýýýýýýýýýýýýýýýýýýýýýýýýýýýýýýýýýýýýýýýýýýýýýýýýýýýýýýýýýýýý</t>
  </si>
  <si>
    <t>Djpaoremix</t>
  </si>
  <si>
    <t>I'll Be There</t>
  </si>
  <si>
    <t>Robin Schulz</t>
  </si>
  <si>
    <t>Heavy stunts (with Don Toliver)</t>
  </si>
  <si>
    <t>Time Today</t>
  </si>
  <si>
    <t>Hold Me While You Wait</t>
  </si>
  <si>
    <t>messy in heaven</t>
  </si>
  <si>
    <t>venbee</t>
  </si>
  <si>
    <t>Maquillaje</t>
  </si>
  <si>
    <t>Renn</t>
  </si>
  <si>
    <t>Shiver</t>
  </si>
  <si>
    <t>Novidade na ï¿½ï¿</t>
  </si>
  <si>
    <t>Mc Livinho</t>
  </si>
  <si>
    <t>Coming for You (feat. A1 x J1)</t>
  </si>
  <si>
    <t>SwitchOTR</t>
  </si>
  <si>
    <t>Toxic Pony</t>
  </si>
  <si>
    <t>ALTï¿½ï</t>
  </si>
  <si>
    <t>Grey</t>
  </si>
  <si>
    <t>Yung Filly</t>
  </si>
  <si>
    <t>Aquï¿½ï¿½ A</t>
  </si>
  <si>
    <t>Flo Rida</t>
  </si>
  <si>
    <t>Ceux qu'on ï¿½ï¿½</t>
  </si>
  <si>
    <t>Pierre Garnier</t>
  </si>
  <si>
    <t>Apaga El Cel</t>
  </si>
  <si>
    <t>ýýýýýýýýýýýýýýýýýý - ýýýý ýýýýýýýý ýýýýýýýý ýýýýýý</t>
  </si>
  <si>
    <t>Ahmed Saad</t>
  </si>
  <si>
    <t>Leave Me Alone</t>
  </si>
  <si>
    <t>Flipp Dinero</t>
  </si>
  <si>
    <t>LATTE (feat. Maria Becerra)</t>
  </si>
  <si>
    <t>Rolling in the Deep - Acapella</t>
  </si>
  <si>
    <t>In My Head</t>
  </si>
  <si>
    <t>Plan A</t>
  </si>
  <si>
    <t>GoodSin</t>
  </si>
  <si>
    <t>Thrift Shop (feat. Wanz)</t>
  </si>
  <si>
    <t>River</t>
  </si>
  <si>
    <t>Bishop Briggs</t>
  </si>
  <si>
    <t>Dil Diyan Gallan</t>
  </si>
  <si>
    <t>Atif Aslam</t>
  </si>
  <si>
    <t>Little Bit of Love</t>
  </si>
  <si>
    <t>Tom Grennan</t>
  </si>
  <si>
    <t>I Knew You Were Trouble.</t>
  </si>
  <si>
    <t>Fresh Out The Slammer</t>
  </si>
  <si>
    <t>The Real Slim Shady</t>
  </si>
  <si>
    <t>Left and Right (Charlie Puth) [feat. Jung Kook of BTS] - Sped Up Version</t>
  </si>
  <si>
    <t>sped up nightcore</t>
  </si>
  <si>
    <t>Save Me</t>
  </si>
  <si>
    <t>SPRITE</t>
  </si>
  <si>
    <t>Best For Me</t>
  </si>
  <si>
    <t>Joyner Lucas</t>
  </si>
  <si>
    <t>Ni Me Debes Ni Te Debo</t>
  </si>
  <si>
    <t>Ya No Vuelvas</t>
  </si>
  <si>
    <t>Scared To Be Lonely</t>
  </si>
  <si>
    <t>Un Aï¿½</t>
  </si>
  <si>
    <t>I Gotta Feeling</t>
  </si>
  <si>
    <t>NOSTYLIST</t>
  </si>
  <si>
    <t>Destroy Lonely</t>
  </si>
  <si>
    <t>Respect (2021 Remaster)</t>
  </si>
  <si>
    <t>Aretha Franklin</t>
  </si>
  <si>
    <t>SO DONE</t>
  </si>
  <si>
    <t>The Boat Beat</t>
  </si>
  <si>
    <t>Ricky Desktop</t>
  </si>
  <si>
    <t>No Es Justo</t>
  </si>
  <si>
    <t>New Jeans</t>
  </si>
  <si>
    <t>Cat Partying (TikTok Sped Up) - Remix</t>
  </si>
  <si>
    <t>Music Factory</t>
  </si>
  <si>
    <t>WANNABE</t>
  </si>
  <si>
    <t>ITZY</t>
  </si>
  <si>
    <t>Yï¿½ï¿½reï¿½ï¿½i</t>
  </si>
  <si>
    <t>No Angels</t>
  </si>
  <si>
    <t>Champagne Poetry</t>
  </si>
  <si>
    <t>Imitadora</t>
  </si>
  <si>
    <t>ýýýýýýýýýýýýýý</t>
  </si>
  <si>
    <t>Akris &amp; Teddy</t>
  </si>
  <si>
    <t>20 Min</t>
  </si>
  <si>
    <t>Om Jai Jagdish Hare</t>
  </si>
  <si>
    <t>Shivali</t>
  </si>
  <si>
    <t>Ya No Tiene Novio</t>
  </si>
  <si>
    <t>Your Power</t>
  </si>
  <si>
    <t>Bling Bling</t>
  </si>
  <si>
    <t>PERO Tï¿</t>
  </si>
  <si>
    <t>N'y pense plus</t>
  </si>
  <si>
    <t>Where You Are</t>
  </si>
  <si>
    <t>Scream &amp; Shout</t>
  </si>
  <si>
    <t>will.i.am</t>
  </si>
  <si>
    <t>bigger thï¿½ï¿½n everyt</t>
  </si>
  <si>
    <t>Princess Diana (with Nicki Minaj)</t>
  </si>
  <si>
    <t>This Is Me</t>
  </si>
  <si>
    <t>Keala Settle</t>
  </si>
  <si>
    <t>QUE PRETENDES</t>
  </si>
  <si>
    <t>The Chicken Wing Beat</t>
  </si>
  <si>
    <t>Nï¿½ï¿½o Vou Nam</t>
  </si>
  <si>
    <t>DJ Ws da Igrejinha</t>
  </si>
  <si>
    <t>Rim Tim Tagi Dim</t>
  </si>
  <si>
    <t>Baby Lasagna</t>
  </si>
  <si>
    <t>Baila Baila Baila</t>
  </si>
  <si>
    <t>Ms. Jackson</t>
  </si>
  <si>
    <t xml:space="preserve">Sï¿½ï¿½PER ULTRA </t>
  </si>
  <si>
    <t>Happier (feat. Clementine Douglas)</t>
  </si>
  <si>
    <t>The Blessed Madonna</t>
  </si>
  <si>
    <t>Sin Tanto Royo</t>
  </si>
  <si>
    <t>Red Velvet</t>
  </si>
  <si>
    <t>Rhyme Dust</t>
  </si>
  <si>
    <t>MK</t>
  </si>
  <si>
    <t>Tu Foto</t>
  </si>
  <si>
    <t>Q' Lokura</t>
  </si>
  <si>
    <t>Loco</t>
  </si>
  <si>
    <t>Justin Quiles</t>
  </si>
  <si>
    <t>Siempre Pendientes</t>
  </si>
  <si>
    <t>LALALI</t>
  </si>
  <si>
    <t>Slut Me Out</t>
  </si>
  <si>
    <t>Real Love</t>
  </si>
  <si>
    <t>A Tu Merced</t>
  </si>
  <si>
    <t>Cake By The Ocean</t>
  </si>
  <si>
    <t>DNCE</t>
  </si>
  <si>
    <t>Exchange</t>
  </si>
  <si>
    <t>Wasted Love (feat. Lagique)</t>
  </si>
  <si>
    <t>She Got the Best of Me</t>
  </si>
  <si>
    <t>Y Si Se Quiere Ir</t>
  </si>
  <si>
    <t>Luis Angel "El Flaco"</t>
  </si>
  <si>
    <t>Camelot</t>
  </si>
  <si>
    <t>Step Back!</t>
  </si>
  <si>
    <t>UK Rap</t>
  </si>
  <si>
    <t>Yugur</t>
  </si>
  <si>
    <t>Dildora Niyozova</t>
  </si>
  <si>
    <t>Mi Cama</t>
  </si>
  <si>
    <t>Always This Same Old Song</t>
  </si>
  <si>
    <t>Bingo Club</t>
  </si>
  <si>
    <t>True Love</t>
  </si>
  <si>
    <t>La Triple T</t>
  </si>
  <si>
    <t>Car's Outside</t>
  </si>
  <si>
    <t>Northern Attitude (with Hozier)</t>
  </si>
  <si>
    <t>Paradise</t>
  </si>
  <si>
    <t>Devil Doesnï¿½ï¿½ï¿½t B</t>
  </si>
  <si>
    <t>Vamos Aclarando Muchas Cosas - En Vivo</t>
  </si>
  <si>
    <t>Codiciado</t>
  </si>
  <si>
    <t>Peru</t>
  </si>
  <si>
    <t>Fireboy DML</t>
  </si>
  <si>
    <t xml:space="preserve">Haja Colï¿½ï¿½rio (feat. Hugo &amp; Guilherme) - Ao </t>
  </si>
  <si>
    <t>Guilherme &amp; Benuto</t>
  </si>
  <si>
    <t>Just Pretend</t>
  </si>
  <si>
    <t>Bad Omens</t>
  </si>
  <si>
    <t>older</t>
  </si>
  <si>
    <t>Happy Dance</t>
  </si>
  <si>
    <t>Elmo</t>
  </si>
  <si>
    <t>Glorious (feat. Skylar Grey)</t>
  </si>
  <si>
    <t>Macklemore</t>
  </si>
  <si>
    <t>Delicate</t>
  </si>
  <si>
    <t>Labios Mordidos (with KAROL G)</t>
  </si>
  <si>
    <t>No Me Conocen (Remix) [con DUKI, Rei &amp; Tiago PZK]</t>
  </si>
  <si>
    <t>BANDIDO</t>
  </si>
  <si>
    <t>Ni**as In Paris</t>
  </si>
  <si>
    <t>Be My Lover (feat. La Bouche) - 2023 Mix</t>
  </si>
  <si>
    <t>Hypaton</t>
  </si>
  <si>
    <t>Butterfly x Boom - Remix</t>
  </si>
  <si>
    <t>LEA</t>
  </si>
  <si>
    <t>On The Radar Freestyle</t>
  </si>
  <si>
    <t>Forever (feat. Fridayy)</t>
  </si>
  <si>
    <t>Bang Bang</t>
  </si>
  <si>
    <t>Jessie J</t>
  </si>
  <si>
    <t>Reminder</t>
  </si>
  <si>
    <t>"Slut!" (Taylor's Version) (From The Vault)</t>
  </si>
  <si>
    <t>icantbelieveiletyougetaway</t>
  </si>
  <si>
    <t>aldn</t>
  </si>
  <si>
    <t>Harmless Python</t>
  </si>
  <si>
    <t>Hot Lemon</t>
  </si>
  <si>
    <t>Funk Estranho</t>
  </si>
  <si>
    <t>prod.67</t>
  </si>
  <si>
    <t>Yo No Soy Celoso</t>
  </si>
  <si>
    <t>Head Shoulders Knees &amp; Toes (feat. Norma Jean Martine)</t>
  </si>
  <si>
    <t>JEALOUSY (feat. Cardi B)</t>
  </si>
  <si>
    <t>Clash (feat. Stormzy)</t>
  </si>
  <si>
    <t>Salt</t>
  </si>
  <si>
    <t>Fire On Fire</t>
  </si>
  <si>
    <t>Problema</t>
  </si>
  <si>
    <t>Carlos Agassi</t>
  </si>
  <si>
    <t>Shoong! (feat. LISA of BLACKPINK)</t>
  </si>
  <si>
    <t>TAEYANG</t>
  </si>
  <si>
    <t>Leave Em Alone (Layton Greene, Lil Baby feat. City Girls, PnB Rock)</t>
  </si>
  <si>
    <t>Boyz In Paris (with VINAI)</t>
  </si>
  <si>
    <t>Marnik</t>
  </si>
  <si>
    <t>3 Nights</t>
  </si>
  <si>
    <t>Ngozi</t>
  </si>
  <si>
    <t>Crayon</t>
  </si>
  <si>
    <t>i am not who i was</t>
  </si>
  <si>
    <t>Chance Peï¿½</t>
  </si>
  <si>
    <t>Single Again</t>
  </si>
  <si>
    <t>Harmonize</t>
  </si>
  <si>
    <t>July</t>
  </si>
  <si>
    <t>Noah Cyrus</t>
  </si>
  <si>
    <t>Perro Fiel (feat. Nicky Jam)</t>
  </si>
  <si>
    <t>Andamos Mejor</t>
  </si>
  <si>
    <t>Los Gemelos De Sinaloa</t>
  </si>
  <si>
    <t>Drag Me Down</t>
  </si>
  <si>
    <t>Tu Turrito</t>
  </si>
  <si>
    <t>Rei</t>
  </si>
  <si>
    <t>ýýýý ýýýýýýýýýý</t>
  </si>
  <si>
    <t>Meet Me At Our Spot</t>
  </si>
  <si>
    <t>THE ANXIETY</t>
  </si>
  <si>
    <t>Get Off The Wall</t>
  </si>
  <si>
    <t>Philly Goats</t>
  </si>
  <si>
    <t>It'll Be Okay</t>
  </si>
  <si>
    <t>Cayï¿½ï¿½ La Noche (feat. Cruz Cafunï¿½ï¿½, Abhir Hathi, Bejo, EL IMA)</t>
  </si>
  <si>
    <t>La Pantera</t>
  </si>
  <si>
    <t>Stereo Hearts (feat. Adam Levine)</t>
  </si>
  <si>
    <t>Gym Class Heroes</t>
  </si>
  <si>
    <t>Number 2</t>
  </si>
  <si>
    <t>Tuesday (feat. Drake)</t>
  </si>
  <si>
    <t>ILOVEMAKONNEN</t>
  </si>
  <si>
    <t>Killshot</t>
  </si>
  <si>
    <t>Cartï¿½ï¿½o B</t>
  </si>
  <si>
    <t>MC Caverinha</t>
  </si>
  <si>
    <t>Jai Jai Shivshankar (The Unwind Mix)</t>
  </si>
  <si>
    <t>Benny Dayal</t>
  </si>
  <si>
    <t>Fuck Niggaz</t>
  </si>
  <si>
    <t>Drama (feat. Drake)</t>
  </si>
  <si>
    <t>Roy Woods</t>
  </si>
  <si>
    <t>Entre Nosotros</t>
  </si>
  <si>
    <t>Lucky You (feat. Joyner Lucas)</t>
  </si>
  <si>
    <t>Fruto</t>
  </si>
  <si>
    <t>Bandana</t>
  </si>
  <si>
    <t>the perfect pair</t>
  </si>
  <si>
    <t>beabadoobee</t>
  </si>
  <si>
    <t>F.N.F. (Let's Go)</t>
  </si>
  <si>
    <t>Hitkidd</t>
  </si>
  <si>
    <t>Falling Angel</t>
  </si>
  <si>
    <t>Sofia</t>
  </si>
  <si>
    <t>Speed Drive (From Barbie The Album)</t>
  </si>
  <si>
    <t>A N X I E T Y (feat. Doechii)</t>
  </si>
  <si>
    <t>Forever</t>
  </si>
  <si>
    <t>SLUT ME OUT 2</t>
  </si>
  <si>
    <t>He Ya Pyar Sajena</t>
  </si>
  <si>
    <t>TOADI</t>
  </si>
  <si>
    <t>Silent Hill</t>
  </si>
  <si>
    <t>The Autotrem 1.0</t>
  </si>
  <si>
    <t>DJ RICK 013</t>
  </si>
  <si>
    <t>Revenge</t>
  </si>
  <si>
    <t>Spring Snow</t>
  </si>
  <si>
    <t>10CM</t>
  </si>
  <si>
    <t>Tshwala Bam (feat. S.N.E) - Remix</t>
  </si>
  <si>
    <t>Halls na Lï¿½ï¿½</t>
  </si>
  <si>
    <t>Kadu Martins</t>
  </si>
  <si>
    <t>21 Reasons (feat. Ella Henderson)</t>
  </si>
  <si>
    <t>Nathan Dawe</t>
  </si>
  <si>
    <t>Yeshua (dance cruise)</t>
  </si>
  <si>
    <t>Dj Bentoa</t>
  </si>
  <si>
    <t>Zaalim</t>
  </si>
  <si>
    <t>Aa</t>
  </si>
  <si>
    <t>Roach Killa</t>
  </si>
  <si>
    <t>Rojo</t>
  </si>
  <si>
    <t>Wonder</t>
  </si>
  <si>
    <t>Search Bar</t>
  </si>
  <si>
    <t>NANI</t>
  </si>
  <si>
    <t>Muï¿½ï¿½ekita (with El Alfa &amp; JT from City Gi</t>
  </si>
  <si>
    <t>Midnight City</t>
  </si>
  <si>
    <t>M83</t>
  </si>
  <si>
    <t>Better Together</t>
  </si>
  <si>
    <t>Sal y Perrea</t>
  </si>
  <si>
    <t>IDGAF (feat. Chris Brown and Mariah the Scientist)</t>
  </si>
  <si>
    <t>drunk text</t>
  </si>
  <si>
    <t>Henry Moodie</t>
  </si>
  <si>
    <t>UNA NOCHE EN MEDELLï¿½ï¿½N - R</t>
  </si>
  <si>
    <t>Ginza</t>
  </si>
  <si>
    <t>Hari Hari Odhani</t>
  </si>
  <si>
    <t>AM Remix</t>
  </si>
  <si>
    <t>Baby Me Atende</t>
  </si>
  <si>
    <t>Matheus Fernandes</t>
  </si>
  <si>
    <t>Hello Koun</t>
  </si>
  <si>
    <t>Ritesh Pandey</t>
  </si>
  <si>
    <t>La Jeepeta</t>
  </si>
  <si>
    <t>Jumpman</t>
  </si>
  <si>
    <t>Creatures in Heaven</t>
  </si>
  <si>
    <t>die</t>
  </si>
  <si>
    <t>lucidbeatz</t>
  </si>
  <si>
    <t>Late At Night</t>
  </si>
  <si>
    <t>Blank Space (Taylor's Version)</t>
  </si>
  <si>
    <t>Dancing in My Room</t>
  </si>
  <si>
    <t>347aidan</t>
  </si>
  <si>
    <t>Wild Ones (feat. Sia)</t>
  </si>
  <si>
    <t>Heartless (feat. Morgan Wallen)</t>
  </si>
  <si>
    <t>Diplo</t>
  </si>
  <si>
    <t>CAKE</t>
  </si>
  <si>
    <t>I AM WOMAN</t>
  </si>
  <si>
    <t>Emmy Meli</t>
  </si>
  <si>
    <t>THUNDER Y LIGHTNING</t>
  </si>
  <si>
    <t>Evergreen (You Didnï¿½ï¿½ï¿½t Deserve Me A</t>
  </si>
  <si>
    <t>Omar Apollo</t>
  </si>
  <si>
    <t>Personal</t>
  </si>
  <si>
    <t>HRVY</t>
  </si>
  <si>
    <t>Lionheart (Fearless)</t>
  </si>
  <si>
    <t>Nevermind</t>
  </si>
  <si>
    <t>Dennis Lloyd</t>
  </si>
  <si>
    <t>Needle (feat. Drake)</t>
  </si>
  <si>
    <t>Dale Don Dale</t>
  </si>
  <si>
    <t>ElMusto</t>
  </si>
  <si>
    <t>Slow Hands</t>
  </si>
  <si>
    <t>I Wrote The Book</t>
  </si>
  <si>
    <t>It's Plenty</t>
  </si>
  <si>
    <t>sneaky</t>
  </si>
  <si>
    <t>Magnolia</t>
  </si>
  <si>
    <t>Moletom</t>
  </si>
  <si>
    <t>Now That We Don't Talk (Taylor's Version) (From The Vault)</t>
  </si>
  <si>
    <t>Hot N Cold</t>
  </si>
  <si>
    <t>Matilda</t>
  </si>
  <si>
    <t>Why'd You Only Call Me When You're High?</t>
  </si>
  <si>
    <t>Beauty And A Beat</t>
  </si>
  <si>
    <t>GIRL LIKE ME</t>
  </si>
  <si>
    <t>Khalasi | Coke Studio Bharat</t>
  </si>
  <si>
    <t>Aditya Gadhvi</t>
  </si>
  <si>
    <t>ýýýýýýýýýýýýýýýýýýýýýýýýýýýýýýýýýýýýýýý Feat.IIVY B</t>
  </si>
  <si>
    <t>bonnadol</t>
  </si>
  <si>
    <t>Chyba ï¿½ï¿½e z T</t>
  </si>
  <si>
    <t>MODELKI</t>
  </si>
  <si>
    <t>Never Be the Same</t>
  </si>
  <si>
    <t>If I Can't Have You</t>
  </si>
  <si>
    <t>Chica Ideal</t>
  </si>
  <si>
    <t>august</t>
  </si>
  <si>
    <t>Doomsday</t>
  </si>
  <si>
    <t>Body Moving</t>
  </si>
  <si>
    <t>FANCY</t>
  </si>
  <si>
    <t>MODERN JAM</t>
  </si>
  <si>
    <t>I'm an Albatraoz</t>
  </si>
  <si>
    <t>AronChupa</t>
  </si>
  <si>
    <t>Seya</t>
  </si>
  <si>
    <t>SativaMusic</t>
  </si>
  <si>
    <t>La Familia Dedo de Cuquï¿½</t>
  </si>
  <si>
    <t>Cleo y Cuquï¿½ï¿½n - Familia Tele</t>
  </si>
  <si>
    <t>Maybach (feat. Future)</t>
  </si>
  <si>
    <t>42 Dugg</t>
  </si>
  <si>
    <t>Epidemic</t>
  </si>
  <si>
    <t>BOUNCY (K-HOT CHILLI PEPPERS)</t>
  </si>
  <si>
    <t>Liquor &amp; Cigarettes (feat. ArrDee)</t>
  </si>
  <si>
    <t>pa</t>
  </si>
  <si>
    <t>My Type</t>
  </si>
  <si>
    <t>UNA BALA</t>
  </si>
  <si>
    <t xml:space="preserve">Ya Pedo Quiï¿½ï¿½n </t>
  </si>
  <si>
    <t>She Don't Know (From "Blessed")</t>
  </si>
  <si>
    <t>Millind Gaba</t>
  </si>
  <si>
    <t>Take My Name</t>
  </si>
  <si>
    <t>Parmalee</t>
  </si>
  <si>
    <t>Rauw Alejandro: Bzrp Music Sessions, Vol. 56</t>
  </si>
  <si>
    <t>Good Feeling</t>
  </si>
  <si>
    <t>Amor Na Praia</t>
  </si>
  <si>
    <t>NATTAN</t>
  </si>
  <si>
    <t>Cool Kids</t>
  </si>
  <si>
    <t>Echosmith</t>
  </si>
  <si>
    <t>Too Rolling Stoned - 2024 Remaster</t>
  </si>
  <si>
    <t>Robin Trower</t>
  </si>
  <si>
    <t>GATTI</t>
  </si>
  <si>
    <t>El Envidioso</t>
  </si>
  <si>
    <t>Los Dos Carnales</t>
  </si>
  <si>
    <t>Smells Like Teen Spirit</t>
  </si>
  <si>
    <t>Nirvana</t>
  </si>
  <si>
    <t>AUTOMï¿½ï¿½</t>
  </si>
  <si>
    <t>Sability</t>
  </si>
  <si>
    <t>Naach Meri Rani</t>
  </si>
  <si>
    <t>Praise The Lord (Da Shine) (feat. Skepta) - Durdenhauer Edit</t>
  </si>
  <si>
    <t>Durdenhauer</t>
  </si>
  <si>
    <t>Antidote</t>
  </si>
  <si>
    <t>ýýýýýýýýý</t>
  </si>
  <si>
    <t>tuki.</t>
  </si>
  <si>
    <t>World Cup</t>
  </si>
  <si>
    <t>IShowSpeed</t>
  </si>
  <si>
    <t>Summer Too Hot</t>
  </si>
  <si>
    <t>ýýýýýýýýýýýýýýýýýýýýýýýýýýýýýýýýý Feat. TNDTLE</t>
  </si>
  <si>
    <t>NOAH</t>
  </si>
  <si>
    <t>Aria</t>
  </si>
  <si>
    <t>Argy</t>
  </si>
  <si>
    <t>Lua</t>
  </si>
  <si>
    <t>Tu Falta De Querer</t>
  </si>
  <si>
    <t>Mon Laferte</t>
  </si>
  <si>
    <t>Christmas Love</t>
  </si>
  <si>
    <t>Never Lose Me (feat. Lil Yachty)</t>
  </si>
  <si>
    <t>Be Like That - feat. Swae Lee &amp; Khalid</t>
  </si>
  <si>
    <t>all-american bitch</t>
  </si>
  <si>
    <t>Soweto (with Don Toliver, Rema &amp; Tempoe)</t>
  </si>
  <si>
    <t>Drankin N Smokin</t>
  </si>
  <si>
    <t>Count Me Out</t>
  </si>
  <si>
    <t>MHD: Bzrp Music Sessions, Vol. 44</t>
  </si>
  <si>
    <t>Exclusive.mp3</t>
  </si>
  <si>
    <t>Pointless</t>
  </si>
  <si>
    <t>Say My Name (feat. Bebe Rexha &amp; J Balvin) - Corey James Remix</t>
  </si>
  <si>
    <t>Old Love</t>
  </si>
  <si>
    <t>yuji</t>
  </si>
  <si>
    <t>Rover (feat. DTG)</t>
  </si>
  <si>
    <t>S1mba</t>
  </si>
  <si>
    <t>Me Enterï¿</t>
  </si>
  <si>
    <t>La Tï¿½ï¿½</t>
  </si>
  <si>
    <t>fast</t>
  </si>
  <si>
    <t>Sueco</t>
  </si>
  <si>
    <t>Saari Duniya Jalaa Denge (From "Animal")</t>
  </si>
  <si>
    <t>Jaani</t>
  </si>
  <si>
    <t>Truth Hurts</t>
  </si>
  <si>
    <t>Calor</t>
  </si>
  <si>
    <t>Ya No Estoy Dolido</t>
  </si>
  <si>
    <t>Adrian L Santos</t>
  </si>
  <si>
    <t>Aguacero</t>
  </si>
  <si>
    <t>Quiere Beber</t>
  </si>
  <si>
    <t>My Ordinary Life</t>
  </si>
  <si>
    <t>The Living Tombstone</t>
  </si>
  <si>
    <t>Won't Forget You - Edit</t>
  </si>
  <si>
    <t>Enough</t>
  </si>
  <si>
    <t>charlieonnafriday</t>
  </si>
  <si>
    <t>Get Involved (feat. Q-Tip) [Mixed]</t>
  </si>
  <si>
    <t>Raphael Saadiq</t>
  </si>
  <si>
    <t>Elastic Heart</t>
  </si>
  <si>
    <t>Freaky Deaky</t>
  </si>
  <si>
    <t>IMAN (Two Of Us)</t>
  </si>
  <si>
    <t>Straight and Narrow</t>
  </si>
  <si>
    <t>Sam Barber</t>
  </si>
  <si>
    <t>Bhai Tera Gunda</t>
  </si>
  <si>
    <t>Aman Jaji</t>
  </si>
  <si>
    <t>Chasing That Feeling</t>
  </si>
  <si>
    <t>SUBMARINER</t>
  </si>
  <si>
    <t>AKDO</t>
  </si>
  <si>
    <t>Coï¿½ï¿½o (feat. Jhorrmountain x A</t>
  </si>
  <si>
    <t>Puri</t>
  </si>
  <si>
    <t>To. X</t>
  </si>
  <si>
    <t>TAEYEON</t>
  </si>
  <si>
    <t>Wallem</t>
  </si>
  <si>
    <t>2 Phones</t>
  </si>
  <si>
    <t>Kevin Gates</t>
  </si>
  <si>
    <t>Love Lost</t>
  </si>
  <si>
    <t>Melhor Sï¿</t>
  </si>
  <si>
    <t>KayBlack</t>
  </si>
  <si>
    <t>It's Getting Hot</t>
  </si>
  <si>
    <t>On Chill (feat. Jeremih)</t>
  </si>
  <si>
    <t>Wale</t>
  </si>
  <si>
    <t>Tourniquet</t>
  </si>
  <si>
    <t>Strike (Holster)</t>
  </si>
  <si>
    <t>Bad Boy (with Young Thug)</t>
  </si>
  <si>
    <t>Collide (feat. Tyga)</t>
  </si>
  <si>
    <t>Justine Skye</t>
  </si>
  <si>
    <t>Magic Johnson</t>
  </si>
  <si>
    <t>Love seeker</t>
  </si>
  <si>
    <t>JO1</t>
  </si>
  <si>
    <t>Wine Into Whiskey</t>
  </si>
  <si>
    <t>Masterplan</t>
  </si>
  <si>
    <t>BE:FIRST</t>
  </si>
  <si>
    <t>Rungkad</t>
  </si>
  <si>
    <t>La Difï¿½ï¿</t>
  </si>
  <si>
    <t>TE MUDASTE</t>
  </si>
  <si>
    <t>Right On</t>
  </si>
  <si>
    <t>Miss You - Remix</t>
  </si>
  <si>
    <t>Blame</t>
  </si>
  <si>
    <t>Low (feat. T-Pain)</t>
  </si>
  <si>
    <t>ýýýý(ýý)ýý</t>
  </si>
  <si>
    <t>Nï¿½</t>
  </si>
  <si>
    <t>La Mamï¿½ï¿½ de la M</t>
  </si>
  <si>
    <t>Me Too</t>
  </si>
  <si>
    <t>Bï¿½ï¿½ï¿½t Tï¿½ï¿½nh</t>
  </si>
  <si>
    <t>DONDE SE APRENDE A QUERER?</t>
  </si>
  <si>
    <t>Don't Go Insane</t>
  </si>
  <si>
    <t>DPR IAN</t>
  </si>
  <si>
    <t>What He'll Never Have</t>
  </si>
  <si>
    <t>Dylan Scott</t>
  </si>
  <si>
    <t>Purple Stain</t>
  </si>
  <si>
    <t>Alex Temple</t>
  </si>
  <si>
    <t>Jimmy Cook's (feat. 21 Savage)</t>
  </si>
  <si>
    <t>Venom</t>
  </si>
  <si>
    <t>Sintage</t>
  </si>
  <si>
    <t>Thotiana</t>
  </si>
  <si>
    <t>Blueface</t>
  </si>
  <si>
    <t>Hasbi Rabbi</t>
  </si>
  <si>
    <t>Huda Sisters</t>
  </si>
  <si>
    <t>Nobody - from Kaiju No. 8</t>
  </si>
  <si>
    <t>Asking</t>
  </si>
  <si>
    <t>Sonny Fodera</t>
  </si>
  <si>
    <t>SAY for thank YOU</t>
  </si>
  <si>
    <t>Uni kukka</t>
  </si>
  <si>
    <t>The Bigger Picture</t>
  </si>
  <si>
    <t>Cash In Cash Out</t>
  </si>
  <si>
    <t>Off The Grid</t>
  </si>
  <si>
    <t>EL TONTO</t>
  </si>
  <si>
    <t>Lola Indigo</t>
  </si>
  <si>
    <t>Sex on Fire</t>
  </si>
  <si>
    <t>Kings of Leon</t>
  </si>
  <si>
    <t>Friend of a Friend</t>
  </si>
  <si>
    <t>Mï¿½ï¿½lod</t>
  </si>
  <si>
    <t>Bangarang (feat. Sirah)</t>
  </si>
  <si>
    <t>Skrillex</t>
  </si>
  <si>
    <t>A Cold Sunday</t>
  </si>
  <si>
    <t>Raindrops (Insane) [with Travis Scott]</t>
  </si>
  <si>
    <t>Weekend</t>
  </si>
  <si>
    <t>Ashley Mehta</t>
  </si>
  <si>
    <t>Touching The Sky</t>
  </si>
  <si>
    <t>Giant (with Rag'n'Bone Man)</t>
  </si>
  <si>
    <t>Tap In</t>
  </si>
  <si>
    <t>Vacation</t>
  </si>
  <si>
    <t>Dirty Heads</t>
  </si>
  <si>
    <t>Gitana (feat. Bryartz)</t>
  </si>
  <si>
    <t>Pablo Chill-E</t>
  </si>
  <si>
    <t>Una Vez</t>
  </si>
  <si>
    <t>Slumber Party (feat. Princess Nokia)</t>
  </si>
  <si>
    <t>PARTIDO EN DOS</t>
  </si>
  <si>
    <t>La ï¿½ï¿½nica Trop</t>
  </si>
  <si>
    <t>Piya Chhod Dihin Na</t>
  </si>
  <si>
    <t>CASE 143</t>
  </si>
  <si>
    <t>Give It To Me - Full Vocal Mix</t>
  </si>
  <si>
    <t>Matt Sassari</t>
  </si>
  <si>
    <t>Slow Dancing</t>
  </si>
  <si>
    <t>F**kin' Problems</t>
  </si>
  <si>
    <t>Are You Entertained (feat. Ed Sheeran)</t>
  </si>
  <si>
    <t>Vamos Para Arriba</t>
  </si>
  <si>
    <t>Best Day Of My Life</t>
  </si>
  <si>
    <t>American Authors</t>
  </si>
  <si>
    <t>One Man Band</t>
  </si>
  <si>
    <t>Old Dominion</t>
  </si>
  <si>
    <t>Garmi (From "Street Dancer 3D") (feat. Varun Dhawan)</t>
  </si>
  <si>
    <t>Vai Novinha Ah Ah Ah</t>
  </si>
  <si>
    <t>Dyamante DJ</t>
  </si>
  <si>
    <t>Saiyan</t>
  </si>
  <si>
    <t>Heuss L'enfoirï¿</t>
  </si>
  <si>
    <t>Heart Attack</t>
  </si>
  <si>
    <t>Parï¿½</t>
  </si>
  <si>
    <t>Ingratax</t>
  </si>
  <si>
    <t>Beer Never Broke My Heart</t>
  </si>
  <si>
    <t>WUSYANAME</t>
  </si>
  <si>
    <t>Bodak Black</t>
  </si>
  <si>
    <t>Young Sunny Boy</t>
  </si>
  <si>
    <t>Heartbroken (feat. Jessie Murph &amp; Polo G)</t>
  </si>
  <si>
    <t>Snow On The Beach (feat. Lana Del Rey)</t>
  </si>
  <si>
    <t>Dura</t>
  </si>
  <si>
    <t>Lo Que Tiene</t>
  </si>
  <si>
    <t>What If I Told You That I Love You</t>
  </si>
  <si>
    <t>Bent</t>
  </si>
  <si>
    <t>Linda Guajira</t>
  </si>
  <si>
    <t>Mongo Santamaria</t>
  </si>
  <si>
    <t>All Out Of Fight</t>
  </si>
  <si>
    <t>2 Balas</t>
  </si>
  <si>
    <t>Roylimar y Royerlin</t>
  </si>
  <si>
    <t>Stop Giving Me Advice (with Jack Harlow &amp; Dave)</t>
  </si>
  <si>
    <t>Lyrical Lemonade</t>
  </si>
  <si>
    <t>Rich Nigga Shit (feat. Young Thug)</t>
  </si>
  <si>
    <t>What Would Pluto Do</t>
  </si>
  <si>
    <t>So Far Away</t>
  </si>
  <si>
    <t>Down Time</t>
  </si>
  <si>
    <t>Fake Love</t>
  </si>
  <si>
    <t>Hijo Mio</t>
  </si>
  <si>
    <t>Misael De La Rosa</t>
  </si>
  <si>
    <t>Car Keys (Ayla)</t>
  </si>
  <si>
    <t>MONTAGEM ANOS 2000</t>
  </si>
  <si>
    <t>DJ Arana</t>
  </si>
  <si>
    <t>Ai Preto</t>
  </si>
  <si>
    <t>We Don't Fight Anymore (feat. Chris Stapleton)</t>
  </si>
  <si>
    <t>Carly Pearce</t>
  </si>
  <si>
    <t>Pï¿½ï¿½</t>
  </si>
  <si>
    <t>Standly</t>
  </si>
  <si>
    <t>Halfway To Hell</t>
  </si>
  <si>
    <t>Ya Te Superï¿</t>
  </si>
  <si>
    <t>Are You Bored Yet? (feat. Clairo)</t>
  </si>
  <si>
    <t>Wallows</t>
  </si>
  <si>
    <t>YEAH RIGHT</t>
  </si>
  <si>
    <t>Let You Love Me</t>
  </si>
  <si>
    <t>Rita Ora</t>
  </si>
  <si>
    <t>eternal sunshine</t>
  </si>
  <si>
    <t>Por Primera Vez</t>
  </si>
  <si>
    <t>We Are Never Ever Getting Back Together</t>
  </si>
  <si>
    <t>Soundgasm</t>
  </si>
  <si>
    <t>WANDA</t>
  </si>
  <si>
    <t>DARBA 9ADIYA</t>
  </si>
  <si>
    <t>Moha K</t>
  </si>
  <si>
    <t>EMPELOTICA</t>
  </si>
  <si>
    <t>Lenny Tavï¿½ï¿</t>
  </si>
  <si>
    <t>Le Va Doler</t>
  </si>
  <si>
    <t>Never Gonna Give You Up (2022 - Remaster)</t>
  </si>
  <si>
    <t>Rick Astley</t>
  </si>
  <si>
    <t>Million Dollar Baby</t>
  </si>
  <si>
    <t>should've wore a bonnet</t>
  </si>
  <si>
    <t>Low Down</t>
  </si>
  <si>
    <t>No Money</t>
  </si>
  <si>
    <t>Oklahoma Smokeshow</t>
  </si>
  <si>
    <t>Look At Me Now (feat. Lil' Wayne &amp; Busta Rhymes)</t>
  </si>
  <si>
    <t>Style</t>
  </si>
  <si>
    <t>FEEL</t>
  </si>
  <si>
    <t>Grenade</t>
  </si>
  <si>
    <t>Trust</t>
  </si>
  <si>
    <t>Cï¿½ï¿½MO SE SIENTE - R</t>
  </si>
  <si>
    <t>hakuna matata</t>
  </si>
  <si>
    <t>Little Talks</t>
  </si>
  <si>
    <t>Of Monsters and Men</t>
  </si>
  <si>
    <t>Not Even Ghosts Are This Empty</t>
  </si>
  <si>
    <t>Shadow</t>
  </si>
  <si>
    <t>Livingston</t>
  </si>
  <si>
    <t>Black Route - Kali Car</t>
  </si>
  <si>
    <t>Hassan Goldy</t>
  </si>
  <si>
    <t>Aye (feat. Travis Scott)</t>
  </si>
  <si>
    <t>Perdï¿½ï¿½n, Per</t>
  </si>
  <si>
    <t>Love Tonight - Edit</t>
  </si>
  <si>
    <t>Murder on the Dance Floor - triple j Like A Version</t>
  </si>
  <si>
    <t>Leave a Light On</t>
  </si>
  <si>
    <t>Tom Walker</t>
  </si>
  <si>
    <t>Ahora Me Llama</t>
  </si>
  <si>
    <t>Amigos Con Derechos</t>
  </si>
  <si>
    <t>Lost Boy</t>
  </si>
  <si>
    <t>10,000 Hours (with Justin Bieber)</t>
  </si>
  <si>
    <t>Dan + Shay</t>
  </si>
  <si>
    <t>More Than You Know</t>
  </si>
  <si>
    <t>Axwell /\ Ingrosso</t>
  </si>
  <si>
    <t>act iii: on god? (she like)</t>
  </si>
  <si>
    <t>Diamondz n Roses</t>
  </si>
  <si>
    <t>VaporGod</t>
  </si>
  <si>
    <t>Mala Fama</t>
  </si>
  <si>
    <t>Danna Paola</t>
  </si>
  <si>
    <t>banking on me</t>
  </si>
  <si>
    <t>Main Sharabi</t>
  </si>
  <si>
    <t>Rajeev Raja</t>
  </si>
  <si>
    <t>Paris</t>
  </si>
  <si>
    <t>Ayang</t>
  </si>
  <si>
    <t>Nabila Maharani</t>
  </si>
  <si>
    <t>You &amp; Me (Coachella ver.)</t>
  </si>
  <si>
    <t>MERCEDES CAROTA</t>
  </si>
  <si>
    <t>Heavy On My Heart</t>
  </si>
  <si>
    <t>LUCKI</t>
  </si>
  <si>
    <t>Not So Bad (Leans Gone Cold)</t>
  </si>
  <si>
    <t>JGL</t>
  </si>
  <si>
    <t>La Adictiva</t>
  </si>
  <si>
    <t>Swimming Pools (Drank)</t>
  </si>
  <si>
    <t>Kool-Aid</t>
  </si>
  <si>
    <t>Bring Me The Horizon</t>
  </si>
  <si>
    <t>Can't Remember to Forget You</t>
  </si>
  <si>
    <t>Bad Things (with Camila Cabello)</t>
  </si>
  <si>
    <t>Feather - Sped Up</t>
  </si>
  <si>
    <t>Softcore</t>
  </si>
  <si>
    <t>Sacrifice</t>
  </si>
  <si>
    <t>The Prophecy</t>
  </si>
  <si>
    <t>Replay</t>
  </si>
  <si>
    <t>Iyaz</t>
  </si>
  <si>
    <t>MVP</t>
  </si>
  <si>
    <t>Around Me (feat. Don Toliver)</t>
  </si>
  <si>
    <t>PHONKY TOWN</t>
  </si>
  <si>
    <t>PlayaPhonk</t>
  </si>
  <si>
    <t>We Rollin</t>
  </si>
  <si>
    <t>Si Te La Encuentras Por Ahï¿</t>
  </si>
  <si>
    <t>Daru Badnaam</t>
  </si>
  <si>
    <t>Param Singh</t>
  </si>
  <si>
    <t>NARCISSISTIC PERSONALITY DISORDER</t>
  </si>
  <si>
    <t>Memory Lane</t>
  </si>
  <si>
    <t>24 (feat. Lil Baby)</t>
  </si>
  <si>
    <t>Money Man</t>
  </si>
  <si>
    <t>THE SHADE</t>
  </si>
  <si>
    <t>Rex Orange County</t>
  </si>
  <si>
    <t>You</t>
  </si>
  <si>
    <t>Thinking out Loud</t>
  </si>
  <si>
    <t>Mbappe</t>
  </si>
  <si>
    <t>Maria</t>
  </si>
  <si>
    <t>HWASA</t>
  </si>
  <si>
    <t>PRIMER AVISO</t>
  </si>
  <si>
    <t>Butakera</t>
  </si>
  <si>
    <t>Destino o casualidad (feat. Ha*Ash)</t>
  </si>
  <si>
    <t>Melendi</t>
  </si>
  <si>
    <t>Mad at Disney</t>
  </si>
  <si>
    <t>salem ilese</t>
  </si>
  <si>
    <t>TE AMO ï¿½</t>
  </si>
  <si>
    <t>Green Day</t>
  </si>
  <si>
    <t>Kitchen Stove</t>
  </si>
  <si>
    <t>Pozer</t>
  </si>
  <si>
    <t>Luchtballon</t>
  </si>
  <si>
    <t>Trojan Horse</t>
  </si>
  <si>
    <t>Porque Te Vas</t>
  </si>
  <si>
    <t>Neon Pill</t>
  </si>
  <si>
    <t>Cage The Elephant</t>
  </si>
  <si>
    <t>Beautiful Girl</t>
  </si>
  <si>
    <t>After The Storm (feat. Tyler, The Creator &amp; Bootsy Collins)</t>
  </si>
  <si>
    <t>Tï¿½ï¿½ Me Dejaste De Qu</t>
  </si>
  <si>
    <t>C. Tangana</t>
  </si>
  <si>
    <t>Spotless (feat. The Lumineers)</t>
  </si>
  <si>
    <t>These Walls</t>
  </si>
  <si>
    <t>Egwu</t>
  </si>
  <si>
    <t>Chike</t>
  </si>
  <si>
    <t>Die For You (Remix Acapella)</t>
  </si>
  <si>
    <t>Baby you</t>
  </si>
  <si>
    <t>CUAL ES ESA</t>
  </si>
  <si>
    <t>Armed And Dangerous</t>
  </si>
  <si>
    <t>Salimo de Noche</t>
  </si>
  <si>
    <t>Eladio Carrion: Bzrp Music Sessions, Vol. 40</t>
  </si>
  <si>
    <t>Love</t>
  </si>
  <si>
    <t>Kouz1</t>
  </si>
  <si>
    <t>La Gozadera</t>
  </si>
  <si>
    <t>Gente De Zona</t>
  </si>
  <si>
    <t>Skechers</t>
  </si>
  <si>
    <t>DripReport</t>
  </si>
  <si>
    <t>I Feel Like I'm Drowning</t>
  </si>
  <si>
    <t>Ando Enfocado</t>
  </si>
  <si>
    <t>Jaziel Avilez</t>
  </si>
  <si>
    <t>Downtown</t>
  </si>
  <si>
    <t>Crï¿½ï¿</t>
  </si>
  <si>
    <t>Go Loko (feat. Tyga, Jon Z)</t>
  </si>
  <si>
    <t>YG</t>
  </si>
  <si>
    <t>REMIX EXCLUSIVO</t>
  </si>
  <si>
    <t>ZEIT, DASS SICH WAS DREHT</t>
  </si>
  <si>
    <t>$OHO BANI</t>
  </si>
  <si>
    <t>Corazï¿½ï¿½n Roto pt. 3 (feat. Jhayco &amp; Ryan Cas</t>
  </si>
  <si>
    <t>penjaga hati</t>
  </si>
  <si>
    <t>Nadhif Basalamah</t>
  </si>
  <si>
    <t>Vaathi Coming (From "Master")</t>
  </si>
  <si>
    <t>3 Headed Goat (feat. Lil Baby &amp; Polo G)</t>
  </si>
  <si>
    <t>Monica</t>
  </si>
  <si>
    <t>Kuami Eugene</t>
  </si>
  <si>
    <t>Home (Lala)</t>
  </si>
  <si>
    <t>Dayzy</t>
  </si>
  <si>
    <t>La Playa</t>
  </si>
  <si>
    <t>ýýýýýýýý ýýýýýýýýýý - ýýýýýýýýýý</t>
  </si>
  <si>
    <t>DJW9</t>
  </si>
  <si>
    <t>UN RAGAZZO UNA RAGAZZA</t>
  </si>
  <si>
    <t>Pasilyo</t>
  </si>
  <si>
    <t>SunKissed Lola</t>
  </si>
  <si>
    <t>Wasted Summers</t>
  </si>
  <si>
    <t>juju&lt;3</t>
  </si>
  <si>
    <t>Ruin</t>
  </si>
  <si>
    <t>Hasta la Raï¿½</t>
  </si>
  <si>
    <t>Natalia Lafourcade</t>
  </si>
  <si>
    <t>RATATATA</t>
  </si>
  <si>
    <t>BABYMETAL</t>
  </si>
  <si>
    <t>Seasons</t>
  </si>
  <si>
    <t>Thirty Seconds To Mars</t>
  </si>
  <si>
    <t>Summer Days (feat. Macklemore &amp; Patrick Stump of Fall Out Boy)</t>
  </si>
  <si>
    <t>Con La Brisa</t>
  </si>
  <si>
    <t>Foudeqush</t>
  </si>
  <si>
    <t>Ademï¿½ï¿½s de Mï¿½ï¿½</t>
  </si>
  <si>
    <t>Rusherking</t>
  </si>
  <si>
    <t>Someone To You</t>
  </si>
  <si>
    <t>BANNERS</t>
  </si>
  <si>
    <t>Show Yourself</t>
  </si>
  <si>
    <t>Cheat On Me (feat. Dave)</t>
  </si>
  <si>
    <t>Winners In Paris</t>
  </si>
  <si>
    <t>In Your Love</t>
  </si>
  <si>
    <t>Tyler Childers</t>
  </si>
  <si>
    <t>Poker Face</t>
  </si>
  <si>
    <t>ýýýýýýýýýýýýýýýýýý ýýýýýýýýýýýý</t>
  </si>
  <si>
    <t>MORGENSHTERN</t>
  </si>
  <si>
    <t>Vigdiyan Heeran (From "Honey 3.0")</t>
  </si>
  <si>
    <t>Que Hay Amor</t>
  </si>
  <si>
    <t>Boogieman</t>
  </si>
  <si>
    <t>EBK Jaaybo</t>
  </si>
  <si>
    <t>NLO</t>
  </si>
  <si>
    <t>Overcompensate (edit)</t>
  </si>
  <si>
    <t>Maa Nammakam Nuvve Jagan, Vol 1</t>
  </si>
  <si>
    <t>Jagananna Connects</t>
  </si>
  <si>
    <t>Stunnin' (feat. Harm Franklin)</t>
  </si>
  <si>
    <t>Curtis Waters</t>
  </si>
  <si>
    <t>Privileged Rappers</t>
  </si>
  <si>
    <t>Beautiful As You</t>
  </si>
  <si>
    <t>Umbrella</t>
  </si>
  <si>
    <t>Candy</t>
  </si>
  <si>
    <t>All I Need</t>
  </si>
  <si>
    <t>Tyler Antonius</t>
  </si>
  <si>
    <t>Enough Is Enough</t>
  </si>
  <si>
    <t>Baddies</t>
  </si>
  <si>
    <t>Aitch</t>
  </si>
  <si>
    <t>Baila Conmigo (with Rauw Alejandro)</t>
  </si>
  <si>
    <t>Love Me</t>
  </si>
  <si>
    <t xml:space="preserve">Asï¿½ï¿½ Lo Quiso </t>
  </si>
  <si>
    <t>Rag Doll - Live</t>
  </si>
  <si>
    <t>Aerosmith</t>
  </si>
  <si>
    <t>Moon</t>
  </si>
  <si>
    <t>Notion</t>
  </si>
  <si>
    <t>The Rare Occasions</t>
  </si>
  <si>
    <t>Essence (feat. Justin Bieber &amp; Tems)</t>
  </si>
  <si>
    <t>Outskirts</t>
  </si>
  <si>
    <t>X</t>
  </si>
  <si>
    <t>Old Days</t>
  </si>
  <si>
    <t>boyfriend (with Social House)</t>
  </si>
  <si>
    <t>Girls Just Wanna Have Some</t>
  </si>
  <si>
    <t>dreamsoda</t>
  </si>
  <si>
    <t>10,000 Hours</t>
  </si>
  <si>
    <t>As the World Caves In</t>
  </si>
  <si>
    <t>Sarah Cothran</t>
  </si>
  <si>
    <t>Dile a Tu Orgullo (En Vivo)</t>
  </si>
  <si>
    <t>Luis Alfonso Partida El Yaki</t>
  </si>
  <si>
    <t>Neverender</t>
  </si>
  <si>
    <t>Justice</t>
  </si>
  <si>
    <t>Lottery (feat. LU KALA)</t>
  </si>
  <si>
    <t>Sunshine</t>
  </si>
  <si>
    <t>Si Tu Novio Te Deja Sola</t>
  </si>
  <si>
    <t xml:space="preserve">Batï¿½ï¿½k </t>
  </si>
  <si>
    <t>SHAKE SUMN</t>
  </si>
  <si>
    <t>Chained To The Rhythm</t>
  </si>
  <si>
    <t>Afterglow</t>
  </si>
  <si>
    <t>Kafamï¿½ï¿½n ï</t>
  </si>
  <si>
    <t>Mr. Brightside</t>
  </si>
  <si>
    <t>The Killers</t>
  </si>
  <si>
    <t>Promiscuous</t>
  </si>
  <si>
    <t>Nelly Furtado</t>
  </si>
  <si>
    <t>Black Swan</t>
  </si>
  <si>
    <t>HOT</t>
  </si>
  <si>
    <t>i'm yours</t>
  </si>
  <si>
    <t>Sonchadi | Coke Studio Bharat</t>
  </si>
  <si>
    <t>digV</t>
  </si>
  <si>
    <t>Young, Wild &amp; Free (feat. Bruno Mars)</t>
  </si>
  <si>
    <t>Snoop Dogg</t>
  </si>
  <si>
    <t>Kamar Teri Left Right Hale</t>
  </si>
  <si>
    <t>Sandeep Surila</t>
  </si>
  <si>
    <t>Carta Aberta</t>
  </si>
  <si>
    <t>Spongebob</t>
  </si>
  <si>
    <t>Dante9k</t>
  </si>
  <si>
    <t>The Thrill</t>
  </si>
  <si>
    <t>Yana Yana</t>
  </si>
  <si>
    <t>CIRCUS MAXIMUS</t>
  </si>
  <si>
    <t>What is Love</t>
  </si>
  <si>
    <t>SESSO E SAMBA (feat. Gaia)</t>
  </si>
  <si>
    <t>Tony Effe</t>
  </si>
  <si>
    <t>Pieces</t>
  </si>
  <si>
    <t>Danilo Stankovic</t>
  </si>
  <si>
    <t>Cama Repetida</t>
  </si>
  <si>
    <t>Glue Song</t>
  </si>
  <si>
    <t>Life in Rio</t>
  </si>
  <si>
    <t>Slowboy</t>
  </si>
  <si>
    <t xml:space="preserve">Iï¿½ï¿½ï¿½m Not Here To Make Friends (feat. Calvin Harris &amp; Jessie </t>
  </si>
  <si>
    <t>Help Me Help You (feat. Why Don't We)</t>
  </si>
  <si>
    <t>Logan Paul</t>
  </si>
  <si>
    <t>ýýýýýýýýýýýýýýýýýýýýýýýýýýýýýýýýýýýýýýý</t>
  </si>
  <si>
    <t>fellow fellow</t>
  </si>
  <si>
    <t>Distraction</t>
  </si>
  <si>
    <t>VIBE (feat. Jimin of BTS)</t>
  </si>
  <si>
    <t>Kï¿½ï¿½R</t>
  </si>
  <si>
    <t>Bussin (with Rob49)</t>
  </si>
  <si>
    <t>back to the moon</t>
  </si>
  <si>
    <t>FourFiveSeconds</t>
  </si>
  <si>
    <t>Washing Machine Heart</t>
  </si>
  <si>
    <t>SAN BENEDETTO</t>
  </si>
  <si>
    <t>Ron Gallo</t>
  </si>
  <si>
    <t>HACIENDO QUE ME AMAS</t>
  </si>
  <si>
    <t>Little Things</t>
  </si>
  <si>
    <t>Dead Man Walking</t>
  </si>
  <si>
    <t>La ï¿½ï¿½ltima Vez (Yo Te Per</t>
  </si>
  <si>
    <t>Girls Need Love (with Drake) - Remix</t>
  </si>
  <si>
    <t>Summer Walker</t>
  </si>
  <si>
    <t>Ball If I Want To</t>
  </si>
  <si>
    <t>P*$$Y Fairy (OTW)</t>
  </si>
  <si>
    <t xml:space="preserve">Jhenï¿½ï¿½ </t>
  </si>
  <si>
    <t>dangerous</t>
  </si>
  <si>
    <t xml:space="preserve">Ensï¿½ï¿½ï¿½ï¿½ame </t>
  </si>
  <si>
    <t>Olha a Explosï¿½</t>
  </si>
  <si>
    <t>MC Kevinho</t>
  </si>
  <si>
    <t>Bellaquita</t>
  </si>
  <si>
    <t>Ah-Bop</t>
  </si>
  <si>
    <t>Gene Ess</t>
  </si>
  <si>
    <t>Tu Perfume</t>
  </si>
  <si>
    <t>Banda MS de Sergio Lizï¿½ï¿½r</t>
  </si>
  <si>
    <t>Chamkeela Angeelesi</t>
  </si>
  <si>
    <t>Santhosh Narayanan</t>
  </si>
  <si>
    <t>Hayloft II</t>
  </si>
  <si>
    <t>Mother Mother</t>
  </si>
  <si>
    <t>Tormenta (feat. Bad Bunny)</t>
  </si>
  <si>
    <t>DJ Got Us Fallin' In Love</t>
  </si>
  <si>
    <t>DIE</t>
  </si>
  <si>
    <t>Gazo</t>
  </si>
  <si>
    <t>You and Me</t>
  </si>
  <si>
    <t>Please Don't Fall In Love With Me</t>
  </si>
  <si>
    <t>Aullando</t>
  </si>
  <si>
    <t>El Incomprendido</t>
  </si>
  <si>
    <t>Mike WiLL Made-It</t>
  </si>
  <si>
    <t>Guay</t>
  </si>
  <si>
    <t>Poesia Acï¿½ï¿½stica #6: Era uma</t>
  </si>
  <si>
    <t>Pineapple StormTv</t>
  </si>
  <si>
    <t>Swang</t>
  </si>
  <si>
    <t>Broke Boys</t>
  </si>
  <si>
    <t>SMOKE IT OFF!</t>
  </si>
  <si>
    <t>Lumi Athena</t>
  </si>
  <si>
    <t>Night Bus</t>
  </si>
  <si>
    <t>KIDS</t>
  </si>
  <si>
    <t>What They Want</t>
  </si>
  <si>
    <t>All of Me - Radio Edit</t>
  </si>
  <si>
    <t>Corazï¿½ï¿½n F</t>
  </si>
  <si>
    <t>Jasiel Nuï¿½ï</t>
  </si>
  <si>
    <t>Take Care</t>
  </si>
  <si>
    <t>A Sky Full of Stars</t>
  </si>
  <si>
    <t>Smack That - Dirty</t>
  </si>
  <si>
    <t>Akon</t>
  </si>
  <si>
    <t>Ramen &amp; OJ</t>
  </si>
  <si>
    <t>Arhbo [Music from the FIFA World Cup Qatar 2022 Official Soundtrack]</t>
  </si>
  <si>
    <t>MEGAVERSE</t>
  </si>
  <si>
    <t>Come See Me</t>
  </si>
  <si>
    <t>Cool With You</t>
  </si>
  <si>
    <t>Dark Matter</t>
  </si>
  <si>
    <t>Pearl Jam</t>
  </si>
  <si>
    <t>Shameless</t>
  </si>
  <si>
    <t>New Freezer (feat. Kendrick Lamar)</t>
  </si>
  <si>
    <t>Rich The Kid</t>
  </si>
  <si>
    <t>GTA.mp3</t>
  </si>
  <si>
    <t>Dembow</t>
  </si>
  <si>
    <t>WAKE UP!</t>
  </si>
  <si>
    <t>ECHOES: Cala Boca Menino</t>
  </si>
  <si>
    <t>Fire! Orchestra</t>
  </si>
  <si>
    <t>Fast</t>
  </si>
  <si>
    <t>Come and See Me (feat. Drake)</t>
  </si>
  <si>
    <t>Myself</t>
  </si>
  <si>
    <t>Muï¿½ï¿½</t>
  </si>
  <si>
    <t>BESAME (feat. Tiago PZK, Khea &amp; Neo Pistea) - Remix</t>
  </si>
  <si>
    <t>Bhavi</t>
  </si>
  <si>
    <t>LOCO</t>
  </si>
  <si>
    <t>Life's A Mess (feat. Halsey)</t>
  </si>
  <si>
    <t>Have Mercy</t>
  </si>
  <si>
    <t>Chlï¿½</t>
  </si>
  <si>
    <t>epi records</t>
  </si>
  <si>
    <t>Bad Decisions (with BTS &amp; Snoop Dogg)</t>
  </si>
  <si>
    <t>Yebbaï¿½ï¿½ï¿½s Hear</t>
  </si>
  <si>
    <t>Drums (Feat. Kim Petras)</t>
  </si>
  <si>
    <t>El Avioncito</t>
  </si>
  <si>
    <t>Giblack</t>
  </si>
  <si>
    <t>Handle On You</t>
  </si>
  <si>
    <t>Non, je ne regrette rien</t>
  </si>
  <si>
    <t>ýýdith Piaf</t>
  </si>
  <si>
    <t>Montagem - Pr Funk</t>
  </si>
  <si>
    <t>BARATO NATION</t>
  </si>
  <si>
    <t>Tunnel Vision</t>
  </si>
  <si>
    <t>White Tee (with NO1-NOAH)</t>
  </si>
  <si>
    <t>ýýýýýýýýýýýýýýýýýýýýýýýýýýýýýýýýýýýýýýýýýýýýýýýýýýýýýýýýýýýýýýýýýýýýýýýýýýýýýýýýýýýýýýýýýýýýýýýýýýýýýýýýýýýýýýýýýý</t>
  </si>
  <si>
    <t>TaitosmitH</t>
  </si>
  <si>
    <t>ýýýýýýýýýýýýýýýýýýýýýýýýýýýýýýýýýýýýýýýýýýýýýýýýýýýýýý</t>
  </si>
  <si>
    <t>ýýýýýýýýý ýýýýýýýýýýýýýýýýýýýýý</t>
  </si>
  <si>
    <t>La Llevo Al Cielo (Ft. ï¿½ï¿½engo F</t>
  </si>
  <si>
    <t>Too Easy</t>
  </si>
  <si>
    <t>Walking On A Dream</t>
  </si>
  <si>
    <t>Take Two</t>
  </si>
  <si>
    <t>Water (Remix)</t>
  </si>
  <si>
    <t>You Know You Like It</t>
  </si>
  <si>
    <t>Bom Diggy</t>
  </si>
  <si>
    <t>Zack Knight</t>
  </si>
  <si>
    <t>Mati-Matian</t>
  </si>
  <si>
    <t>Mahalini</t>
  </si>
  <si>
    <t>Live Another Day</t>
  </si>
  <si>
    <t>Ana Ghaltan</t>
  </si>
  <si>
    <t>Bahaa Sultan</t>
  </si>
  <si>
    <t>Sexo Virtual</t>
  </si>
  <si>
    <t>Nï¿½ï¿½o, Nï¿½</t>
  </si>
  <si>
    <t>Mari Fernandez</t>
  </si>
  <si>
    <t>ýý ýýýýýýýý ýýýýýýýýýý</t>
  </si>
  <si>
    <t>Moreart</t>
  </si>
  <si>
    <t>Chasin' You</t>
  </si>
  <si>
    <t>Ali Cabbar</t>
  </si>
  <si>
    <t>Emir Can ï¿½ï¿½ï</t>
  </si>
  <si>
    <t>Clouds</t>
  </si>
  <si>
    <t>BUNT.</t>
  </si>
  <si>
    <t>Let Your Boys Be Country</t>
  </si>
  <si>
    <t>Spin You Around (1/24)</t>
  </si>
  <si>
    <t>Solo Me Dejaste</t>
  </si>
  <si>
    <t>Like I'm Gonna Lose You (feat. John Legend)</t>
  </si>
  <si>
    <t>Don't Give Up On Me - (From "Five Feet Apart")</t>
  </si>
  <si>
    <t>Andy Grammer</t>
  </si>
  <si>
    <t>Jingle Bell Rock</t>
  </si>
  <si>
    <t>Bobby Helms</t>
  </si>
  <si>
    <t>Talk Dirty (feat. 2 Chainz)</t>
  </si>
  <si>
    <t>Nail Tech</t>
  </si>
  <si>
    <t>Lahore</t>
  </si>
  <si>
    <t>The Summoning</t>
  </si>
  <si>
    <t>Sleep Token</t>
  </si>
  <si>
    <t>TROLLZ (with Nicki Minaj)</t>
  </si>
  <si>
    <t>Cover Me Up</t>
  </si>
  <si>
    <t>Un Verano Sin Ti</t>
  </si>
  <si>
    <t>Mi Morenita</t>
  </si>
  <si>
    <t>Get A Guitar</t>
  </si>
  <si>
    <t>Heat</t>
  </si>
  <si>
    <t>Birds In The Sky</t>
  </si>
  <si>
    <t>New Era</t>
  </si>
  <si>
    <t>I Was Never There</t>
  </si>
  <si>
    <t>How You Feel (Ft. Leven Kali)</t>
  </si>
  <si>
    <t>Hang Tight Honey</t>
  </si>
  <si>
    <t>Bar</t>
  </si>
  <si>
    <t>ýýýýýýýýýýýýýýýýýýýýýýýýýýýýýýýýýýýý</t>
  </si>
  <si>
    <t>YOUNGOHM</t>
  </si>
  <si>
    <t>Case</t>
  </si>
  <si>
    <t>Apa Fer Milaange</t>
  </si>
  <si>
    <t>Savi Kahlon</t>
  </si>
  <si>
    <t>Socadona (feat. Mr. Vegas)</t>
  </si>
  <si>
    <t>LUDMILLA</t>
  </si>
  <si>
    <t>Hundreds</t>
  </si>
  <si>
    <t>Humpty Dumpty</t>
  </si>
  <si>
    <t>Nursery Rhymes</t>
  </si>
  <si>
    <t>Sial</t>
  </si>
  <si>
    <t>Pelele</t>
  </si>
  <si>
    <t>Ishq Jaisa Kuch (From "Fighter")</t>
  </si>
  <si>
    <t>CAROLINA</t>
  </si>
  <si>
    <t>Krippy Kush</t>
  </si>
  <si>
    <t>Do It</t>
  </si>
  <si>
    <t>Mtg Quero Te Encontrar</t>
  </si>
  <si>
    <t>DJ LG PROD</t>
  </si>
  <si>
    <t>Umbrella (with 21 Savage &amp; Young Nudy)</t>
  </si>
  <si>
    <t>Cuaderno</t>
  </si>
  <si>
    <t>Leja Re</t>
  </si>
  <si>
    <t>Pï¿½ï¿½i</t>
  </si>
  <si>
    <t>Babasha</t>
  </si>
  <si>
    <t>Paro - Speed Up</t>
  </si>
  <si>
    <t>Burn, Burn, Burn</t>
  </si>
  <si>
    <t>Girl</t>
  </si>
  <si>
    <t>Saving Up</t>
  </si>
  <si>
    <t>The Way Life Goes (feat. Oh Wonder)</t>
  </si>
  <si>
    <t>Headshot (feat. Polo G &amp; Fivio Foreign)</t>
  </si>
  <si>
    <t>Gali Gali (From "Kgf Chapter 1")</t>
  </si>
  <si>
    <t>LLYLM</t>
  </si>
  <si>
    <t>Levels</t>
  </si>
  <si>
    <t>Hey Mama (feat. Nicki Minaj, Bebe Rexha &amp; Afrojack) - Boaz van de Beatz remix</t>
  </si>
  <si>
    <t>Boaz van de Beatz</t>
  </si>
  <si>
    <t>If You're Happy and You Know It (Clap Your Hands)</t>
  </si>
  <si>
    <t>CoComelon</t>
  </si>
  <si>
    <t>La player (Bandolera)</t>
  </si>
  <si>
    <t>ART</t>
  </si>
  <si>
    <t>Let's Love</t>
  </si>
  <si>
    <t>DASH</t>
  </si>
  <si>
    <t>NMIXX</t>
  </si>
  <si>
    <t>On My Mind</t>
  </si>
  <si>
    <t>Vampiro</t>
  </si>
  <si>
    <t>Another Late Night (feat. Lil Yachty)</t>
  </si>
  <si>
    <t>Fire - Official UEFA EURO 2024 Song</t>
  </si>
  <si>
    <t>Delincuente</t>
  </si>
  <si>
    <t>Tokischa</t>
  </si>
  <si>
    <t>Never Lose Me (feat. SZA &amp; Cardi B)</t>
  </si>
  <si>
    <t>Kernkraft 400 (A Better Day)</t>
  </si>
  <si>
    <t>SORRY NOT SORRY</t>
  </si>
  <si>
    <t>Bad (feat. Vassy) - Radio Edit</t>
  </si>
  <si>
    <t>Showtek</t>
  </si>
  <si>
    <t>CYBERTRUCK</t>
  </si>
  <si>
    <t>Sher Khul Gaye (From "Fighter")</t>
  </si>
  <si>
    <t>Fever</t>
  </si>
  <si>
    <t>Tiago PZK: Bzrp Music Sessions, Vol. 48</t>
  </si>
  <si>
    <t>Hands up!</t>
  </si>
  <si>
    <t>Buenas</t>
  </si>
  <si>
    <t>STUPID IN LOVE (feat. HUH YUNJIN of LE SSERAFIM)</t>
  </si>
  <si>
    <t>MAX</t>
  </si>
  <si>
    <t>Put Your Records On</t>
  </si>
  <si>
    <t>Ritt Momney</t>
  </si>
  <si>
    <t>So Am I</t>
  </si>
  <si>
    <t>Slide</t>
  </si>
  <si>
    <t>Feel Good Inc.</t>
  </si>
  <si>
    <t>Me And My Broken Heart</t>
  </si>
  <si>
    <t>Rixton</t>
  </si>
  <si>
    <t>Baguettes in the Face (feat. NAV, Playboi Carti &amp; A Boogie Wit da Hoodie)</t>
  </si>
  <si>
    <t>Bachpan Ka Pyaar</t>
  </si>
  <si>
    <t>Lo Aprendï¿½ï¿½ de Ti - HA-ASH Primera Fila - Hecho Realidad [En V</t>
  </si>
  <si>
    <t>Ha*Ash</t>
  </si>
  <si>
    <t>Blinding Lights - Instrumental</t>
  </si>
  <si>
    <t>Wildest Dreams (Taylor's Version)</t>
  </si>
  <si>
    <t>Ain't Your Mama</t>
  </si>
  <si>
    <t>Rock My Body</t>
  </si>
  <si>
    <t>R3HAB</t>
  </si>
  <si>
    <t>TWINNEM</t>
  </si>
  <si>
    <t>Mood</t>
  </si>
  <si>
    <t>Makar</t>
  </si>
  <si>
    <t>TU$$I (with Dei V)</t>
  </si>
  <si>
    <t>YOVNGCHIMI</t>
  </si>
  <si>
    <t>Duki: Bzrp Music Sessions, Vol. 50</t>
  </si>
  <si>
    <t>Tell Me What You Want</t>
  </si>
  <si>
    <t>Oden &amp; Fatzo</t>
  </si>
  <si>
    <t>KABUKI</t>
  </si>
  <si>
    <t>Cuckoo Coco</t>
  </si>
  <si>
    <t>The Bones</t>
  </si>
  <si>
    <t>Maren Morris</t>
  </si>
  <si>
    <t>Good News</t>
  </si>
  <si>
    <t>Sin Seï¿½ï</t>
  </si>
  <si>
    <t>Mejor Que Yo</t>
  </si>
  <si>
    <t>Wiggle (feat. Snoop Dogg)</t>
  </si>
  <si>
    <t>Evoque Prata</t>
  </si>
  <si>
    <t>MC MENOR HR</t>
  </si>
  <si>
    <t>Last Heartbreak Song</t>
  </si>
  <si>
    <t>PnB Rock</t>
  </si>
  <si>
    <t>Pakistan</t>
  </si>
  <si>
    <t>Beat the Odds</t>
  </si>
  <si>
    <t>Barely Breathing</t>
  </si>
  <si>
    <t>Grant Averill</t>
  </si>
  <si>
    <t>All Around The World (La La La)</t>
  </si>
  <si>
    <t>You're On Your Own, Kid</t>
  </si>
  <si>
    <t>ýýýýýý ýýýýýýýýýýýý ýýýýýýýýýýýý (My head is spinning like a screw)</t>
  </si>
  <si>
    <t>kostromin</t>
  </si>
  <si>
    <t>Already Rich</t>
  </si>
  <si>
    <t>Mrs. GREEN APPLE</t>
  </si>
  <si>
    <t>Bruises</t>
  </si>
  <si>
    <t>exile (feat. Bon Iver)</t>
  </si>
  <si>
    <t>THE GIRLS - BLACKPINK THE GAME OST</t>
  </si>
  <si>
    <t>Raja Ji</t>
  </si>
  <si>
    <t>ýý ýýýýýýýýýý</t>
  </si>
  <si>
    <t>A.V.G</t>
  </si>
  <si>
    <t>Love Sosa</t>
  </si>
  <si>
    <t>Chief Keef</t>
  </si>
  <si>
    <t>HIND'S HALL</t>
  </si>
  <si>
    <t>Skibidi</t>
  </si>
  <si>
    <t>Little Big</t>
  </si>
  <si>
    <t>I'm Geekin</t>
  </si>
  <si>
    <t>Hey Lil Mamï¿</t>
  </si>
  <si>
    <t>Eres Mï¿½</t>
  </si>
  <si>
    <t>Sunrise</t>
  </si>
  <si>
    <t>ME! (feat. Brendon Urie of Panic! At The Disco)</t>
  </si>
  <si>
    <t>Para de Mentir</t>
  </si>
  <si>
    <t>Oruam</t>
  </si>
  <si>
    <t>TRYNA MAKE SURE</t>
  </si>
  <si>
    <t>Yo Ya No Vuelvo Contigo - En Vivo</t>
  </si>
  <si>
    <t>Bella y Sensual</t>
  </si>
  <si>
    <t>Bertahan Terluka</t>
  </si>
  <si>
    <t>if looks could kill</t>
  </si>
  <si>
    <t>Save Me The Trouble</t>
  </si>
  <si>
    <t>Marisola - Remix</t>
  </si>
  <si>
    <t>Trampoline</t>
  </si>
  <si>
    <t>SHAED</t>
  </si>
  <si>
    <t>Alone (with Nicki Minaj)</t>
  </si>
  <si>
    <t>Kim Petras</t>
  </si>
  <si>
    <t>Godï¿½ï¿½ï¿½</t>
  </si>
  <si>
    <t>Te Vi</t>
  </si>
  <si>
    <t>I Wanna Be Yours</t>
  </si>
  <si>
    <t>PARANOIA</t>
  </si>
  <si>
    <t>HEARTSTEEL</t>
  </si>
  <si>
    <t>Story of My Life</t>
  </si>
  <si>
    <t>Black Summer</t>
  </si>
  <si>
    <t>Red Hot Chili Peppers</t>
  </si>
  <si>
    <t>Devil You Know</t>
  </si>
  <si>
    <t>Tyler Braden</t>
  </si>
  <si>
    <t>run for the hills</t>
  </si>
  <si>
    <t>I Know - PR1ISVX Edit</t>
  </si>
  <si>
    <t>Kanii</t>
  </si>
  <si>
    <t>Wish</t>
  </si>
  <si>
    <t>Mario</t>
  </si>
  <si>
    <t>Alvaro Soler</t>
  </si>
  <si>
    <t>Beso (Fruta Fresca)</t>
  </si>
  <si>
    <t>Wakyin</t>
  </si>
  <si>
    <t>Ya Lili</t>
  </si>
  <si>
    <t>Balti</t>
  </si>
  <si>
    <t>Those Eyes</t>
  </si>
  <si>
    <t>New West</t>
  </si>
  <si>
    <t>Little Foot Big Foot (feat. Young Nudy)</t>
  </si>
  <si>
    <t>Explï¿½ï¿½</t>
  </si>
  <si>
    <t>Girl On Fire</t>
  </si>
  <si>
    <t>Alicia Keys</t>
  </si>
  <si>
    <t>Like I Want You</t>
  </si>
  <si>
    <t>Naiyo Lagda (From "Kisi Ka Bhai Kisi Ki Jaan")</t>
  </si>
  <si>
    <t>Himesh Reshammiya</t>
  </si>
  <si>
    <t>Black Magic</t>
  </si>
  <si>
    <t>Little Mix</t>
  </si>
  <si>
    <t>Budapest</t>
  </si>
  <si>
    <t>Shellfish cumbia</t>
  </si>
  <si>
    <t>H2O</t>
  </si>
  <si>
    <t>La Gï¿½ï¿½e</t>
  </si>
  <si>
    <t>Mi Tesoro (feat. Nicky Jam)</t>
  </si>
  <si>
    <t>ERE</t>
  </si>
  <si>
    <t>juan karlos</t>
  </si>
  <si>
    <t>Alcohol-Free</t>
  </si>
  <si>
    <t>Bad boy</t>
  </si>
  <si>
    <t>Marwa Loud</t>
  </si>
  <si>
    <t>Voices In My Head</t>
  </si>
  <si>
    <t>LA NENA</t>
  </si>
  <si>
    <t>Lyanno</t>
  </si>
  <si>
    <t>Hati-Hati di Jalan</t>
  </si>
  <si>
    <t>Tulus</t>
  </si>
  <si>
    <t>Algo Mï¿½ï¿½</t>
  </si>
  <si>
    <t>Quicksand</t>
  </si>
  <si>
    <t>Morray</t>
  </si>
  <si>
    <t>Singapur</t>
  </si>
  <si>
    <t>Just Dance</t>
  </si>
  <si>
    <t>Tom's Diner</t>
  </si>
  <si>
    <t>AnnenMayKantereit</t>
  </si>
  <si>
    <t>La Jeepeta - Remix</t>
  </si>
  <si>
    <t>Dos Waves</t>
  </si>
  <si>
    <t>Marvins Room</t>
  </si>
  <si>
    <t>Hot (feat. Gunna)</t>
  </si>
  <si>
    <t>Skibidi Toilet</t>
  </si>
  <si>
    <t>Lil Big Stack</t>
  </si>
  <si>
    <t>moment</t>
  </si>
  <si>
    <t>Vierre Cloud</t>
  </si>
  <si>
    <t>Heaven Takes You Home</t>
  </si>
  <si>
    <t>Far Away (2020 Remaster)</t>
  </si>
  <si>
    <t>Nickelback</t>
  </si>
  <si>
    <t>God Damn</t>
  </si>
  <si>
    <t>Razzi Bolja</t>
  </si>
  <si>
    <t>Harjeet Deewana</t>
  </si>
  <si>
    <t>Tested, Approved &amp; Trusted</t>
  </si>
  <si>
    <t>GALOPA</t>
  </si>
  <si>
    <t>Reckless</t>
  </si>
  <si>
    <t>BEST ON EARTH (feat. BIA) - Bonus</t>
  </si>
  <si>
    <t>Drunk (And I Don't Wanna Go Home)</t>
  </si>
  <si>
    <t>Elle King</t>
  </si>
  <si>
    <t>Overdrive</t>
  </si>
  <si>
    <t>Cuando Nadie Ve</t>
  </si>
  <si>
    <t>Morat</t>
  </si>
  <si>
    <t>Freak (feat. REI AMI)</t>
  </si>
  <si>
    <t>Sugar Rush Ride</t>
  </si>
  <si>
    <t>Me Escapï¿</t>
  </si>
  <si>
    <t>DobleP</t>
  </si>
  <si>
    <t>Sakhiyaan</t>
  </si>
  <si>
    <t>Maninder Buttar</t>
  </si>
  <si>
    <t>Without You (feat. Sandro Cavazza)</t>
  </si>
  <si>
    <t>Aynen</t>
  </si>
  <si>
    <t>Heijan</t>
  </si>
  <si>
    <t>IDGAF</t>
  </si>
  <si>
    <t>Maniac</t>
  </si>
  <si>
    <t>Love Me Harder</t>
  </si>
  <si>
    <t>Si Supieras</t>
  </si>
  <si>
    <t>Love Someone</t>
  </si>
  <si>
    <t>Dance Alone</t>
  </si>
  <si>
    <t>Suano</t>
  </si>
  <si>
    <t>NTG</t>
  </si>
  <si>
    <t>Heart On Ice</t>
  </si>
  <si>
    <t>POP/STARS</t>
  </si>
  <si>
    <t>K/DA</t>
  </si>
  <si>
    <t>Ring (feat. Kehlani)</t>
  </si>
  <si>
    <t>Potion (with Dua Lipa &amp; Young Thug)</t>
  </si>
  <si>
    <t>Pï¿½ï¿½gina De Ex - Ao Vivo N</t>
  </si>
  <si>
    <t>NEW MAGIC WAND</t>
  </si>
  <si>
    <t>Taaron Ke Shehar</t>
  </si>
  <si>
    <t>Monster</t>
  </si>
  <si>
    <t>LUM!X</t>
  </si>
  <si>
    <t>SI SI SI SI (feat. Eladio Carrion, Bryant Myers, Dei V)</t>
  </si>
  <si>
    <t>River (feat. Ed Sheeran)</t>
  </si>
  <si>
    <t>Churchill Downs (feat. Drake)</t>
  </si>
  <si>
    <t>Wide Awake</t>
  </si>
  <si>
    <t>Eyvah Neye Yarar</t>
  </si>
  <si>
    <t>Lush Life</t>
  </si>
  <si>
    <t>Kitty</t>
  </si>
  <si>
    <t>O Bedardeya (From "Tu Jhoothi Main Makkaar")</t>
  </si>
  <si>
    <t>Wildberry Lillet</t>
  </si>
  <si>
    <t>Nina Chuba</t>
  </si>
  <si>
    <t>Amapiano</t>
  </si>
  <si>
    <t>Hola Seï¿½ï¿½o</t>
  </si>
  <si>
    <t>M.A (Mejores Amigos)</t>
  </si>
  <si>
    <t>Take A Bite</t>
  </si>
  <si>
    <t>Dream Girl - Remix</t>
  </si>
  <si>
    <t>Me Enamorï¿</t>
  </si>
  <si>
    <t>Geri Dï¿½ï¿½nem</t>
  </si>
  <si>
    <t>Gimmie A Light</t>
  </si>
  <si>
    <t>on the street (with J. Cole)</t>
  </si>
  <si>
    <t>j-hope</t>
  </si>
  <si>
    <t>LOST FOREVER</t>
  </si>
  <si>
    <t>What Ifs (feat. Lauren Alaina)</t>
  </si>
  <si>
    <t>I Got Love</t>
  </si>
  <si>
    <t>MiyaGi</t>
  </si>
  <si>
    <t>SET ME FREE</t>
  </si>
  <si>
    <t>Say Something</t>
  </si>
  <si>
    <t>A Great Big World</t>
  </si>
  <si>
    <t>Por Dentro</t>
  </si>
  <si>
    <t>You Belong With Me</t>
  </si>
  <si>
    <t>Sex, Drugs, Etc.</t>
  </si>
  <si>
    <t>Beach Weather</t>
  </si>
  <si>
    <t>Tchuco Nela</t>
  </si>
  <si>
    <t>MC Rogerinho</t>
  </si>
  <si>
    <t>Californication</t>
  </si>
  <si>
    <t>La Mordidita</t>
  </si>
  <si>
    <t>Drowning (feat. Kodak Black)</t>
  </si>
  <si>
    <t>One in a Million</t>
  </si>
  <si>
    <t>Playing Games</t>
  </si>
  <si>
    <t>Often</t>
  </si>
  <si>
    <t xml:space="preserve">Balanï¿½ï¿½o da </t>
  </si>
  <si>
    <t>Better Things</t>
  </si>
  <si>
    <t>CCC - Remix</t>
  </si>
  <si>
    <t>Michelle Maciel</t>
  </si>
  <si>
    <t>Carnival</t>
  </si>
  <si>
    <t>Swag Se Swagat</t>
  </si>
  <si>
    <t>Neha Bhasin</t>
  </si>
  <si>
    <t>SEVILLA</t>
  </si>
  <si>
    <t>Thrife</t>
  </si>
  <si>
    <t>Chana Tera Shukriya</t>
  </si>
  <si>
    <t>Tanveer Anjum</t>
  </si>
  <si>
    <t>Caramelo - Remix</t>
  </si>
  <si>
    <t>Leoo Remix</t>
  </si>
  <si>
    <t>GHOST!</t>
  </si>
  <si>
    <t>phonk.me</t>
  </si>
  <si>
    <t>CUTE DEPRESSED</t>
  </si>
  <si>
    <t>Dyan Dxddy</t>
  </si>
  <si>
    <t>Inolvidable</t>
  </si>
  <si>
    <t>Ovy On The Drums</t>
  </si>
  <si>
    <t>Lioness</t>
  </si>
  <si>
    <t>Zombie</t>
  </si>
  <si>
    <t>Bad Wolves</t>
  </si>
  <si>
    <t>NI BIEN NI MAL</t>
  </si>
  <si>
    <t>MAï¿½ï¿½ANA SERï¿½ï¿</t>
  </si>
  <si>
    <t>My Heart Goes (La Di Da)</t>
  </si>
  <si>
    <t>Candy Shop</t>
  </si>
  <si>
    <t>50 Cent</t>
  </si>
  <si>
    <t>ONLY</t>
  </si>
  <si>
    <t>LeeHi</t>
  </si>
  <si>
    <t>Avalon</t>
  </si>
  <si>
    <t>Puro Campeï¿½</t>
  </si>
  <si>
    <t>Esperï¿½ï¿½n</t>
  </si>
  <si>
    <t>Gas Pedal</t>
  </si>
  <si>
    <t>Sage The Gemini</t>
  </si>
  <si>
    <t>Landmines</t>
  </si>
  <si>
    <t>Sum 41</t>
  </si>
  <si>
    <t>Mnike (feat. DJ Maphorisa, Nandipha808, Ceeka RSA &amp; Tyron Dee)</t>
  </si>
  <si>
    <t>Tyler ICU</t>
  </si>
  <si>
    <t>DANCE CRIP</t>
  </si>
  <si>
    <t>stellar</t>
  </si>
  <si>
    <t>.diedlonely</t>
  </si>
  <si>
    <t>En Tu Perra Vida</t>
  </si>
  <si>
    <t>Malibu</t>
  </si>
  <si>
    <t>Skin and Bones</t>
  </si>
  <si>
    <t>Shut up My Moms Calling - (Sped Up)</t>
  </si>
  <si>
    <t>Spinnin</t>
  </si>
  <si>
    <t>Connor Price</t>
  </si>
  <si>
    <t>Super Simple Songs</t>
  </si>
  <si>
    <t>BARBIEZ</t>
  </si>
  <si>
    <t>Coladin</t>
  </si>
  <si>
    <t>Zï¿½ï¿½ Vaqu</t>
  </si>
  <si>
    <t>Coca Cola (From "Luka Chuppi")</t>
  </si>
  <si>
    <t>Los Botones Azules</t>
  </si>
  <si>
    <t>All By Myself</t>
  </si>
  <si>
    <t>Dj Balada Boa X Pika Pika Kawenimeri</t>
  </si>
  <si>
    <t>DJ USUP</t>
  </si>
  <si>
    <t>Joli bï¿½ï¿</t>
  </si>
  <si>
    <t>Naza</t>
  </si>
  <si>
    <t>Time of Our Lives</t>
  </si>
  <si>
    <t>Blood // Water</t>
  </si>
  <si>
    <t>grandson</t>
  </si>
  <si>
    <t>Famous Hoes</t>
  </si>
  <si>
    <t>AMOR PROPIO</t>
  </si>
  <si>
    <t>Wreckage</t>
  </si>
  <si>
    <t>This Town</t>
  </si>
  <si>
    <t>Maybe Youï¿½ï¿½ï¿½re The P</t>
  </si>
  <si>
    <t>Lil Bit</t>
  </si>
  <si>
    <t>Nenas</t>
  </si>
  <si>
    <t>Anni K</t>
  </si>
  <si>
    <t>Rainy Days</t>
  </si>
  <si>
    <t>Disaster</t>
  </si>
  <si>
    <t>KSLV Noh</t>
  </si>
  <si>
    <t>Feelings</t>
  </si>
  <si>
    <t>Sumit Goswami</t>
  </si>
  <si>
    <t>Trouble With A Heartbreak</t>
  </si>
  <si>
    <t>Los Collares</t>
  </si>
  <si>
    <t>BLAQ ON BLAQ (feat. Luciano)</t>
  </si>
  <si>
    <t>HoodBlaq</t>
  </si>
  <si>
    <t>Memories (feat. Kid Cudi)</t>
  </si>
  <si>
    <t>Kid Cudi</t>
  </si>
  <si>
    <t>It's That Time</t>
  </si>
  <si>
    <t>Marlon Hoffstadt</t>
  </si>
  <si>
    <t>Do Not Climb</t>
  </si>
  <si>
    <t>Claps</t>
  </si>
  <si>
    <t>Mï¿½ï¿½lanine (feat. Were</t>
  </si>
  <si>
    <t>Bakkal Amca</t>
  </si>
  <si>
    <t>Kukuli</t>
  </si>
  <si>
    <t>Martes 13</t>
  </si>
  <si>
    <t>Jom ka du me tï¿½ï¿</t>
  </si>
  <si>
    <t>Dafina Zeqiri</t>
  </si>
  <si>
    <t>BellaBella</t>
  </si>
  <si>
    <t>Vanco</t>
  </si>
  <si>
    <t>Long Journey</t>
  </si>
  <si>
    <t>Die A Happy Man</t>
  </si>
  <si>
    <t>Dah Dah DahDah</t>
  </si>
  <si>
    <t>Cab In A Solo</t>
  </si>
  <si>
    <t>Scotty McCreery</t>
  </si>
  <si>
    <t>Sï¿½ï¿½</t>
  </si>
  <si>
    <t>Bachke Bachke (feat. Yarah)</t>
  </si>
  <si>
    <t>Fed Up</t>
  </si>
  <si>
    <t>Ghostemane</t>
  </si>
  <si>
    <t>Udd Jaa Kaale Kaava (From "Gadar 2")</t>
  </si>
  <si>
    <t>Udit Narayan</t>
  </si>
  <si>
    <t>Be The One</t>
  </si>
  <si>
    <t>Eli Brown</t>
  </si>
  <si>
    <t>Top 10 staTues tHat CriEd bloOd</t>
  </si>
  <si>
    <t>This City</t>
  </si>
  <si>
    <t>Sam Fischer</t>
  </si>
  <si>
    <t>Os Bico Tï¿½ï¿½o Se Perguntando (Letï¿½ï¿½</t>
  </si>
  <si>
    <t>Last Time I Saw You</t>
  </si>
  <si>
    <t>Precision</t>
  </si>
  <si>
    <t>Did Me Wrong</t>
  </si>
  <si>
    <t>Cry No More (feat. Tay Keith)</t>
  </si>
  <si>
    <t>Headie One</t>
  </si>
  <si>
    <t>ýýýýýýýýýýýýýýýýýýýýýýýýýýýýýýýýýýýýýýýýýýýýýýýýýýýýýýýýýýýý (Fade)</t>
  </si>
  <si>
    <t>Jeff Satur</t>
  </si>
  <si>
    <t>Get Back</t>
  </si>
  <si>
    <t>Panic Room</t>
  </si>
  <si>
    <t>Au/Ra</t>
  </si>
  <si>
    <t>DJ BIWIR BEUREUM-BEUREUM JAWER HAYAM PANO COKLAT KOPI SUSU - RUNTAH</t>
  </si>
  <si>
    <t>DJ MANIKCI REMIX</t>
  </si>
  <si>
    <t>Baila Conmigo (feat. Kelly Ruiz)</t>
  </si>
  <si>
    <t>Dayvi</t>
  </si>
  <si>
    <t>Problemas de um Milionï¿½ï¿</t>
  </si>
  <si>
    <t>Noticed</t>
  </si>
  <si>
    <t>Shoota (feat. Lil Uzi Vert)</t>
  </si>
  <si>
    <t>Happy Birthday</t>
  </si>
  <si>
    <t>Jovanie</t>
  </si>
  <si>
    <t>The Greatest</t>
  </si>
  <si>
    <t>Ignite</t>
  </si>
  <si>
    <t>Sharing Locations (feat. Lil Baby &amp; Lil Durk)</t>
  </si>
  <si>
    <t>Gï¿½ï¿½ï¿½p ï¿½ï¿½ï¿½ï¿½i</t>
  </si>
  <si>
    <t>Tuï¿½ï¿½ï¿½n</t>
  </si>
  <si>
    <t>Vette Motors</t>
  </si>
  <si>
    <t>Only Fine Girl</t>
  </si>
  <si>
    <t>EVIL EMPIRE</t>
  </si>
  <si>
    <t>Overwhelmed</t>
  </si>
  <si>
    <t>Royal &amp; the Serpent</t>
  </si>
  <si>
    <t>Good as Hell</t>
  </si>
  <si>
    <t>Caroline</t>
  </si>
  <si>
    <t>Aminï¿</t>
  </si>
  <si>
    <t>Mon ami</t>
  </si>
  <si>
    <t>Tiesco le sultan</t>
  </si>
  <si>
    <t>Zombie Dance with New DB Heroes</t>
  </si>
  <si>
    <t>Adictiva</t>
  </si>
  <si>
    <t>Kitsch</t>
  </si>
  <si>
    <t>Rewrite The Stars</t>
  </si>
  <si>
    <t>Zac Efron</t>
  </si>
  <si>
    <t>Hype Boy</t>
  </si>
  <si>
    <t>Enchanted (Taylor's Version)</t>
  </si>
  <si>
    <t>GUCCI LOS PAï¿½ï</t>
  </si>
  <si>
    <t>Legends Never Die</t>
  </si>
  <si>
    <t>BLEED</t>
  </si>
  <si>
    <t>Lucixn</t>
  </si>
  <si>
    <t>Michi Teyu Ku (Overflowing)</t>
  </si>
  <si>
    <t>Fujii Kaze</t>
  </si>
  <si>
    <t>Desde Esa Noche</t>
  </si>
  <si>
    <t>SOS (feat. Aloe Blacc)</t>
  </si>
  <si>
    <t>Pulsar Bike</t>
  </si>
  <si>
    <t>Bheems Ceciroleo</t>
  </si>
  <si>
    <t>FRANCHISE (feat. Young Thug &amp; M.I.A.)</t>
  </si>
  <si>
    <t>Kya Baat Ay</t>
  </si>
  <si>
    <t>Do not touch</t>
  </si>
  <si>
    <t>MISAMO</t>
  </si>
  <si>
    <t>PERSIAN RUGS</t>
  </si>
  <si>
    <t>Romeo Juliet - Title Song</t>
  </si>
  <si>
    <t>Akassh</t>
  </si>
  <si>
    <t>Ambition For Cash</t>
  </si>
  <si>
    <t>Key Glock</t>
  </si>
  <si>
    <t>En Peligro de Extinciï¿½</t>
  </si>
  <si>
    <t>Besito</t>
  </si>
  <si>
    <t>Soy Pau</t>
  </si>
  <si>
    <t>Be Kind (with Halsey)</t>
  </si>
  <si>
    <t>I GOT YOU</t>
  </si>
  <si>
    <t>Zukunft Pink (feat. Inï¿½ï</t>
  </si>
  <si>
    <t>Peter Fox</t>
  </si>
  <si>
    <t>CCC</t>
  </si>
  <si>
    <t>Dime</t>
  </si>
  <si>
    <t>El Malilla</t>
  </si>
  <si>
    <t>Do you like yogurt</t>
  </si>
  <si>
    <t>Pierce</t>
  </si>
  <si>
    <t>Electric Love</t>
  </si>
  <si>
    <t>Bï¿½ï¿</t>
  </si>
  <si>
    <t>MR. OCTOBER</t>
  </si>
  <si>
    <t>I Can Fix Him (No Really I Can)</t>
  </si>
  <si>
    <t>Kï¿½ï¿½</t>
  </si>
  <si>
    <t>Mabel Matiz</t>
  </si>
  <si>
    <t>Jee Ni Lagda</t>
  </si>
  <si>
    <t>Sudden Shower</t>
  </si>
  <si>
    <t>Eclipse</t>
  </si>
  <si>
    <t>Nira Ishq</t>
  </si>
  <si>
    <t>Guri</t>
  </si>
  <si>
    <t>lo que hay x aquï¿</t>
  </si>
  <si>
    <t>Los Cachos</t>
  </si>
  <si>
    <t>Jugnu</t>
  </si>
  <si>
    <t>NADIE SABE</t>
  </si>
  <si>
    <t>nE !?</t>
  </si>
  <si>
    <t>Graduation (with Juice WRLD)</t>
  </si>
  <si>
    <t>Fim de Semana no Rio</t>
  </si>
  <si>
    <t>Teto</t>
  </si>
  <si>
    <t>Best Time</t>
  </si>
  <si>
    <t>Hot N*gga</t>
  </si>
  <si>
    <t>Bobby Shmurda</t>
  </si>
  <si>
    <t>No Sufrirï¿½ï¿½ por Nadie - R</t>
  </si>
  <si>
    <t>Joaquin Guiller</t>
  </si>
  <si>
    <t>For Tonight</t>
  </si>
  <si>
    <t>Barely Holdin' On</t>
  </si>
  <si>
    <t>Lihim</t>
  </si>
  <si>
    <t>Arthur Miguel</t>
  </si>
  <si>
    <t>Shake It Off (Taylor's Version)</t>
  </si>
  <si>
    <t>DICE AND ROLL</t>
  </si>
  <si>
    <t>Clara Bow</t>
  </si>
  <si>
    <t>Witchy (feat. Childish Gambino)</t>
  </si>
  <si>
    <t>KAYTRANADA</t>
  </si>
  <si>
    <t>Quiï¿½ï¿½reme Mientras Se P</t>
  </si>
  <si>
    <t>0800 HEAVEN</t>
  </si>
  <si>
    <t>Elegï¿½ï¿½ (feat. Dï¿½ï¿½me</t>
  </si>
  <si>
    <t>Hallelujah</t>
  </si>
  <si>
    <t>Pentatonix</t>
  </si>
  <si>
    <t>You can't control my heart</t>
  </si>
  <si>
    <t>March Madness</t>
  </si>
  <si>
    <t>Never Gonna Not Dance Again</t>
  </si>
  <si>
    <t>Que Calor (with J Balvin &amp; El Alfa)</t>
  </si>
  <si>
    <t>Make No Sense</t>
  </si>
  <si>
    <t>STARGAZING</t>
  </si>
  <si>
    <t>WTFYM</t>
  </si>
  <si>
    <t>All My Life</t>
  </si>
  <si>
    <t>Munch (Feelinï¿½ï¿½</t>
  </si>
  <si>
    <t>If You Want Love</t>
  </si>
  <si>
    <t>Lo Greco Bros</t>
  </si>
  <si>
    <t>Savage Love</t>
  </si>
  <si>
    <t>White Iverson</t>
  </si>
  <si>
    <t>Hola - Remix</t>
  </si>
  <si>
    <t>The Black Dog</t>
  </si>
  <si>
    <t>Say Something (feat. Chris Stapleton)</t>
  </si>
  <si>
    <t>Hoa Cï¿½ï¿½ï</t>
  </si>
  <si>
    <t>Phong Max</t>
  </si>
  <si>
    <t>I Know</t>
  </si>
  <si>
    <t>lost souls</t>
  </si>
  <si>
    <t>Don't You Know</t>
  </si>
  <si>
    <t>Crosby St. Models</t>
  </si>
  <si>
    <t>Hold Me Closer</t>
  </si>
  <si>
    <t>Se Joga no Passinho</t>
  </si>
  <si>
    <t>Brisa Star</t>
  </si>
  <si>
    <t>Girls</t>
  </si>
  <si>
    <t>Classic</t>
  </si>
  <si>
    <t>MKTO</t>
  </si>
  <si>
    <t>The Last Goodbye (feat. Bettye LaVette)</t>
  </si>
  <si>
    <t>ODESZA</t>
  </si>
  <si>
    <t>The Weekend</t>
  </si>
  <si>
    <t>Overloading (OVERDOSE)</t>
  </si>
  <si>
    <t>Mavins</t>
  </si>
  <si>
    <t>shipping</t>
  </si>
  <si>
    <t>great area</t>
  </si>
  <si>
    <t>Stole the Show</t>
  </si>
  <si>
    <t>Mood - Remix</t>
  </si>
  <si>
    <t>Zero Two</t>
  </si>
  <si>
    <t>Chasing After You (with Maren Morris)</t>
  </si>
  <si>
    <t>Ryan Hurd</t>
  </si>
  <si>
    <t>Kini Ecko Pergi Meninggalkanku</t>
  </si>
  <si>
    <t>Ecko Show</t>
  </si>
  <si>
    <t>LOOOVE (feat. Kid Cudi)</t>
  </si>
  <si>
    <t>Oddara (feat. Mercedes Salinas)</t>
  </si>
  <si>
    <t>Overcast</t>
  </si>
  <si>
    <t>10 Freaky Girls (with 21 Savage)</t>
  </si>
  <si>
    <t>Bahagiaku Sederhana</t>
  </si>
  <si>
    <t>Jamik Jams</t>
  </si>
  <si>
    <t>Paint It, Black</t>
  </si>
  <si>
    <t>The Rolling Stones</t>
  </si>
  <si>
    <t>Beautiful People (Stay High)</t>
  </si>
  <si>
    <t>The Black Keys</t>
  </si>
  <si>
    <t>UNA CERVEZA</t>
  </si>
  <si>
    <t>Down With Me</t>
  </si>
  <si>
    <t>SG (with Ozuna, Megan Thee Stallion &amp; LISA of BLACKPINK)</t>
  </si>
  <si>
    <t>Pink Friday Girls</t>
  </si>
  <si>
    <t>Teresa &amp; Maria</t>
  </si>
  <si>
    <t>alyona alyona</t>
  </si>
  <si>
    <t>Conversations</t>
  </si>
  <si>
    <t>Rake It Up</t>
  </si>
  <si>
    <t>Yo Gotti</t>
  </si>
  <si>
    <t>De Vuelta Pa' La Vuelta</t>
  </si>
  <si>
    <t>Walk</t>
  </si>
  <si>
    <t>9 bis 9</t>
  </si>
  <si>
    <t>SIRA</t>
  </si>
  <si>
    <t>Versace on the Floor</t>
  </si>
  <si>
    <t>Bailando</t>
  </si>
  <si>
    <t>Runaway (U &amp; I) [Dance]</t>
  </si>
  <si>
    <t>Hasta la Miel Amarga (feat. Grupo Firme)</t>
  </si>
  <si>
    <t>Love Me Like This</t>
  </si>
  <si>
    <t>Buss It</t>
  </si>
  <si>
    <t>Erica Banks</t>
  </si>
  <si>
    <t>Five Nights at Freddy's</t>
  </si>
  <si>
    <t>The Newton Brothers</t>
  </si>
  <si>
    <t>BODYGUARD</t>
  </si>
  <si>
    <t>Matte Black</t>
  </si>
  <si>
    <t>Akh Lad Jaave (From "Loveyatri")</t>
  </si>
  <si>
    <t>Uhaw</t>
  </si>
  <si>
    <t>Dilaw</t>
  </si>
  <si>
    <t>FRIKI</t>
  </si>
  <si>
    <t>GOAT</t>
  </si>
  <si>
    <t>Bondade de Deus</t>
  </si>
  <si>
    <t>Isaias Saad</t>
  </si>
  <si>
    <t>Let The Light In (feat. Father John Misty)</t>
  </si>
  <si>
    <t>NINNIN JACK</t>
  </si>
  <si>
    <t>IMP.</t>
  </si>
  <si>
    <t>Love 119</t>
  </si>
  <si>
    <t>Jar of Hearts</t>
  </si>
  <si>
    <t>UP</t>
  </si>
  <si>
    <t>INNA</t>
  </si>
  <si>
    <t>Gotta Move On (feat. Bryson Tiller)</t>
  </si>
  <si>
    <t>Diddy</t>
  </si>
  <si>
    <t>Chasing Game</t>
  </si>
  <si>
    <t>Nick Hanzo</t>
  </si>
  <si>
    <t>LOS APARATOS</t>
  </si>
  <si>
    <t>ýýQuýý Nos Pasýý?</t>
  </si>
  <si>
    <t>I Won't Give Up</t>
  </si>
  <si>
    <t>I GUESS I'M IN LOVE</t>
  </si>
  <si>
    <t>Clinton Kane</t>
  </si>
  <si>
    <t xml:space="preserve">Tapï¿½ï¿½o Na </t>
  </si>
  <si>
    <t>Raï¿½ï¿½ Saia Ro</t>
  </si>
  <si>
    <t>Angry</t>
  </si>
  <si>
    <t>SWEET / I THOUGHT YOU WANTED TO DANCE</t>
  </si>
  <si>
    <t>Yes I'm A Mess</t>
  </si>
  <si>
    <t>Try</t>
  </si>
  <si>
    <t>Saiyaan Ji</t>
  </si>
  <si>
    <t>VVS Switch</t>
  </si>
  <si>
    <t>Pressure 9X19</t>
  </si>
  <si>
    <t>Can I Call You Tonight?</t>
  </si>
  <si>
    <t>Dayglow</t>
  </si>
  <si>
    <t>Sweet Child O' Mine</t>
  </si>
  <si>
    <t>DISPO</t>
  </si>
  <si>
    <t>Obsessed</t>
  </si>
  <si>
    <t>Riar Saab</t>
  </si>
  <si>
    <t>Here We Go (Uh Oh)</t>
  </si>
  <si>
    <t>Madrid City</t>
  </si>
  <si>
    <t>Ana Mena</t>
  </si>
  <si>
    <t>Bring It on Home to Me</t>
  </si>
  <si>
    <t>Sam Cooke</t>
  </si>
  <si>
    <t>Ropa Cara</t>
  </si>
  <si>
    <t>Straightenin</t>
  </si>
  <si>
    <t>Percherï¿½</t>
  </si>
  <si>
    <t>Bring Me To Life</t>
  </si>
  <si>
    <t>Evanescence</t>
  </si>
  <si>
    <t>Espectacular</t>
  </si>
  <si>
    <t>Me Gusta</t>
  </si>
  <si>
    <t>Middle</t>
  </si>
  <si>
    <t>Ron Artest</t>
  </si>
  <si>
    <t>Babyface Ray</t>
  </si>
  <si>
    <t>El Patito Juan</t>
  </si>
  <si>
    <t>Biper Y Sus Amigos</t>
  </si>
  <si>
    <t>Different 'Round Here</t>
  </si>
  <si>
    <t>Riley Green</t>
  </si>
  <si>
    <t>Jumpshot</t>
  </si>
  <si>
    <t>Dawin</t>
  </si>
  <si>
    <t>Mockingbird</t>
  </si>
  <si>
    <t>Drift Night</t>
  </si>
  <si>
    <t>Alfianie</t>
  </si>
  <si>
    <t>Asesina</t>
  </si>
  <si>
    <t>Jennifer's Body</t>
  </si>
  <si>
    <t>In Da Club</t>
  </si>
  <si>
    <t>bread &amp; butter</t>
  </si>
  <si>
    <t>Aimer</t>
  </si>
  <si>
    <t>Smile (with The Weeknd)</t>
  </si>
  <si>
    <t>XXL</t>
  </si>
  <si>
    <t>UZI</t>
  </si>
  <si>
    <t>Yes or No</t>
  </si>
  <si>
    <t>Entrapreneur</t>
  </si>
  <si>
    <t>Show Me How</t>
  </si>
  <si>
    <t>Men I Trust</t>
  </si>
  <si>
    <t>Pour It Up</t>
  </si>
  <si>
    <t>MONEY AND VIBES</t>
  </si>
  <si>
    <t>Nemzzz</t>
  </si>
  <si>
    <t>Macarena (Bayside Boys Remix) (Remasterizado)</t>
  </si>
  <si>
    <t>Los Del Rio</t>
  </si>
  <si>
    <t>Love Is Gone - Acoustic</t>
  </si>
  <si>
    <t>SLANDER</t>
  </si>
  <si>
    <t>Yakï¿½ï¿½ï¿½ï</t>
  </si>
  <si>
    <t>Por las Noches (Remix)</t>
  </si>
  <si>
    <t>TABU.</t>
  </si>
  <si>
    <t>Yung Yury</t>
  </si>
  <si>
    <t>Hua Main (From "ANIMAL")</t>
  </si>
  <si>
    <t>Raghav Chaitanya</t>
  </si>
  <si>
    <t>Patadas de Ahogado / LATIN MAFIA - Rework</t>
  </si>
  <si>
    <t>HUGEL</t>
  </si>
  <si>
    <t>Avï¿½ï¿½</t>
  </si>
  <si>
    <t>Solid (feat. Drake)</t>
  </si>
  <si>
    <t>Young Stoner Life</t>
  </si>
  <si>
    <t>Joro</t>
  </si>
  <si>
    <t>House Of Lies</t>
  </si>
  <si>
    <t>Ikka</t>
  </si>
  <si>
    <t>Stop Breathing</t>
  </si>
  <si>
    <t>The Rapture Pt.III</t>
  </si>
  <si>
    <t>&amp;ME</t>
  </si>
  <si>
    <t>all the good girls go to hell</t>
  </si>
  <si>
    <t>Hate You</t>
  </si>
  <si>
    <t>Spell</t>
  </si>
  <si>
    <t>Chase It (Mmm Da Da Da)</t>
  </si>
  <si>
    <t>Mï¿½ï¿½</t>
  </si>
  <si>
    <t>So Fine</t>
  </si>
  <si>
    <t>Realest Cram</t>
  </si>
  <si>
    <t>Father Stretch My Hands Pt. 1</t>
  </si>
  <si>
    <t>Banco do Carona</t>
  </si>
  <si>
    <t>Mc Don Juan</t>
  </si>
  <si>
    <t>DISCOTEKA (feat. Locura Mix)</t>
  </si>
  <si>
    <t>thanK you aIMee</t>
  </si>
  <si>
    <t>I Get The Bag (feat. Migos)</t>
  </si>
  <si>
    <t>Terre Pyaar Mein</t>
  </si>
  <si>
    <t>Colors</t>
  </si>
  <si>
    <t>Black Pumas</t>
  </si>
  <si>
    <t>Lifetime</t>
  </si>
  <si>
    <t>Tobiahs</t>
  </si>
  <si>
    <t>Numero Uno</t>
  </si>
  <si>
    <t>Dan-E-MC</t>
  </si>
  <si>
    <t>What's My Name?</t>
  </si>
  <si>
    <t>Nikle Currant</t>
  </si>
  <si>
    <t>Jassie Gill</t>
  </si>
  <si>
    <t>Stir Fry</t>
  </si>
  <si>
    <t>Bitch, Donï¿½ï¿½ï¿½t Kill M</t>
  </si>
  <si>
    <t>DOLLAZ ON MY HEAD (feat. Young Thug)</t>
  </si>
  <si>
    <t>Pollito Amarillito</t>
  </si>
  <si>
    <t>Gallina Pintadita</t>
  </si>
  <si>
    <t>7 Summers</t>
  </si>
  <si>
    <t>Lollipop - Remix</t>
  </si>
  <si>
    <t>Wrong</t>
  </si>
  <si>
    <t>Luh Kel</t>
  </si>
  <si>
    <t>You're Somebody Else</t>
  </si>
  <si>
    <t>flora cash</t>
  </si>
  <si>
    <t>BOTH</t>
  </si>
  <si>
    <t>Extssy Model</t>
  </si>
  <si>
    <t>Formula</t>
  </si>
  <si>
    <t>Suzume</t>
  </si>
  <si>
    <t>RADWIMPS</t>
  </si>
  <si>
    <t>Nada</t>
  </si>
  <si>
    <t>Cazzu</t>
  </si>
  <si>
    <t>Ashes</t>
  </si>
  <si>
    <t>Stellar</t>
  </si>
  <si>
    <t>Copa Vacï¿½</t>
  </si>
  <si>
    <t>WHATS POPPIN (feat. DaBaby, Tory Lanez &amp;amp; Lil Wayne) - Remix</t>
  </si>
  <si>
    <t>Heyy</t>
  </si>
  <si>
    <t>Que Va</t>
  </si>
  <si>
    <t>Alex Sensation</t>
  </si>
  <si>
    <t>sonnenbank.mp3</t>
  </si>
  <si>
    <t>YAKARY</t>
  </si>
  <si>
    <t>Rampampam</t>
  </si>
  <si>
    <t>Minelli</t>
  </si>
  <si>
    <t>WA DA DA</t>
  </si>
  <si>
    <t>Seven Nation Army</t>
  </si>
  <si>
    <t>The White Stripes</t>
  </si>
  <si>
    <t>AHHH HA</t>
  </si>
  <si>
    <t>Do It Like That</t>
  </si>
  <si>
    <t>Nakhrewali</t>
  </si>
  <si>
    <t>Prashant Nakti</t>
  </si>
  <si>
    <t>BEBECITA</t>
  </si>
  <si>
    <t>Skolim</t>
  </si>
  <si>
    <t>Enjoy Enjaami</t>
  </si>
  <si>
    <t>Dhee</t>
  </si>
  <si>
    <t>Bezos I</t>
  </si>
  <si>
    <t>Bo Burnham</t>
  </si>
  <si>
    <t>Where Have You Been</t>
  </si>
  <si>
    <t>Pelle Coat</t>
  </si>
  <si>
    <t>JayO</t>
  </si>
  <si>
    <t>No Love</t>
  </si>
  <si>
    <t>Piensan</t>
  </si>
  <si>
    <t>Feels Like Summer</t>
  </si>
  <si>
    <t>Fly Away</t>
  </si>
  <si>
    <t>Don't</t>
  </si>
  <si>
    <t>Little Do You Know</t>
  </si>
  <si>
    <t>Alex &amp; Sierra</t>
  </si>
  <si>
    <t>Travesuras</t>
  </si>
  <si>
    <t>Mayor Que Usted</t>
  </si>
  <si>
    <t>Tï¿½ï¿½moignage (L</t>
  </si>
  <si>
    <t>Eunice Manyanga</t>
  </si>
  <si>
    <t>ALCH SI</t>
  </si>
  <si>
    <t>FARDOS</t>
  </si>
  <si>
    <t>JC Reyes</t>
  </si>
  <si>
    <t>Martini</t>
  </si>
  <si>
    <t>Favorite Song - Sped Up</t>
  </si>
  <si>
    <t>Out Of My Hands</t>
  </si>
  <si>
    <t>LOT OF ME</t>
  </si>
  <si>
    <t>Mil Veces</t>
  </si>
  <si>
    <t>Yaar Ka Sataya Hua Hai (feat. Nawazuddin Siddiqui)</t>
  </si>
  <si>
    <t>Members Only (feat. PARTYNEXTDOOR)</t>
  </si>
  <si>
    <t>King's Dead (with Kendrick Lamar &amp; Future)</t>
  </si>
  <si>
    <t>Jay Rock</t>
  </si>
  <si>
    <t>Aashiq Awaara (feat. Sunidhi Chauhan)</t>
  </si>
  <si>
    <t>Off The Record</t>
  </si>
  <si>
    <t>BABY SAID</t>
  </si>
  <si>
    <t>Gangstas</t>
  </si>
  <si>
    <t>Too Good</t>
  </si>
  <si>
    <t>Veggie Dance - Remix</t>
  </si>
  <si>
    <t>One Up</t>
  </si>
  <si>
    <t>idfc</t>
  </si>
  <si>
    <t>Revisando El Celu</t>
  </si>
  <si>
    <t>Not Ramaiya Vastavaiya (From "Jawan")</t>
  </si>
  <si>
    <t>Are You Going to See the Rose in the Vase, or the Dust on the Table</t>
  </si>
  <si>
    <t>Only Girl (In The World)</t>
  </si>
  <si>
    <t>OTW</t>
  </si>
  <si>
    <t>Who Needs Love</t>
  </si>
  <si>
    <t>We Laugh And Clap At The Circus</t>
  </si>
  <si>
    <t>Surgeon</t>
  </si>
  <si>
    <t>Hit Different</t>
  </si>
  <si>
    <t>Como En Los Viejos Tiempos</t>
  </si>
  <si>
    <t>Baby Car</t>
  </si>
  <si>
    <t>Rubicon Drill</t>
  </si>
  <si>
    <t>Laddi Chahal</t>
  </si>
  <si>
    <t>Un Cigarrillo</t>
  </si>
  <si>
    <t>Nhï¿½ï¿½ï¿½ Ngï¿½ï¿½ï¿½ï¿½ï¿½i Hay Nhï¿½ï¿½</t>
  </si>
  <si>
    <t>Chau Dang Khoa</t>
  </si>
  <si>
    <t>Birthday Sex</t>
  </si>
  <si>
    <t>Jeremih</t>
  </si>
  <si>
    <t>Sophie and the Giants</t>
  </si>
  <si>
    <t>Los Patitos</t>
  </si>
  <si>
    <t>Te Ire A Buscar</t>
  </si>
  <si>
    <t>DORA</t>
  </si>
  <si>
    <t>Better Place (From TROLLS Band Together)</t>
  </si>
  <si>
    <t>*NSYNC</t>
  </si>
  <si>
    <t>Spicy Margarita</t>
  </si>
  <si>
    <t>Tequila</t>
  </si>
  <si>
    <t>Energy</t>
  </si>
  <si>
    <t>Digga D</t>
  </si>
  <si>
    <t>Rockstar (2020 Remaster)</t>
  </si>
  <si>
    <t>Amorfoda</t>
  </si>
  <si>
    <t>Omoinotake</t>
  </si>
  <si>
    <t>Polaroid Love</t>
  </si>
  <si>
    <t>HONEY (ARE U COMING?)</t>
  </si>
  <si>
    <t>What A Man Gotta Do</t>
  </si>
  <si>
    <t>Gyal You a Party Animal - Sped Up</t>
  </si>
  <si>
    <t>Charly Black</t>
  </si>
  <si>
    <t>Do It Again</t>
  </si>
  <si>
    <t>Pia Mia</t>
  </si>
  <si>
    <t>Di Mochkila</t>
  </si>
  <si>
    <t>Oualid</t>
  </si>
  <si>
    <t>Lemon</t>
  </si>
  <si>
    <t>Margiela</t>
  </si>
  <si>
    <t>Ezhel</t>
  </si>
  <si>
    <t>Me and My Brother</t>
  </si>
  <si>
    <t>5ive</t>
  </si>
  <si>
    <t>How To Love</t>
  </si>
  <si>
    <t>A Tu Manera</t>
  </si>
  <si>
    <t>SNEAKERS</t>
  </si>
  <si>
    <t>FLECHAZO EN EL CENTRO</t>
  </si>
  <si>
    <t>YSY A</t>
  </si>
  <si>
    <t>LET THE WORLD BURN</t>
  </si>
  <si>
    <t>Chris Grey</t>
  </si>
  <si>
    <t>Solar Eclipse</t>
  </si>
  <si>
    <t>Before You Go - Guitar Acoustic</t>
  </si>
  <si>
    <t>ASAP</t>
  </si>
  <si>
    <t>No Switch</t>
  </si>
  <si>
    <t>How Did It End?</t>
  </si>
  <si>
    <t>Vivencias</t>
  </si>
  <si>
    <t>Kayz66</t>
  </si>
  <si>
    <t>Rude Boy (Superbowl Klean)</t>
  </si>
  <si>
    <t>DJ San</t>
  </si>
  <si>
    <t>Heatin Up (feat. Gunna)</t>
  </si>
  <si>
    <t>Sleazy Flow (with Lil Baby) - Remix</t>
  </si>
  <si>
    <t>SleazyWorld Go</t>
  </si>
  <si>
    <t>Run BTS</t>
  </si>
  <si>
    <t>Never Sleep (feat. Lil Baby)</t>
  </si>
  <si>
    <t>NAV</t>
  </si>
  <si>
    <t>Iï¿½ï¿½ï¿½m Ju</t>
  </si>
  <si>
    <t>Ryan Gosling</t>
  </si>
  <si>
    <t>Sugardaddy</t>
  </si>
  <si>
    <t>Roxy Dekker</t>
  </si>
  <si>
    <t>Wild Thoughts (feat. Rihanna &amp; Bryson Tiller)</t>
  </si>
  <si>
    <t>In Your Eyes (feat. Alida)</t>
  </si>
  <si>
    <t>ROLLIN N CONTROLLIN FREESTYLE</t>
  </si>
  <si>
    <t>DUSTY LOCANE</t>
  </si>
  <si>
    <t>GO (feat. Juice WRLD)</t>
  </si>
  <si>
    <t>Backyard Boy</t>
  </si>
  <si>
    <t>Claire Rosinkranz</t>
  </si>
  <si>
    <t>Bohemian Rhapsody</t>
  </si>
  <si>
    <t>Queen</t>
  </si>
  <si>
    <t>Back It up and Dump It (Dump Truck)</t>
  </si>
  <si>
    <t>GC Eternal</t>
  </si>
  <si>
    <t>Salamin, Salamin</t>
  </si>
  <si>
    <t>BINI</t>
  </si>
  <si>
    <t>Skyfall - Full Length</t>
  </si>
  <si>
    <t>Beautiful Girls</t>
  </si>
  <si>
    <t>Sean Kingston</t>
  </si>
  <si>
    <t>Saawariya</t>
  </si>
  <si>
    <t>Aastha Gill</t>
  </si>
  <si>
    <t>Mon amour</t>
  </si>
  <si>
    <t>Slimane</t>
  </si>
  <si>
    <t>ýýýýýýýýýýýýýý ýýýýýýýý</t>
  </si>
  <si>
    <t>ýýýýýýýýýýýý ýýýýýýýýýýýýýý</t>
  </si>
  <si>
    <t>ýýýýýýýýýý ýýýýýýýýýýýý (ýýýýýýýýýýýýýý)</t>
  </si>
  <si>
    <t>5ï¿½ï¿½ï¿</t>
  </si>
  <si>
    <t>Fly high to cloud nine</t>
  </si>
  <si>
    <t>Terry Flow</t>
  </si>
  <si>
    <t>Rainfall</t>
  </si>
  <si>
    <t>Tom Santa</t>
  </si>
  <si>
    <t>Por el Resto de Tu Vida</t>
  </si>
  <si>
    <t>Earth</t>
  </si>
  <si>
    <t>23 Preguntas</t>
  </si>
  <si>
    <t>Souk</t>
  </si>
  <si>
    <t>Samara</t>
  </si>
  <si>
    <t>Mi Gata</t>
  </si>
  <si>
    <t>Chillax</t>
  </si>
  <si>
    <t>ROZE | DJ TAO Turreo Sessions #22</t>
  </si>
  <si>
    <t>DJ Tao</t>
  </si>
  <si>
    <t>Bilmem Mi?</t>
  </si>
  <si>
    <t>Sefo</t>
  </si>
  <si>
    <t>Tattoo - Remix with Camilo</t>
  </si>
  <si>
    <t>Ready For Love</t>
  </si>
  <si>
    <t>Tombstone</t>
  </si>
  <si>
    <t>From the Start</t>
  </si>
  <si>
    <t>Good Kid</t>
  </si>
  <si>
    <t>Pyramide</t>
  </si>
  <si>
    <t>Werenoi</t>
  </si>
  <si>
    <t>ýýýýýýýýýýýýýýýý ýýýýýýýýýýýýýý</t>
  </si>
  <si>
    <t>Galibri &amp; Mavik</t>
  </si>
  <si>
    <t>Sobran Motivos</t>
  </si>
  <si>
    <t>Conjunto Rienda Real</t>
  </si>
  <si>
    <t>Tacata (Remix)</t>
  </si>
  <si>
    <t>Million Reasons</t>
  </si>
  <si>
    <t>Can't Have Mine</t>
  </si>
  <si>
    <t>supï¿½ï</t>
  </si>
  <si>
    <t>What Else Can I Do?</t>
  </si>
  <si>
    <t>Diane Guerrero</t>
  </si>
  <si>
    <t>YA NO TE EXTRAï¿½</t>
  </si>
  <si>
    <t>Yankee 150</t>
  </si>
  <si>
    <t>Yacht Club (feat. Juice WRLD)</t>
  </si>
  <si>
    <t>The One That Got Away</t>
  </si>
  <si>
    <t>La Romana</t>
  </si>
  <si>
    <t>Soltera - Remix</t>
  </si>
  <si>
    <t>Fine Day Anthem</t>
  </si>
  <si>
    <t>Aking Pahinga - Sped Up Version</t>
  </si>
  <si>
    <t>Dro Perez</t>
  </si>
  <si>
    <t>Big Jet Plane</t>
  </si>
  <si>
    <t>Restricted</t>
  </si>
  <si>
    <t>The American Dream Is Killing Me</t>
  </si>
  <si>
    <t>Sarah's Place (feat. Noah Kahan)</t>
  </si>
  <si>
    <t>Badass (From "Leo")</t>
  </si>
  <si>
    <t>Fuga Pa Cali 2</t>
  </si>
  <si>
    <t>Grupo Los de la O</t>
  </si>
  <si>
    <t>Pano</t>
  </si>
  <si>
    <t>Zack Tabudlo</t>
  </si>
  <si>
    <t>All The Parties (feat. Chief Keef)</t>
  </si>
  <si>
    <t>When I Was Your Man</t>
  </si>
  <si>
    <t>Cruise</t>
  </si>
  <si>
    <t>Florida Georgia Line</t>
  </si>
  <si>
    <t>Blood Sweat &amp; Tears</t>
  </si>
  <si>
    <t>All We Got (feat. KIDDO)</t>
  </si>
  <si>
    <t>Sinceramente</t>
  </si>
  <si>
    <t>DOLA</t>
  </si>
  <si>
    <t>ANGGA DERMAWAN</t>
  </si>
  <si>
    <t>Lie</t>
  </si>
  <si>
    <t>Love Shot</t>
  </si>
  <si>
    <t>EXO</t>
  </si>
  <si>
    <t>Have You Ever Seen The Rain</t>
  </si>
  <si>
    <t>Creedence Clearwater Revival</t>
  </si>
  <si>
    <t>Down In Atlanta</t>
  </si>
  <si>
    <t>Experimento</t>
  </si>
  <si>
    <t>Only</t>
  </si>
  <si>
    <t>Ginseng Strip 2002</t>
  </si>
  <si>
    <t>Yung Lean</t>
  </si>
  <si>
    <t>Good To Be</t>
  </si>
  <si>
    <t>My House</t>
  </si>
  <si>
    <t>Sun to Me</t>
  </si>
  <si>
    <t>Malicious Intentions</t>
  </si>
  <si>
    <t>Hours In Silence</t>
  </si>
  <si>
    <t>Title</t>
  </si>
  <si>
    <t>ID</t>
  </si>
  <si>
    <t>Bori</t>
  </si>
  <si>
    <t>El Perdedor</t>
  </si>
  <si>
    <t>Baller</t>
  </si>
  <si>
    <t>Remember That Night?</t>
  </si>
  <si>
    <t>Sara Kays</t>
  </si>
  <si>
    <t>Hummingbird (Metro Boomin &amp; James Blake)</t>
  </si>
  <si>
    <t>Tigini (Remix)</t>
  </si>
  <si>
    <t>Kikimoteleba</t>
  </si>
  <si>
    <t>ýý Isso Bebýý, Týý Certa!</t>
  </si>
  <si>
    <t>Sobredosis (feat. Ozuna)</t>
  </si>
  <si>
    <t>Bound 2</t>
  </si>
  <si>
    <t>Proteï¿½ï¿½ï¿½ï¿½o</t>
  </si>
  <si>
    <t>Tarcï¿½ï¿½sio do Acor</t>
  </si>
  <si>
    <t>Piï¿½ï¿½o de Vida L</t>
  </si>
  <si>
    <t>Japï¿½ï¿½</t>
  </si>
  <si>
    <t>COULD BE WRONG</t>
  </si>
  <si>
    <t>LOSTBOYJAY</t>
  </si>
  <si>
    <t>Night Away (Dance) (feat. Tion Wayne)</t>
  </si>
  <si>
    <t>A1 x J1</t>
  </si>
  <si>
    <t>Empire State Of Mind</t>
  </si>
  <si>
    <t>Paradise - Radio Edit</t>
  </si>
  <si>
    <t>All Eyes On You (feat. Chris Brown &amp; Nicki Minaj)</t>
  </si>
  <si>
    <t>Starboy - Live</t>
  </si>
  <si>
    <t>Bubalu</t>
  </si>
  <si>
    <t>ESCAPE PLAN</t>
  </si>
  <si>
    <t>TiK ToK</t>
  </si>
  <si>
    <t>Kesha</t>
  </si>
  <si>
    <t>The Banjo Beat, Pt. 1</t>
  </si>
  <si>
    <t>Sweet Venom</t>
  </si>
  <si>
    <t>Feel This Moment</t>
  </si>
  <si>
    <t>Ocean Drive</t>
  </si>
  <si>
    <t>Duke Dumont</t>
  </si>
  <si>
    <t>Love Story</t>
  </si>
  <si>
    <t>Disco Lines</t>
  </si>
  <si>
    <t>Feel Special</t>
  </si>
  <si>
    <t>Me Porto Bonito - Remix</t>
  </si>
  <si>
    <t>ELITE Djs</t>
  </si>
  <si>
    <t>Goin Baby</t>
  </si>
  <si>
    <t>Famous Friends</t>
  </si>
  <si>
    <t>Chris Young</t>
  </si>
  <si>
    <t>To the Bone</t>
  </si>
  <si>
    <t>Pamungkas</t>
  </si>
  <si>
    <t>Turn Me On (feat. Vula)</t>
  </si>
  <si>
    <t>Alkool</t>
  </si>
  <si>
    <t>Melinda Ademi</t>
  </si>
  <si>
    <t>Come Through (feat. Chris Brown)</t>
  </si>
  <si>
    <t>Mi Niï¿½</t>
  </si>
  <si>
    <t>Pretty Girls</t>
  </si>
  <si>
    <t>Frenna</t>
  </si>
  <si>
    <t>In This Darkness</t>
  </si>
  <si>
    <t>Clara La San</t>
  </si>
  <si>
    <t>Mama (with Skilla Baby &amp; Tay B)</t>
  </si>
  <si>
    <t>Rob49</t>
  </si>
  <si>
    <t>I'm A Star - From "Wish"</t>
  </si>
  <si>
    <t>Wish - Cast</t>
  </si>
  <si>
    <t>Sundress</t>
  </si>
  <si>
    <t>But I Got A Beer In My Hand</t>
  </si>
  <si>
    <t>Luke Bryan</t>
  </si>
  <si>
    <t>No Friends In The Industry</t>
  </si>
  <si>
    <t>Lahore Brand</t>
  </si>
  <si>
    <t>Mazhar Rahi</t>
  </si>
  <si>
    <t>Clouded</t>
  </si>
  <si>
    <t>Mua!</t>
  </si>
  <si>
    <t>Barracca Republic</t>
  </si>
  <si>
    <t>Day 'N' Nite (nightmare)</t>
  </si>
  <si>
    <t>El Gavilï¿½</t>
  </si>
  <si>
    <t>Shootout</t>
  </si>
  <si>
    <t>Izzamuzzic</t>
  </si>
  <si>
    <t>La kiffance</t>
  </si>
  <si>
    <t>Naps</t>
  </si>
  <si>
    <t>Tak Ingin Usai</t>
  </si>
  <si>
    <t>Keisya Levronka</t>
  </si>
  <si>
    <t>Wet (She Got Thatï¿½ï</t>
  </si>
  <si>
    <t>YFN Lucci</t>
  </si>
  <si>
    <t>Russ Millions</t>
  </si>
  <si>
    <t>VOID</t>
  </si>
  <si>
    <t>Lose It</t>
  </si>
  <si>
    <t>Through Fire</t>
  </si>
  <si>
    <t>Mercury: Retrograde</t>
  </si>
  <si>
    <t>Love You, Miss You, Mean It</t>
  </si>
  <si>
    <t>Last Night Lonely</t>
  </si>
  <si>
    <t>Jon Pardi</t>
  </si>
  <si>
    <t>MONEY ON THE DASH - SPED UP</t>
  </si>
  <si>
    <t>breathin</t>
  </si>
  <si>
    <t>Every Night</t>
  </si>
  <si>
    <t>Cracker Island (feat. Thundercat)</t>
  </si>
  <si>
    <t>Itï¿½ï¿½ï¿½s a beautif</t>
  </si>
  <si>
    <t>Trinix</t>
  </si>
  <si>
    <t>i'm so tired...</t>
  </si>
  <si>
    <t>Gata Only (Remix)</t>
  </si>
  <si>
    <t>Smoke Gets in Your Eyes</t>
  </si>
  <si>
    <t>The Platters</t>
  </si>
  <si>
    <t>so american</t>
  </si>
  <si>
    <t>Bus 11 - John Falke Remix</t>
  </si>
  <si>
    <t>Colouour</t>
  </si>
  <si>
    <t>Love Galore</t>
  </si>
  <si>
    <t>Takeaway</t>
  </si>
  <si>
    <t>Needed Me</t>
  </si>
  <si>
    <t>NUMB</t>
  </si>
  <si>
    <t>Halo</t>
  </si>
  <si>
    <t>Aman Gï¿½ï¿½zel Yavaï¿½ï¿</t>
  </si>
  <si>
    <t>Halodayï¿</t>
  </si>
  <si>
    <t>"ýýýýýý ýýýýýýýýýý "ýýýýýýýýýýýý ýýýý ýýýýýýýýýýýý</t>
  </si>
  <si>
    <t>Myriam Fares</t>
  </si>
  <si>
    <t>Body (feat. Cash Cobain)</t>
  </si>
  <si>
    <t>Aquel Nap ZzZz</t>
  </si>
  <si>
    <t>Talk My Shit</t>
  </si>
  <si>
    <t>BossMan Dlow</t>
  </si>
  <si>
    <t>Besos En Guerra</t>
  </si>
  <si>
    <t>Tucson Too Late</t>
  </si>
  <si>
    <t>SWIPE</t>
  </si>
  <si>
    <t>ALYPH</t>
  </si>
  <si>
    <t>The Scientist</t>
  </si>
  <si>
    <t>DANï¿½ï¿½ARINA (feat. Nicky Jam, MC Pedrinho) - R</t>
  </si>
  <si>
    <t>Butter Pecan</t>
  </si>
  <si>
    <t>Back to the Beat</t>
  </si>
  <si>
    <t>DJ TikTok</t>
  </si>
  <si>
    <t>Picky</t>
  </si>
  <si>
    <t>Banda Coraleï¿½</t>
  </si>
  <si>
    <t>DEUTSCHLAND</t>
  </si>
  <si>
    <t>Rammstein</t>
  </si>
  <si>
    <t>Hot In It</t>
  </si>
  <si>
    <t>Fazendinha</t>
  </si>
  <si>
    <t>Mundo Bita</t>
  </si>
  <si>
    <t>SHOOTING STAR</t>
  </si>
  <si>
    <t>Ruper Jadu</t>
  </si>
  <si>
    <t>Alvee</t>
  </si>
  <si>
    <t>Uff Mi Amor</t>
  </si>
  <si>
    <t>ALMAS GEMELAS</t>
  </si>
  <si>
    <t>Saturno</t>
  </si>
  <si>
    <t>Pablo Alborï¿½</t>
  </si>
  <si>
    <t>Paulo Londra: Bzrp Music Sessions, Vol. 23</t>
  </si>
  <si>
    <t>vice city</t>
  </si>
  <si>
    <t>Your Heart Or Mine</t>
  </si>
  <si>
    <t>Alors on danse</t>
  </si>
  <si>
    <t>Stromae</t>
  </si>
  <si>
    <t>LosT</t>
  </si>
  <si>
    <t>Check It Out</t>
  </si>
  <si>
    <t>Parmish Verma</t>
  </si>
  <si>
    <t>SOLO</t>
  </si>
  <si>
    <t>Good For You</t>
  </si>
  <si>
    <t>Sigues Con El</t>
  </si>
  <si>
    <t xml:space="preserve">Looking For The Hoes (Ainï¿½ï¿½ï¿½t My </t>
  </si>
  <si>
    <t>Jefe</t>
  </si>
  <si>
    <t>Ninho</t>
  </si>
  <si>
    <t>Tip Toe (feat. French Montana)</t>
  </si>
  <si>
    <t>Vamp Anthem</t>
  </si>
  <si>
    <t>Small Town Boy</t>
  </si>
  <si>
    <t>Dustin Lynch</t>
  </si>
  <si>
    <t>do re mi</t>
  </si>
  <si>
    <t>You're Gonna Go Far, Kid</t>
  </si>
  <si>
    <t>The Offspring</t>
  </si>
  <si>
    <t>Plug Walk</t>
  </si>
  <si>
    <t>RON COLA</t>
  </si>
  <si>
    <t>Hide Away</t>
  </si>
  <si>
    <t>Daya</t>
  </si>
  <si>
    <t>Unsteady</t>
  </si>
  <si>
    <t>X Ambassadors</t>
  </si>
  <si>
    <t>ýýýýýýýý</t>
  </si>
  <si>
    <t>Jah Khalib</t>
  </si>
  <si>
    <t>Fall in Love with You.</t>
  </si>
  <si>
    <t>Chamber Of Reflection</t>
  </si>
  <si>
    <t>Mac DeMarco</t>
  </si>
  <si>
    <t>Watermelon Moonshine</t>
  </si>
  <si>
    <t>Tighten Up</t>
  </si>
  <si>
    <t>Renzo Pianciola</t>
  </si>
  <si>
    <t>CAN'T SAY</t>
  </si>
  <si>
    <t>Think I'm In Love With You</t>
  </si>
  <si>
    <t>Pursuit Of Happiness (nightmare)</t>
  </si>
  <si>
    <t>Central ce</t>
  </si>
  <si>
    <t>Do What I Want</t>
  </si>
  <si>
    <t>There I Go (feat. J. Cole &amp; Mike WiLL Made-It)</t>
  </si>
  <si>
    <t>Tum Se (From "Teri Baaton Mein Aisa Uljha Jiya")</t>
  </si>
  <si>
    <t>Hero</t>
  </si>
  <si>
    <t>Param Pom</t>
  </si>
  <si>
    <t>TAIRA</t>
  </si>
  <si>
    <t>JAGERMEISTER</t>
  </si>
  <si>
    <t>Ice Beats Slide</t>
  </si>
  <si>
    <t>BIG BANK (feat. 2 Chainz, Big Sean, Nicki Minaj)</t>
  </si>
  <si>
    <t>Bï¿½ï¿½ï¿½n ï¿½ï¿½ï¿½ï¿½ï¿½</t>
  </si>
  <si>
    <t>Karik</t>
  </si>
  <si>
    <t>Drifting</t>
  </si>
  <si>
    <t>Over the Rainbow</t>
  </si>
  <si>
    <t>Israel Kamakawiwo'ole</t>
  </si>
  <si>
    <t>Losin Control</t>
  </si>
  <si>
    <t>Onana</t>
  </si>
  <si>
    <t>Jey One</t>
  </si>
  <si>
    <t>Daechwita</t>
  </si>
  <si>
    <t>Agust D</t>
  </si>
  <si>
    <t>Como Si No Importara</t>
  </si>
  <si>
    <t>Rags2Riches (feat. ATR Son Son)</t>
  </si>
  <si>
    <t>Quickie</t>
  </si>
  <si>
    <t>Vultures</t>
  </si>
  <si>
    <t>MY HOUSE</t>
  </si>
  <si>
    <t>The Thin Grey Line</t>
  </si>
  <si>
    <t>Alo</t>
  </si>
  <si>
    <t>corwinn</t>
  </si>
  <si>
    <t>Fear Of Heights</t>
  </si>
  <si>
    <t>Desde Mis Ojos - Remix</t>
  </si>
  <si>
    <t>Chris Lebron</t>
  </si>
  <si>
    <t>Prayer in C - Robin Schulz Radio Edit</t>
  </si>
  <si>
    <t>Lilly Wood and The Prick</t>
  </si>
  <si>
    <t>Bam Lagatar</t>
  </si>
  <si>
    <t>Khushi Kakkar</t>
  </si>
  <si>
    <t>Who Is Your Guy? - Remix</t>
  </si>
  <si>
    <t>Rover</t>
  </si>
  <si>
    <t>KAI</t>
  </si>
  <si>
    <t>Slimed In</t>
  </si>
  <si>
    <t>Gentleman</t>
  </si>
  <si>
    <t>SUGAR</t>
  </si>
  <si>
    <t>BROCKHAMPTON</t>
  </si>
  <si>
    <t>Everybody Talks</t>
  </si>
  <si>
    <t>Neon Trees</t>
  </si>
  <si>
    <t>OKLOSER</t>
  </si>
  <si>
    <t>Pump It Up</t>
  </si>
  <si>
    <t>Endor</t>
  </si>
  <si>
    <t>Standing Room Only</t>
  </si>
  <si>
    <t>Tim McGraw</t>
  </si>
  <si>
    <t>WINE</t>
  </si>
  <si>
    <t>Back To Back (feat. Future)</t>
  </si>
  <si>
    <t>Shotta Flow</t>
  </si>
  <si>
    <t>Baddest</t>
  </si>
  <si>
    <t>Cigarettes</t>
  </si>
  <si>
    <t>bad</t>
  </si>
  <si>
    <t>wave to earth</t>
  </si>
  <si>
    <t>ISABELLE</t>
  </si>
  <si>
    <t>Cure For Me</t>
  </si>
  <si>
    <t>Tï¿½ï¿½ï¿½n</t>
  </si>
  <si>
    <t>Wren Evans</t>
  </si>
  <si>
    <t>Pistoleta</t>
  </si>
  <si>
    <t>Olexesh</t>
  </si>
  <si>
    <t>LOYALTY. FEAT. RIHANNA.</t>
  </si>
  <si>
    <t>Deep in the Water</t>
  </si>
  <si>
    <t>Endless Fashion (feat. Nicki Minaj)</t>
  </si>
  <si>
    <t>A Mimir En El Chat</t>
  </si>
  <si>
    <t>Dejavu FF</t>
  </si>
  <si>
    <t>Temporary pyar</t>
  </si>
  <si>
    <t>AA</t>
  </si>
  <si>
    <t>Phir Bhi Tumko Chaahunga</t>
  </si>
  <si>
    <t>Mithoon</t>
  </si>
  <si>
    <t>Passinho Debochado</t>
  </si>
  <si>
    <t>Dan Ventura</t>
  </si>
  <si>
    <t>Go Hard</t>
  </si>
  <si>
    <t>La La La (Brazil 2014)</t>
  </si>
  <si>
    <t>i'm yours sped up</t>
  </si>
  <si>
    <t>Ruaan (From "Tiger 3")</t>
  </si>
  <si>
    <t>Summer of Love (Shawn Mendes &amp; Tainy)</t>
  </si>
  <si>
    <t>God of Music</t>
  </si>
  <si>
    <t>ýýýH+3+ýýýýýýý7luCJIo0T6...</t>
  </si>
  <si>
    <t>vyrval</t>
  </si>
  <si>
    <t>Embarrassed (feat. Travis Scott)</t>
  </si>
  <si>
    <t>Carrying Your Love</t>
  </si>
  <si>
    <t>David Morris</t>
  </si>
  <si>
    <t>Dueles</t>
  </si>
  <si>
    <t>Jesse &amp; Joy</t>
  </si>
  <si>
    <t>Tipo Hollywood</t>
  </si>
  <si>
    <t>Mc Ws da leste</t>
  </si>
  <si>
    <t>Oye</t>
  </si>
  <si>
    <t>LuckReaper</t>
  </si>
  <si>
    <t>She Don't Give a Fo</t>
  </si>
  <si>
    <t>085 - Ao Vivo</t>
  </si>
  <si>
    <t>MODELITO</t>
  </si>
  <si>
    <t>Los animales en el autobï¿½</t>
  </si>
  <si>
    <t>Luli Pampï¿½</t>
  </si>
  <si>
    <t>Would You (go to bed with me?)</t>
  </si>
  <si>
    <t>Campbell</t>
  </si>
  <si>
    <t>Easy</t>
  </si>
  <si>
    <t>DaniLeigh</t>
  </si>
  <si>
    <t>ýýýýýýýýýý ýýýý ýýýýýýýýýýýý ýýýýýýýýýýýýýý</t>
  </si>
  <si>
    <t>Eslam Kabonga</t>
  </si>
  <si>
    <t>UNTOUCHABLE</t>
  </si>
  <si>
    <t>Dj Terompet Pemersatu Bangsa</t>
  </si>
  <si>
    <t>PAMOKHOL ID</t>
  </si>
  <si>
    <t>YOSEMITE</t>
  </si>
  <si>
    <t>Demasiadas Mujeres</t>
  </si>
  <si>
    <t>T-Shirt</t>
  </si>
  <si>
    <t>Pretty Savage</t>
  </si>
  <si>
    <t>Mann Bharryaa 2.0 (From "Shershaah")</t>
  </si>
  <si>
    <t>Feel So Close - Radio Edit</t>
  </si>
  <si>
    <t>Got What I Got</t>
  </si>
  <si>
    <t>Instant Crush (feat. Julian Casablancas)</t>
  </si>
  <si>
    <t>Daft Punk</t>
  </si>
  <si>
    <t>Young</t>
  </si>
  <si>
    <t>Vacations</t>
  </si>
  <si>
    <t>Genius (feat. Sia, Diplo, and Labrinth)</t>
  </si>
  <si>
    <t>Holy Ghost</t>
  </si>
  <si>
    <t>red sky</t>
  </si>
  <si>
    <t>Puntos Suspensivos</t>
  </si>
  <si>
    <t>Taboo</t>
  </si>
  <si>
    <t>MALA SANTA</t>
  </si>
  <si>
    <t>She Make It Clap</t>
  </si>
  <si>
    <t>Soulja Boy</t>
  </si>
  <si>
    <t>Who I Am</t>
  </si>
  <si>
    <t>Nature Sounds with Music: Inspiring Thunder and Rain with Relaxing Music</t>
  </si>
  <si>
    <t>Jamie Llewellyn</t>
  </si>
  <si>
    <t>counting stars (speed up) - Remix</t>
  </si>
  <si>
    <t>Muppet DJ</t>
  </si>
  <si>
    <t>Illegal Weapon 2.0 (From "Street Dancer 3D")</t>
  </si>
  <si>
    <t>Jasmine Sandlas</t>
  </si>
  <si>
    <t>Nobody Like U - From "Turning Red"</t>
  </si>
  <si>
    <t>4*TOWN (From Disney and Pixarï¿½ï¿½ï¿½s Turnin</t>
  </si>
  <si>
    <t>MAN WITH A MISSION</t>
  </si>
  <si>
    <t>Hep Mi Ben</t>
  </si>
  <si>
    <t>Ayaz Erdoï¿½ï</t>
  </si>
  <si>
    <t>02.02.99</t>
  </si>
  <si>
    <t>A LA ORDEN</t>
  </si>
  <si>
    <t>Speechless (Full)</t>
  </si>
  <si>
    <t>Naomi Scott</t>
  </si>
  <si>
    <t>Big Gangsta</t>
  </si>
  <si>
    <t>Renegades</t>
  </si>
  <si>
    <t>Snow (Hey Oh)</t>
  </si>
  <si>
    <t>People (feat. Ayra Starr &amp; Omah Lay)</t>
  </si>
  <si>
    <t>Mirror</t>
  </si>
  <si>
    <t>Loca - Remix</t>
  </si>
  <si>
    <t>KHEA</t>
  </si>
  <si>
    <t>Cuando La Vida Sea Trago</t>
  </si>
  <si>
    <t>Ocean (feat. Khalid)</t>
  </si>
  <si>
    <t>life gets hard</t>
  </si>
  <si>
    <t>iilliaa</t>
  </si>
  <si>
    <t>Por Clave el 13</t>
  </si>
  <si>
    <t>Betillo Guerrero</t>
  </si>
  <si>
    <t>Cena Engraï¿½ï¿½ada e Inusi</t>
  </si>
  <si>
    <t>HarmonicoHCO</t>
  </si>
  <si>
    <t>Cold Heart (Claptone Remix)</t>
  </si>
  <si>
    <t>You should be sad</t>
  </si>
  <si>
    <t>Train Wreck</t>
  </si>
  <si>
    <t>Show of Hands</t>
  </si>
  <si>
    <t>Dancing Feet (feat. DNCE)</t>
  </si>
  <si>
    <t>Ranjha (From "Shershaah")</t>
  </si>
  <si>
    <t>7 Minute Drill</t>
  </si>
  <si>
    <t>You Belong With Me (Taylorï¿½ï¿½ï¿½s Ve</t>
  </si>
  <si>
    <t>Bounce Back</t>
  </si>
  <si>
    <t>Sing Me to Sleep</t>
  </si>
  <si>
    <t>Fadeaway</t>
  </si>
  <si>
    <t>BCD Studio</t>
  </si>
  <si>
    <t>Never Last</t>
  </si>
  <si>
    <t>Say Don't Go (Taylor's Version) (From The Vault)</t>
  </si>
  <si>
    <t>Super Bass</t>
  </si>
  <si>
    <t>Ex's &amp; Oh's</t>
  </si>
  <si>
    <t>Boys</t>
  </si>
  <si>
    <t>Chorei na Vaquejada</t>
  </si>
  <si>
    <t>Eric Land</t>
  </si>
  <si>
    <t>Zarzour</t>
  </si>
  <si>
    <t>Lartiste</t>
  </si>
  <si>
    <t>Ella</t>
  </si>
  <si>
    <t>REPEAT IT</t>
  </si>
  <si>
    <t>Teri Aankhon Mein</t>
  </si>
  <si>
    <t>Way Back Home</t>
  </si>
  <si>
    <t>SHAUN</t>
  </si>
  <si>
    <t>NDA</t>
  </si>
  <si>
    <t>Casper</t>
  </si>
  <si>
    <t>Takeoff</t>
  </si>
  <si>
    <t>DANï¿½ï¿½A</t>
  </si>
  <si>
    <t>Cry Baby (feat. DaBaby)</t>
  </si>
  <si>
    <t>Cumbia Buena</t>
  </si>
  <si>
    <t>Grupo la Cumbia</t>
  </si>
  <si>
    <t>YolyBoy</t>
  </si>
  <si>
    <t>8 Raflaan (feat. Gurlez Akhtar)</t>
  </si>
  <si>
    <t>DFMU</t>
  </si>
  <si>
    <t>Slippery (feat. Gucci Mane)</t>
  </si>
  <si>
    <t>Woo Baby (feat. Chris Brown)</t>
  </si>
  <si>
    <t>Haegeum</t>
  </si>
  <si>
    <t>Sisa Rasa</t>
  </si>
  <si>
    <t>Don't Rush (feat. Headie One)</t>
  </si>
  <si>
    <t>Young T &amp; Bugsey</t>
  </si>
  <si>
    <t>The Heart Part 5</t>
  </si>
  <si>
    <t>A Ella</t>
  </si>
  <si>
    <t>Nachts wach</t>
  </si>
  <si>
    <t>Miksu / Macloud</t>
  </si>
  <si>
    <t>Superpowers</t>
  </si>
  <si>
    <t>Who's Laughing Now</t>
  </si>
  <si>
    <t>2 Million Up</t>
  </si>
  <si>
    <t>Peezy</t>
  </si>
  <si>
    <t>In the morning</t>
  </si>
  <si>
    <t>Such a Whore (Stellular Remix)</t>
  </si>
  <si>
    <t>JVLA</t>
  </si>
  <si>
    <t>Lamis Kan</t>
  </si>
  <si>
    <t>quï¿½ï¿½ le pasa conm</t>
  </si>
  <si>
    <t>Medusa</t>
  </si>
  <si>
    <t>SEJODIOTO</t>
  </si>
  <si>
    <t>Luminary</t>
  </si>
  <si>
    <t>Joel Sunny</t>
  </si>
  <si>
    <t>Welcome To The Party</t>
  </si>
  <si>
    <t>All Night Longer</t>
  </si>
  <si>
    <t>seyhqnsert</t>
  </si>
  <si>
    <t>ARRANCARMELO</t>
  </si>
  <si>
    <t>WOS</t>
  </si>
  <si>
    <t>Mast Malang Jhoom (From "Bade Miyan Chote Miyan - Kannada")</t>
  </si>
  <si>
    <t>Uno</t>
  </si>
  <si>
    <t>Ambjaay</t>
  </si>
  <si>
    <t>Country Girl (Shake It For Me)</t>
  </si>
  <si>
    <t>Dawai (From "Air Mata Di Ujung Sajadah")</t>
  </si>
  <si>
    <t>Fadhilah Intan</t>
  </si>
  <si>
    <t>The Greatest Show</t>
  </si>
  <si>
    <t>Hugh Jackman</t>
  </si>
  <si>
    <t>ýýýýýýýýýýýý (White Flag)</t>
  </si>
  <si>
    <t>NONT TANONT</t>
  </si>
  <si>
    <t>Hood By Air Freestyle</t>
  </si>
  <si>
    <t>Baby Flaco</t>
  </si>
  <si>
    <t>Stupid Love</t>
  </si>
  <si>
    <t>ACHO PR</t>
  </si>
  <si>
    <t>ATM</t>
  </si>
  <si>
    <t>Di Que Si</t>
  </si>
  <si>
    <t>Doin' Time</t>
  </si>
  <si>
    <t>Come &amp; Get It</t>
  </si>
  <si>
    <t>Por Fin Te Encontrï¿</t>
  </si>
  <si>
    <t>Cali Y El Dandee</t>
  </si>
  <si>
    <t>I.F.L.Y.</t>
  </si>
  <si>
    <t>Crazy Story</t>
  </si>
  <si>
    <t>CARNAL</t>
  </si>
  <si>
    <t>AirBnb</t>
  </si>
  <si>
    <t>LOS PITS</t>
  </si>
  <si>
    <t>Queen of Mean</t>
  </si>
  <si>
    <t>Sarah Jeffery</t>
  </si>
  <si>
    <t>Minefields</t>
  </si>
  <si>
    <t>Faouzia</t>
  </si>
  <si>
    <t>my future</t>
  </si>
  <si>
    <t>The Way I Are</t>
  </si>
  <si>
    <t>Timbaland</t>
  </si>
  <si>
    <t>God is a woman</t>
  </si>
  <si>
    <t>SNAP - High and Fast</t>
  </si>
  <si>
    <t>Supera</t>
  </si>
  <si>
    <t>Tu Juliet Jatt Di ( From "Jatt &amp; Juliet 3")</t>
  </si>
  <si>
    <t>When I Grow Up</t>
  </si>
  <si>
    <t>Pa Mi</t>
  </si>
  <si>
    <t>Tera Fitoor</t>
  </si>
  <si>
    <t>B.S. (feat. H.E.R.)</t>
  </si>
  <si>
    <t>Traicionera</t>
  </si>
  <si>
    <t>Already Dead</t>
  </si>
  <si>
    <t>Kokomo</t>
  </si>
  <si>
    <t>The Beach Boys</t>
  </si>
  <si>
    <t>Cham Cham</t>
  </si>
  <si>
    <t>Meet Bros.</t>
  </si>
  <si>
    <t>Willy Paul</t>
  </si>
  <si>
    <t>What's Love Got to Do with It</t>
  </si>
  <si>
    <t>TV Shapes</t>
  </si>
  <si>
    <t>Bubbatrees</t>
  </si>
  <si>
    <t>Delilah (pull me out of this)</t>
  </si>
  <si>
    <t>Outside Today</t>
  </si>
  <si>
    <t>Don't You Worry Child - Radio Edit</t>
  </si>
  <si>
    <t>Focus</t>
  </si>
  <si>
    <t>Fuentes de Ortiz</t>
  </si>
  <si>
    <t>Ed Maverick</t>
  </si>
  <si>
    <t>Freezing</t>
  </si>
  <si>
    <t>purpl</t>
  </si>
  <si>
    <t>NASTY</t>
  </si>
  <si>
    <t>Mama's Boy</t>
  </si>
  <si>
    <t>Welcome To Brixton</t>
  </si>
  <si>
    <t>SR</t>
  </si>
  <si>
    <t>DArkSide</t>
  </si>
  <si>
    <t>MEMORIES!</t>
  </si>
  <si>
    <t>Morado</t>
  </si>
  <si>
    <t>The Hillbillies</t>
  </si>
  <si>
    <t>Serranow</t>
  </si>
  <si>
    <t>Asesina - Remix</t>
  </si>
  <si>
    <t>Braten</t>
  </si>
  <si>
    <t>Steps</t>
  </si>
  <si>
    <t>Dayanamï¿½ï¿½y</t>
  </si>
  <si>
    <t>Kerim Araz</t>
  </si>
  <si>
    <t>Happiest Year</t>
  </si>
  <si>
    <t>3 Haselnï¿½ï¿</t>
  </si>
  <si>
    <t>Jaques Raupï¿</t>
  </si>
  <si>
    <t>Jaragandi (From "Game Changer") (Telugu)</t>
  </si>
  <si>
    <t>ýýýýýýýýýýýý (ýýýýýýýýýýýýýý ýýýýýýýýýýýý) [prod. by wex &amp; heysubr]</t>
  </si>
  <si>
    <t>BUSHIDO ZHO</t>
  </si>
  <si>
    <t>For the Last Time</t>
  </si>
  <si>
    <t>Dil Meri Na Sune</t>
  </si>
  <si>
    <t>Grace (feat. 42 Dugg)</t>
  </si>
  <si>
    <t>Nashe Si Chadh Gayi</t>
  </si>
  <si>
    <t>Me Acostumbre (feat. Bad Bunny)</t>
  </si>
  <si>
    <t>After 2020</t>
  </si>
  <si>
    <t>2010-2020</t>
  </si>
  <si>
    <t>Before 2010</t>
  </si>
  <si>
    <t>Descriptive Statistics --- Most Streamed Spotify Songs 2024</t>
  </si>
  <si>
    <t>Variable</t>
  </si>
  <si>
    <t>Count</t>
  </si>
  <si>
    <t>Mean</t>
  </si>
  <si>
    <t>Median</t>
  </si>
  <si>
    <t>Standard Deviation</t>
  </si>
  <si>
    <t>Minimum</t>
  </si>
  <si>
    <t>Maximum</t>
  </si>
  <si>
    <t>Range</t>
  </si>
  <si>
    <t xml:space="preserve">Spotify Popularity </t>
  </si>
  <si>
    <t>Youtude View</t>
  </si>
  <si>
    <t>Youtude Likes</t>
  </si>
  <si>
    <t>Tiktok Views</t>
  </si>
  <si>
    <t>Categorical Variables</t>
  </si>
  <si>
    <t>Mode</t>
  </si>
  <si>
    <t>Number of Categories</t>
  </si>
  <si>
    <t>Explicit Songs</t>
  </si>
  <si>
    <t>Not Explicit</t>
  </si>
  <si>
    <t>Explicit</t>
  </si>
  <si>
    <t>Grand Total</t>
  </si>
  <si>
    <t>Dates Grouped</t>
  </si>
  <si>
    <t>Frequency Table --- Most Streamed Spotify Songs 2024</t>
  </si>
  <si>
    <t>Category</t>
  </si>
  <si>
    <t>Relative Frequency</t>
  </si>
  <si>
    <t>Not Explicit (0)</t>
  </si>
  <si>
    <t>Explicit (1)</t>
  </si>
  <si>
    <t>Total</t>
  </si>
  <si>
    <t>Date Grouped (Release Era)</t>
  </si>
  <si>
    <t>Assignement 3 Commentary:</t>
  </si>
  <si>
    <t>Question 1: Overall structure of the data: Are there any missing values, outliers, or surprising distributions? How did you have to clean the data to analyze it?</t>
  </si>
  <si>
    <t>Question 2: Trends or patterns you observe, if any: (E.g.: Are any categories overly dominant or underrepresented?)</t>
  </si>
  <si>
    <t>Question 3: Relationships you’re curious about (if any).</t>
  </si>
  <si>
    <t>Question 4: Initial questions or hypotheses: Based on what you see, what might you want to explore next?</t>
  </si>
  <si>
    <t>Answer 1: In our initial chart "Most Streamed Spotify songs 2024", several categories included entries which were completely missing from the data set. Our first step to cleaning out our data was to filter out the empty fields and remove some of the columns with highest percentage of missing fields, including: Sirius XM Spins (46% blank) and Tiktok Views (21% blank). We had to therefore drop rows (songs) with any missing variables, leaving our total dataset from 4600 songs to 2134 songs after the data was cleaned up. </t>
  </si>
  <si>
    <t>Answer 2: Explicit and non-explicit music in the cleaned chart have a balanced split of 40-60%, which is pretty reasonable. The only bias in our data set is against older music (pre-2010), as songs before 2010 are barely represented at 2.4% of the data. Songs from 2010-2020 and post-2020 have an even spread in the data set (48.8% each). This makes sense as the dataset was created around 2024 streaming activity, therefore songs in newer eras should have higher numbers in certain categories, especially Tiktok, since majority of the users on that application are Gen-Z. Older generations, who prefer older generation music, may also resort to different ways of consuming their music opposed from streaming, such as physical record purchases and CDs. </t>
  </si>
  <si>
    <t>Answer 3: According to the r values from our data set, Tiktok Views surprisingly does not have a strong correlation to the other platforms. The correlation of Tiktok to Spotify streams and Youtube views is almost zero (r = 0.04 and 0.02 respectively). In comparison, Spotify and Youtube have a significantly stronger correlation (r= 0.51). This is very important early sign, as this can prove that a song going viral on Tiktok does not necessarily correlate success in the other platforms. </t>
  </si>
  <si>
    <t xml:space="preserve">Answer 4: I am curious to understand further why Tiktok has a low correlation to the other platforms. Some of the questions include: </t>
  </si>
  <si>
    <t xml:space="preserve">1) What are different age groups' preferred method of music consumption: (Physical records, Youtube, Paid Subscription at a Digital Streaming Platform, etc.). Once that data is found, can we see any patterns that may indicate why songs pre-2010 era do not appear in the list as much compared to the other decades. This could also show a correlation between age and our Tiktok view category, as songs specifically catered towards a certain generation might do the best in that particular method of music consumption. </t>
  </si>
  <si>
    <t xml:space="preserve">2) I am still curious to know why Tiktok Views has a low correlation to the other platforms. Do laws skew data for certain platforms? For example, I know Tiktok is completely banned in India, therefore Youtube is the most popular method of music consumption for the younger generations atleast. Any musical artist would then promote their music on Reels instead of Tiktok to attract the Indian crowd, which would obviously skew our data. China on the other hand, only uses Tiktok as an official platform, banning all other platforms in the country. </t>
  </si>
  <si>
    <t xml:space="preserve">3) I want to explore more on why the correlation between Spotify and Youtube is so high. What reasons or connections can we get from these applications? In what countries are these two applications specifically being used the most, and is there any correlation for that data? </t>
  </si>
  <si>
    <t>Our eight continuous variables in the dataset did not come close to a normal distribution surprisingly, as the skewness ranged from -2.48 for certain variables to as high as 30.58 (for the Tiktok Views). Every variable also had a kurtosis score above 3, meaning heavy tails and clustering compared to the bell shaped curve of a normal distribution chart. With that being said, we need to hold a higher regard for the spotify popularity column in our cleaned data, even though we had initally gave less importance to this variable. Those scores still give us real world meaning to use towards practical decisions. We know that 5.7% of the total songs score above 80% in popularity, which sets a realistic standard for what data behind a successful song release should appear as and paints a picture for music labels developing a new artist. 82% of the total songs are in the popularity range of 60-80% range. A music label who has invested in an artist, should probably expect atleast 60% in terms of popularity rank in order to continue investing. Any artist who consistently misses the 60% mark may not be the "global star" the label was expecting at first. Anyone below 60% obviously has done a significant job by even making it to this chart, but may possibly be a "one hit wonder" or may not be able to reach their potential successfully.</t>
  </si>
  <si>
    <t>Standard Error</t>
  </si>
  <si>
    <t>Sample Variance</t>
  </si>
  <si>
    <t>Kurtosis</t>
  </si>
  <si>
    <t>Skewness</t>
  </si>
  <si>
    <t>Sum</t>
  </si>
  <si>
    <t>Youtube Likes</t>
  </si>
  <si>
    <t>Std Dev</t>
  </si>
  <si>
    <t>This variable is skewed right which is consistent with the higher mean than median and the positive skewness.</t>
  </si>
  <si>
    <t>Tik Tok Views</t>
  </si>
  <si>
    <t>This variable is skewed right which is consistent with the higher mean than median and the positive skewness. This would mean that this variable is not normal.</t>
  </si>
  <si>
    <t>Spotify Popularity Count</t>
  </si>
  <si>
    <t>This variable is skewed right which is consistent with the higher median than mean and the negative skewness. This would mean that this variable is not normal.</t>
  </si>
  <si>
    <t>Youtube Views</t>
  </si>
  <si>
    <t>Probability Scenarios — Spotify Popularity Score</t>
  </si>
  <si>
    <t>Variable chosen:</t>
  </si>
  <si>
    <t>Why this variable:</t>
  </si>
  <si>
    <t>Distribution check</t>
  </si>
  <si>
    <t>Count (n)</t>
  </si>
  <si>
    <t>Standard Deviation (sample)</t>
  </si>
  <si>
    <t>Conclusion</t>
  </si>
  <si>
    <t>Problem 1</t>
  </si>
  <si>
    <t>Problem statement:</t>
  </si>
  <si>
    <t>Method used:</t>
  </si>
  <si>
    <t>Count where score &gt; 80:</t>
  </si>
  <si>
    <t>Final probability answer:</t>
  </si>
  <si>
    <t>Explanation:</t>
  </si>
  <si>
    <t>Problem 2</t>
  </si>
  <si>
    <t>Empirical distribution (percentile/relative frequency), because the variable is non-normal.</t>
  </si>
  <si>
    <t>Count where score &lt; 50:</t>
  </si>
  <si>
    <t>Problem 3</t>
  </si>
  <si>
    <t>Count where 60 &lt;= score &lt;= 80:</t>
  </si>
  <si>
    <t>GenAI Usage &amp; Citation</t>
  </si>
  <si>
    <t>How GenAI was used:</t>
  </si>
  <si>
    <t>Citation:</t>
  </si>
  <si>
    <t>Anthropic. (2026). Claude (Sonnet, July 26, 2026 version) [Large language model]. https://claude.ai</t>
  </si>
  <si>
    <t>Continuous Variables</t>
  </si>
  <si>
    <t>Probability Commentary:</t>
  </si>
  <si>
    <t xml:space="preserve">   </t>
  </si>
  <si>
    <t xml:space="preserve">  </t>
  </si>
  <si>
    <t>This reveals that the categories After 2020 and 2010-2020 are split almost evenly, with both at approximately 49%.</t>
  </si>
  <si>
    <t>This reveals that approximately 60% of the songs are not explicit and 40% are explicit.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</si>
</sst>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2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tint="4.9989318521683403E-2"/>
      <name val="Aptos Narrow"/>
      <family val="2"/>
      <scheme val="minor"/>
    </font>
    <font>
      <u/>
      <sz val="11"/>
      <color theme="10"/>
      <name val="Aptos Narrow"/>
      <family val="2"/>
      <scheme val="minor"/>
    </font>
    <font>
      <sz val="11"/>
      <color theme="1"/>
      <name val="Calibri"/>
      <family val="2"/>
    </font>
    <font>
      <i/>
      <sz val="11"/>
      <color theme="1"/>
      <name val="Calibri"/>
      <family val="2"/>
    </font>
    <font>
      <sz val="8"/>
      <name val="Aptos Narrow"/>
      <family val="2"/>
      <scheme val="minor"/>
    </font>
    <font>
      <b/>
      <sz val="14"/>
      <color rgb="FF333333"/>
      <name val="Arial"/>
      <family val="2"/>
    </font>
    <font>
      <b/>
      <sz val="12"/>
      <color rgb="FF333333"/>
      <name val="Arial"/>
      <family val="2"/>
    </font>
    <font>
      <sz val="12"/>
      <name val="Arial"/>
      <family val="2"/>
    </font>
    <font>
      <i/>
      <sz val="11"/>
      <color theme="1"/>
      <name val="Aptos Narrow"/>
      <family val="2"/>
      <scheme val="minor"/>
    </font>
    <font>
      <sz val="12"/>
      <color rgb="FF000000"/>
      <name val="Anthropic Sans"/>
      <charset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
      <patternFill patternType="solid">
        <fgColor theme="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29">
    <xf numFmtId="0" fontId="0" fillId="0" borderId="0" xfId="0"/>
    <xf numFmtId="14" fontId="0" fillId="0" borderId="0" xfId="0" applyNumberFormat="1"/>
    <xf numFmtId="3" fontId="0" fillId="0" borderId="0" xfId="0" applyNumberFormat="1"/>
    <xf numFmtId="20" fontId="0" fillId="0" borderId="0" xfId="0" applyNumberFormat="1"/>
    <xf numFmtId="18" fontId="0" fillId="0" borderId="0" xfId="0" applyNumberFormat="1"/>
    <xf numFmtId="0" fontId="0" fillId="33" borderId="0" xfId="0" applyFill="1"/>
    <xf numFmtId="0" fontId="18" fillId="34" borderId="0" xfId="0" applyFont="1" applyFill="1"/>
    <xf numFmtId="0" fontId="0" fillId="0" borderId="0" xfId="0" applyAlignment="1">
      <alignment wrapText="1"/>
    </xf>
    <xf numFmtId="0" fontId="24" fillId="0" borderId="0" xfId="0" applyFont="1"/>
    <xf numFmtId="43" fontId="0" fillId="0" borderId="0" xfId="43" applyFont="1"/>
    <xf numFmtId="10" fontId="0" fillId="0" borderId="0" xfId="44" applyNumberFormat="1" applyFont="1"/>
    <xf numFmtId="10" fontId="0" fillId="0" borderId="0" xfId="0" applyNumberFormat="1"/>
    <xf numFmtId="164" fontId="0" fillId="0" borderId="0" xfId="44" applyNumberFormat="1" applyFont="1"/>
    <xf numFmtId="0" fontId="0" fillId="0" borderId="10" xfId="0" applyBorder="1"/>
    <xf numFmtId="0" fontId="26" fillId="0" borderId="11" xfId="0" applyFont="1" applyBorder="1" applyAlignment="1">
      <alignment horizontal="center"/>
    </xf>
    <xf numFmtId="0" fontId="27" fillId="0" borderId="0" xfId="0" applyFont="1"/>
    <xf numFmtId="0" fontId="0" fillId="0" borderId="0" xfId="0" applyAlignment="1">
      <alignment horizontal="center" vertical="top" wrapText="1"/>
    </xf>
    <xf numFmtId="0" fontId="16" fillId="35" borderId="0" xfId="0" applyFont="1" applyFill="1"/>
    <xf numFmtId="0" fontId="16" fillId="35" borderId="0" xfId="0" applyFont="1" applyFill="1" applyAlignment="1">
      <alignment horizontal="center"/>
    </xf>
    <xf numFmtId="0" fontId="16" fillId="0" borderId="0" xfId="0" applyFont="1"/>
    <xf numFmtId="0" fontId="23" fillId="0" borderId="0" xfId="0" applyFont="1" applyAlignment="1">
      <alignment horizontal="center" vertical="center" wrapText="1"/>
    </xf>
    <xf numFmtId="0" fontId="20" fillId="0" borderId="0" xfId="0" applyFont="1" applyAlignment="1">
      <alignment horizontal="center" vertical="center" wrapText="1"/>
    </xf>
    <xf numFmtId="0" fontId="0" fillId="0" borderId="0" xfId="0" applyAlignment="1">
      <alignment horizontal="center" wrapText="1"/>
    </xf>
    <xf numFmtId="0" fontId="19" fillId="0" borderId="0" xfId="42" applyAlignment="1">
      <alignment horizontal="left"/>
    </xf>
    <xf numFmtId="0" fontId="25" fillId="35" borderId="0" xfId="0" applyFont="1" applyFill="1" applyAlignment="1">
      <alignment horizontal="left"/>
    </xf>
    <xf numFmtId="0" fontId="24" fillId="35" borderId="0" xfId="0" applyFont="1" applyFill="1" applyAlignment="1">
      <alignment horizontal="left"/>
    </xf>
    <xf numFmtId="0" fontId="24" fillId="0" borderId="0" xfId="0" applyFont="1" applyAlignment="1">
      <alignment horizontal="left"/>
    </xf>
    <xf numFmtId="0" fontId="0" fillId="0" borderId="0" xfId="0" applyAlignment="1">
      <alignment horizontal="left" vertical="center" wrapText="1"/>
    </xf>
    <xf numFmtId="0" fontId="0" fillId="33" borderId="0" xfId="0" applyFill="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Apple</a:t>
            </a:r>
            <a:r>
              <a:rPr lang="en-US" baseline="0"/>
              <a:t> Music Playlist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1-100</c:v>
              </c:pt>
              <c:pt idx="1">
                <c:v>101-200</c:v>
              </c:pt>
              <c:pt idx="2">
                <c:v>201-300</c:v>
              </c:pt>
              <c:pt idx="3">
                <c:v>301-400</c:v>
              </c:pt>
              <c:pt idx="4">
                <c:v>401-500</c:v>
              </c:pt>
              <c:pt idx="5">
                <c:v>501-600</c:v>
              </c:pt>
              <c:pt idx="6">
                <c:v>801-900</c:v>
              </c:pt>
            </c:strLit>
          </c:cat>
          <c:val>
            <c:numLit>
              <c:formatCode>General</c:formatCode>
              <c:ptCount val="7"/>
              <c:pt idx="0">
                <c:v>1553</c:v>
              </c:pt>
              <c:pt idx="1">
                <c:v>404</c:v>
              </c:pt>
              <c:pt idx="2">
                <c:v>125</c:v>
              </c:pt>
              <c:pt idx="3">
                <c:v>32</c:v>
              </c:pt>
              <c:pt idx="4">
                <c:v>13</c:v>
              </c:pt>
              <c:pt idx="5">
                <c:v>6</c:v>
              </c:pt>
              <c:pt idx="6">
                <c:v>1</c:v>
              </c:pt>
            </c:numLit>
          </c:val>
          <c:extLst>
            <c:ext xmlns:c16="http://schemas.microsoft.com/office/drawing/2014/chart" uri="{C3380CC4-5D6E-409C-BE32-E72D297353CC}">
              <c16:uniqueId val="{00000000-EBCF-4968-BE73-758A971DFCA4}"/>
            </c:ext>
          </c:extLst>
        </c:ser>
        <c:dLbls>
          <c:showLegendKey val="0"/>
          <c:showVal val="0"/>
          <c:showCatName val="0"/>
          <c:showSerName val="0"/>
          <c:showPercent val="0"/>
          <c:showBubbleSize val="0"/>
        </c:dLbls>
        <c:gapWidth val="0"/>
        <c:overlap val="-27"/>
        <c:axId val="1656471791"/>
        <c:axId val="1656472271"/>
      </c:barChart>
      <c:catAx>
        <c:axId val="165647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Song Appears</a:t>
                </a:r>
                <a:r>
                  <a:rPr lang="en-US" baseline="0"/>
                  <a:t>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72271"/>
        <c:crosses val="autoZero"/>
        <c:auto val="1"/>
        <c:lblAlgn val="ctr"/>
        <c:lblOffset val="100"/>
        <c:noMultiLvlLbl val="0"/>
      </c:catAx>
      <c:valAx>
        <c:axId val="165647227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Song</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64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Explicit Songs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Not Explicit</c:v>
              </c:pt>
              <c:pt idx="1">
                <c:v>Explicit</c:v>
              </c:pt>
            </c:strLit>
          </c:cat>
          <c:val>
            <c:numLit>
              <c:formatCode>General</c:formatCode>
              <c:ptCount val="2"/>
              <c:pt idx="0">
                <c:v>1280</c:v>
              </c:pt>
              <c:pt idx="1">
                <c:v>854</c:v>
              </c:pt>
            </c:numLit>
          </c:val>
          <c:extLst>
            <c:ext xmlns:c16="http://schemas.microsoft.com/office/drawing/2014/chart" uri="{C3380CC4-5D6E-409C-BE32-E72D297353CC}">
              <c16:uniqueId val="{00000000-2E8D-435E-A94D-A85D52FEBD31}"/>
            </c:ext>
          </c:extLst>
        </c:ser>
        <c:dLbls>
          <c:showLegendKey val="0"/>
          <c:showVal val="0"/>
          <c:showCatName val="0"/>
          <c:showSerName val="0"/>
          <c:showPercent val="0"/>
          <c:showBubbleSize val="0"/>
        </c:dLbls>
        <c:gapWidth val="219"/>
        <c:overlap val="-27"/>
        <c:axId val="105950127"/>
        <c:axId val="1768217039"/>
      </c:barChart>
      <c:catAx>
        <c:axId val="10595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217039"/>
        <c:crosses val="autoZero"/>
        <c:auto val="1"/>
        <c:lblAlgn val="ctr"/>
        <c:lblOffset val="100"/>
        <c:noMultiLvlLbl val="0"/>
      </c:catAx>
      <c:valAx>
        <c:axId val="176821703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0595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2010-2020</c:v>
              </c:pt>
              <c:pt idx="1">
                <c:v>After 2020</c:v>
              </c:pt>
              <c:pt idx="2">
                <c:v>Before 2010</c:v>
              </c:pt>
            </c:strLit>
          </c:cat>
          <c:val>
            <c:numLit>
              <c:formatCode>General</c:formatCode>
              <c:ptCount val="3"/>
              <c:pt idx="0">
                <c:v>1041</c:v>
              </c:pt>
              <c:pt idx="1">
                <c:v>1042</c:v>
              </c:pt>
              <c:pt idx="2">
                <c:v>51</c:v>
              </c:pt>
            </c:numLit>
          </c:val>
          <c:extLst>
            <c:ext xmlns:c16="http://schemas.microsoft.com/office/drawing/2014/chart" uri="{C3380CC4-5D6E-409C-BE32-E72D297353CC}">
              <c16:uniqueId val="{00000000-D833-4E62-A4A4-4DD25A6168BA}"/>
            </c:ext>
          </c:extLst>
        </c:ser>
        <c:dLbls>
          <c:showLegendKey val="0"/>
          <c:showVal val="0"/>
          <c:showCatName val="0"/>
          <c:showSerName val="0"/>
          <c:showPercent val="0"/>
          <c:showBubbleSize val="0"/>
        </c:dLbls>
        <c:gapWidth val="219"/>
        <c:overlap val="-27"/>
        <c:axId val="1758988351"/>
        <c:axId val="1758986431"/>
      </c:barChart>
      <c:catAx>
        <c:axId val="175898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986431"/>
        <c:crosses val="autoZero"/>
        <c:auto val="1"/>
        <c:lblAlgn val="ctr"/>
        <c:lblOffset val="100"/>
        <c:noMultiLvlLbl val="0"/>
      </c:catAx>
      <c:valAx>
        <c:axId val="175898643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75898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Spotify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0-100M</c:v>
              </c:pt>
              <c:pt idx="1">
                <c:v>100M-200M</c:v>
              </c:pt>
              <c:pt idx="2">
                <c:v>200M-300M</c:v>
              </c:pt>
              <c:pt idx="3">
                <c:v>300M-400M</c:v>
              </c:pt>
              <c:pt idx="4">
                <c:v>400M-500M</c:v>
              </c:pt>
            </c:strLit>
          </c:cat>
          <c:val>
            <c:numLit>
              <c:formatCode>General</c:formatCode>
              <c:ptCount val="5"/>
              <c:pt idx="0">
                <c:v>1672</c:v>
              </c:pt>
              <c:pt idx="1">
                <c:v>386</c:v>
              </c:pt>
              <c:pt idx="2">
                <c:v>67</c:v>
              </c:pt>
              <c:pt idx="3">
                <c:v>8</c:v>
              </c:pt>
              <c:pt idx="4">
                <c:v>1</c:v>
              </c:pt>
            </c:numLit>
          </c:val>
          <c:extLst>
            <c:ext xmlns:c16="http://schemas.microsoft.com/office/drawing/2014/chart" uri="{C3380CC4-5D6E-409C-BE32-E72D297353CC}">
              <c16:uniqueId val="{00000000-834E-428A-ACEB-D81FA0E1D441}"/>
            </c:ext>
          </c:extLst>
        </c:ser>
        <c:dLbls>
          <c:showLegendKey val="0"/>
          <c:showVal val="0"/>
          <c:showCatName val="0"/>
          <c:showSerName val="0"/>
          <c:showPercent val="0"/>
          <c:showBubbleSize val="0"/>
        </c:dLbls>
        <c:gapWidth val="0"/>
        <c:overlap val="-27"/>
        <c:axId val="1367366431"/>
        <c:axId val="1367381791"/>
      </c:barChart>
      <c:catAx>
        <c:axId val="1367366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Spotify Streams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381791"/>
        <c:crosses val="autoZero"/>
        <c:auto val="1"/>
        <c:lblAlgn val="ctr"/>
        <c:lblOffset val="100"/>
        <c:noMultiLvlLbl val="0"/>
      </c:catAx>
      <c:valAx>
        <c:axId val="13673817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6736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Playlist</a:t>
            </a:r>
            <a:r>
              <a:rPr lang="en-US" baseline="0"/>
              <a:t> </a:t>
            </a:r>
            <a:r>
              <a:rPr lang="en-US"/>
              <a:t>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0-100K</c:v>
              </c:pt>
              <c:pt idx="1">
                <c:v>100K-200K</c:v>
              </c:pt>
              <c:pt idx="2">
                <c:v>200K-300K</c:v>
              </c:pt>
              <c:pt idx="3">
                <c:v>300K-400K</c:v>
              </c:pt>
              <c:pt idx="4">
                <c:v>400K-500K</c:v>
              </c:pt>
              <c:pt idx="5">
                <c:v>500K-600K</c:v>
              </c:pt>
            </c:strLit>
          </c:cat>
          <c:val>
            <c:numLit>
              <c:formatCode>General</c:formatCode>
              <c:ptCount val="6"/>
              <c:pt idx="0">
                <c:v>1352</c:v>
              </c:pt>
              <c:pt idx="1">
                <c:v>556</c:v>
              </c:pt>
              <c:pt idx="2">
                <c:v>176</c:v>
              </c:pt>
              <c:pt idx="3">
                <c:v>43</c:v>
              </c:pt>
              <c:pt idx="4">
                <c:v>6</c:v>
              </c:pt>
              <c:pt idx="5">
                <c:v>1</c:v>
              </c:pt>
            </c:numLit>
          </c:val>
          <c:extLst>
            <c:ext xmlns:c16="http://schemas.microsoft.com/office/drawing/2014/chart" uri="{C3380CC4-5D6E-409C-BE32-E72D297353CC}">
              <c16:uniqueId val="{00000000-18F3-40EC-B69A-FB184EBFC408}"/>
            </c:ext>
          </c:extLst>
        </c:ser>
        <c:dLbls>
          <c:showLegendKey val="0"/>
          <c:showVal val="0"/>
          <c:showCatName val="0"/>
          <c:showSerName val="0"/>
          <c:showPercent val="0"/>
          <c:showBubbleSize val="0"/>
        </c:dLbls>
        <c:gapWidth val="0"/>
        <c:overlap val="-27"/>
        <c:axId val="1522430255"/>
        <c:axId val="1522435535"/>
      </c:barChart>
      <c:catAx>
        <c:axId val="1522430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Song Appears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35535"/>
        <c:crosses val="autoZero"/>
        <c:auto val="1"/>
        <c:lblAlgn val="ctr"/>
        <c:lblOffset val="100"/>
        <c:noMultiLvlLbl val="0"/>
      </c:catAx>
      <c:valAx>
        <c:axId val="152243553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243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Popularity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0-9</c:v>
              </c:pt>
              <c:pt idx="1">
                <c:v>10-19</c:v>
              </c:pt>
              <c:pt idx="2">
                <c:v>20-29</c:v>
              </c:pt>
              <c:pt idx="3">
                <c:v>30-39</c:v>
              </c:pt>
              <c:pt idx="4">
                <c:v>40-49</c:v>
              </c:pt>
              <c:pt idx="5">
                <c:v>50-59</c:v>
              </c:pt>
              <c:pt idx="6">
                <c:v>60-69</c:v>
              </c:pt>
              <c:pt idx="7">
                <c:v>70-79</c:v>
              </c:pt>
              <c:pt idx="8">
                <c:v>80-89</c:v>
              </c:pt>
              <c:pt idx="9">
                <c:v>90-100</c:v>
              </c:pt>
            </c:strLit>
          </c:cat>
          <c:val>
            <c:numLit>
              <c:formatCode>General</c:formatCode>
              <c:ptCount val="10"/>
              <c:pt idx="0">
                <c:v>18</c:v>
              </c:pt>
              <c:pt idx="1">
                <c:v>17</c:v>
              </c:pt>
              <c:pt idx="2">
                <c:v>9</c:v>
              </c:pt>
              <c:pt idx="3">
                <c:v>9</c:v>
              </c:pt>
              <c:pt idx="4">
                <c:v>25</c:v>
              </c:pt>
              <c:pt idx="5">
                <c:v>176</c:v>
              </c:pt>
              <c:pt idx="6">
                <c:v>903</c:v>
              </c:pt>
              <c:pt idx="7">
                <c:v>800</c:v>
              </c:pt>
              <c:pt idx="8">
                <c:v>166</c:v>
              </c:pt>
              <c:pt idx="9">
                <c:v>11</c:v>
              </c:pt>
            </c:numLit>
          </c:val>
          <c:extLst>
            <c:ext xmlns:c16="http://schemas.microsoft.com/office/drawing/2014/chart" uri="{C3380CC4-5D6E-409C-BE32-E72D297353CC}">
              <c16:uniqueId val="{00000000-05F9-47AA-AB10-0F761A005512}"/>
            </c:ext>
          </c:extLst>
        </c:ser>
        <c:dLbls>
          <c:showLegendKey val="0"/>
          <c:showVal val="0"/>
          <c:showCatName val="0"/>
          <c:showSerName val="0"/>
          <c:showPercent val="0"/>
          <c:showBubbleSize val="0"/>
        </c:dLbls>
        <c:gapWidth val="0"/>
        <c:overlap val="-27"/>
        <c:axId val="1549243359"/>
        <c:axId val="1549261599"/>
      </c:barChart>
      <c:catAx>
        <c:axId val="1549243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Popularity</a:t>
                </a:r>
                <a:r>
                  <a:rPr lang="en-US" baseline="0"/>
                  <a:t> Rating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261599"/>
        <c:crosses val="autoZero"/>
        <c:auto val="1"/>
        <c:lblAlgn val="ctr"/>
        <c:lblOffset val="100"/>
        <c:noMultiLvlLbl val="0"/>
      </c:catAx>
      <c:valAx>
        <c:axId val="1549261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24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 Views 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0-1B</c:v>
              </c:pt>
              <c:pt idx="1">
                <c:v>1B-2B</c:v>
              </c:pt>
              <c:pt idx="2">
                <c:v>2B-3B</c:v>
              </c:pt>
              <c:pt idx="3">
                <c:v>3B-4B</c:v>
              </c:pt>
              <c:pt idx="4">
                <c:v>4B-5B</c:v>
              </c:pt>
              <c:pt idx="5">
                <c:v>5B-6B</c:v>
              </c:pt>
              <c:pt idx="6">
                <c:v>6B-7B</c:v>
              </c:pt>
              <c:pt idx="7">
                <c:v>8B-9B</c:v>
              </c:pt>
              <c:pt idx="8">
                <c:v>9B-10B</c:v>
              </c:pt>
              <c:pt idx="9">
                <c:v>10B&lt;</c:v>
              </c:pt>
            </c:strLit>
          </c:cat>
          <c:val>
            <c:numLit>
              <c:formatCode>General</c:formatCode>
              <c:ptCount val="10"/>
              <c:pt idx="0">
                <c:v>1818</c:v>
              </c:pt>
              <c:pt idx="1">
                <c:v>226</c:v>
              </c:pt>
              <c:pt idx="2">
                <c:v>60</c:v>
              </c:pt>
              <c:pt idx="3">
                <c:v>17</c:v>
              </c:pt>
              <c:pt idx="4">
                <c:v>6</c:v>
              </c:pt>
              <c:pt idx="5">
                <c:v>2</c:v>
              </c:pt>
              <c:pt idx="6">
                <c:v>2</c:v>
              </c:pt>
              <c:pt idx="7">
                <c:v>1</c:v>
              </c:pt>
              <c:pt idx="8">
                <c:v>1</c:v>
              </c:pt>
              <c:pt idx="9">
                <c:v>1</c:v>
              </c:pt>
            </c:numLit>
          </c:val>
          <c:extLst>
            <c:ext xmlns:c16="http://schemas.microsoft.com/office/drawing/2014/chart" uri="{C3380CC4-5D6E-409C-BE32-E72D297353CC}">
              <c16:uniqueId val="{00000000-DB7F-4B5C-87C9-DBE486EB2BFD}"/>
            </c:ext>
          </c:extLst>
        </c:ser>
        <c:dLbls>
          <c:showLegendKey val="0"/>
          <c:showVal val="0"/>
          <c:showCatName val="0"/>
          <c:showSerName val="0"/>
          <c:showPercent val="0"/>
          <c:showBubbleSize val="0"/>
        </c:dLbls>
        <c:gapWidth val="0"/>
        <c:overlap val="-27"/>
        <c:axId val="1522481615"/>
        <c:axId val="1522473935"/>
      </c:barChart>
      <c:catAx>
        <c:axId val="1522481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73935"/>
        <c:crosses val="autoZero"/>
        <c:auto val="1"/>
        <c:lblAlgn val="ctr"/>
        <c:lblOffset val="100"/>
        <c:noMultiLvlLbl val="0"/>
      </c:catAx>
      <c:valAx>
        <c:axId val="1522473935"/>
        <c:scaling>
          <c:orientation val="minMax"/>
        </c:scaling>
        <c:delete val="1"/>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crossAx val="1522481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a:t>
            </a:r>
            <a:r>
              <a:rPr lang="en-US" baseline="0"/>
              <a:t> Likes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0-10M</c:v>
              </c:pt>
              <c:pt idx="1">
                <c:v>10M-20M</c:v>
              </c:pt>
              <c:pt idx="2">
                <c:v>20M-30M</c:v>
              </c:pt>
              <c:pt idx="3">
                <c:v>30M-40M</c:v>
              </c:pt>
              <c:pt idx="4">
                <c:v>40M-50M</c:v>
              </c:pt>
              <c:pt idx="5">
                <c:v>60M-70M</c:v>
              </c:pt>
            </c:strLit>
          </c:cat>
          <c:val>
            <c:numLit>
              <c:formatCode>General</c:formatCode>
              <c:ptCount val="6"/>
              <c:pt idx="0">
                <c:v>1951</c:v>
              </c:pt>
              <c:pt idx="1">
                <c:v>140</c:v>
              </c:pt>
              <c:pt idx="2">
                <c:v>29</c:v>
              </c:pt>
              <c:pt idx="3">
                <c:v>5</c:v>
              </c:pt>
              <c:pt idx="4">
                <c:v>7</c:v>
              </c:pt>
              <c:pt idx="5">
                <c:v>2</c:v>
              </c:pt>
            </c:numLit>
          </c:val>
          <c:extLst>
            <c:ext xmlns:c16="http://schemas.microsoft.com/office/drawing/2014/chart" uri="{C3380CC4-5D6E-409C-BE32-E72D297353CC}">
              <c16:uniqueId val="{00000000-1923-4D72-9986-9DC4E38E873C}"/>
            </c:ext>
          </c:extLst>
        </c:ser>
        <c:dLbls>
          <c:showLegendKey val="0"/>
          <c:showVal val="0"/>
          <c:showCatName val="0"/>
          <c:showSerName val="0"/>
          <c:showPercent val="0"/>
          <c:showBubbleSize val="0"/>
        </c:dLbls>
        <c:gapWidth val="0"/>
        <c:overlap val="-27"/>
        <c:axId val="1549168479"/>
        <c:axId val="1549167999"/>
      </c:barChart>
      <c:catAx>
        <c:axId val="1549168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Youtube</a:t>
                </a:r>
                <a:r>
                  <a:rPr lang="en-US" baseline="0"/>
                  <a:t> Likes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67999"/>
        <c:crosses val="autoZero"/>
        <c:auto val="1"/>
        <c:lblAlgn val="ctr"/>
        <c:lblOffset val="100"/>
        <c:noMultiLvlLbl val="0"/>
      </c:catAx>
      <c:valAx>
        <c:axId val="15491679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16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TikTok</a:t>
            </a:r>
            <a:r>
              <a:rPr lang="en-US" baseline="0"/>
              <a:t> Views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0-5B</c:v>
              </c:pt>
              <c:pt idx="1">
                <c:v>5B-10B</c:v>
              </c:pt>
              <c:pt idx="2">
                <c:v>10B-15B</c:v>
              </c:pt>
              <c:pt idx="3">
                <c:v>15B-20B</c:v>
              </c:pt>
              <c:pt idx="4">
                <c:v>20B-25B</c:v>
              </c:pt>
              <c:pt idx="5">
                <c:v>&gt;25B</c:v>
              </c:pt>
            </c:strLit>
          </c:cat>
          <c:val>
            <c:numLit>
              <c:formatCode>General</c:formatCode>
              <c:ptCount val="6"/>
              <c:pt idx="0">
                <c:v>2015</c:v>
              </c:pt>
              <c:pt idx="1">
                <c:v>83</c:v>
              </c:pt>
              <c:pt idx="2">
                <c:v>18</c:v>
              </c:pt>
              <c:pt idx="3">
                <c:v>10</c:v>
              </c:pt>
              <c:pt idx="4">
                <c:v>6</c:v>
              </c:pt>
              <c:pt idx="5">
                <c:v>2</c:v>
              </c:pt>
            </c:numLit>
          </c:val>
          <c:extLst>
            <c:ext xmlns:c16="http://schemas.microsoft.com/office/drawing/2014/chart" uri="{C3380CC4-5D6E-409C-BE32-E72D297353CC}">
              <c16:uniqueId val="{00000000-4D4D-44BD-AE6F-B162FE8ED2D2}"/>
            </c:ext>
          </c:extLst>
        </c:ser>
        <c:dLbls>
          <c:showLegendKey val="0"/>
          <c:showVal val="0"/>
          <c:showCatName val="0"/>
          <c:showSerName val="0"/>
          <c:showPercent val="0"/>
          <c:showBubbleSize val="0"/>
        </c:dLbls>
        <c:gapWidth val="0"/>
        <c:overlap val="-27"/>
        <c:axId val="1659883119"/>
        <c:axId val="1659883599"/>
      </c:barChart>
      <c:catAx>
        <c:axId val="1659883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TikTok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83599"/>
        <c:crosses val="autoZero"/>
        <c:auto val="1"/>
        <c:lblAlgn val="ctr"/>
        <c:lblOffset val="100"/>
        <c:noMultiLvlLbl val="0"/>
      </c:catAx>
      <c:valAx>
        <c:axId val="1659883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988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SiriusXM</a:t>
            </a:r>
            <a:r>
              <a:rPr lang="en-US" baseline="0"/>
              <a:t> Spins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1-1000</c:v>
              </c:pt>
              <c:pt idx="1">
                <c:v>1001-2000</c:v>
              </c:pt>
              <c:pt idx="2">
                <c:v>2001-3000</c:v>
              </c:pt>
              <c:pt idx="3">
                <c:v>3001-4000</c:v>
              </c:pt>
              <c:pt idx="4">
                <c:v>4001-5000</c:v>
              </c:pt>
              <c:pt idx="5">
                <c:v>5001-6000</c:v>
              </c:pt>
              <c:pt idx="6">
                <c:v>6001-7000</c:v>
              </c:pt>
              <c:pt idx="7">
                <c:v>7001-8000</c:v>
              </c:pt>
            </c:strLit>
          </c:cat>
          <c:val>
            <c:numLit>
              <c:formatCode>General</c:formatCode>
              <c:ptCount val="8"/>
              <c:pt idx="0">
                <c:v>2009</c:v>
              </c:pt>
              <c:pt idx="1">
                <c:v>82</c:v>
              </c:pt>
              <c:pt idx="2">
                <c:v>24</c:v>
              </c:pt>
              <c:pt idx="3">
                <c:v>6</c:v>
              </c:pt>
              <c:pt idx="4">
                <c:v>6</c:v>
              </c:pt>
              <c:pt idx="5">
                <c:v>4</c:v>
              </c:pt>
              <c:pt idx="6">
                <c:v>1</c:v>
              </c:pt>
              <c:pt idx="7">
                <c:v>2</c:v>
              </c:pt>
            </c:numLit>
          </c:val>
          <c:extLst>
            <c:ext xmlns:c16="http://schemas.microsoft.com/office/drawing/2014/chart" uri="{C3380CC4-5D6E-409C-BE32-E72D297353CC}">
              <c16:uniqueId val="{00000000-0191-45AD-B6F9-AB16B775FBE7}"/>
            </c:ext>
          </c:extLst>
        </c:ser>
        <c:dLbls>
          <c:showLegendKey val="0"/>
          <c:showVal val="0"/>
          <c:showCatName val="0"/>
          <c:showSerName val="0"/>
          <c:showPercent val="0"/>
          <c:showBubbleSize val="0"/>
        </c:dLbls>
        <c:gapWidth val="0"/>
        <c:overlap val="-27"/>
        <c:axId val="1526507247"/>
        <c:axId val="1526506287"/>
      </c:barChart>
      <c:catAx>
        <c:axId val="1526507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SiriusXM Spins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06287"/>
        <c:crosses val="autoZero"/>
        <c:auto val="1"/>
        <c:lblAlgn val="ctr"/>
        <c:lblOffset val="100"/>
        <c:noMultiLvlLbl val="0"/>
      </c:catAx>
      <c:valAx>
        <c:axId val="1526506287"/>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650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Spotify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0-100M</c:v>
              </c:pt>
              <c:pt idx="1">
                <c:v>100M-200M</c:v>
              </c:pt>
              <c:pt idx="2">
                <c:v>200M-300M</c:v>
              </c:pt>
              <c:pt idx="3">
                <c:v>300M-400M</c:v>
              </c:pt>
              <c:pt idx="4">
                <c:v>400M-500M</c:v>
              </c:pt>
            </c:strLit>
          </c:cat>
          <c:val>
            <c:numLit>
              <c:formatCode>General</c:formatCode>
              <c:ptCount val="5"/>
              <c:pt idx="0">
                <c:v>1672</c:v>
              </c:pt>
              <c:pt idx="1">
                <c:v>386</c:v>
              </c:pt>
              <c:pt idx="2">
                <c:v>67</c:v>
              </c:pt>
              <c:pt idx="3">
                <c:v>8</c:v>
              </c:pt>
              <c:pt idx="4">
                <c:v>1</c:v>
              </c:pt>
            </c:numLit>
          </c:val>
          <c:extLst>
            <c:ext xmlns:c16="http://schemas.microsoft.com/office/drawing/2014/chart" uri="{C3380CC4-5D6E-409C-BE32-E72D297353CC}">
              <c16:uniqueId val="{00000000-73B1-4C0F-A93B-2AE6A5A4D091}"/>
            </c:ext>
          </c:extLst>
        </c:ser>
        <c:dLbls>
          <c:showLegendKey val="0"/>
          <c:showVal val="0"/>
          <c:showCatName val="0"/>
          <c:showSerName val="0"/>
          <c:showPercent val="0"/>
          <c:showBubbleSize val="0"/>
        </c:dLbls>
        <c:gapWidth val="0"/>
        <c:overlap val="-27"/>
        <c:axId val="1367366431"/>
        <c:axId val="1367381791"/>
      </c:barChart>
      <c:catAx>
        <c:axId val="1367366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Spotify Streams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381791"/>
        <c:crosses val="autoZero"/>
        <c:auto val="1"/>
        <c:lblAlgn val="ctr"/>
        <c:lblOffset val="100"/>
        <c:noMultiLvlLbl val="0"/>
      </c:catAx>
      <c:valAx>
        <c:axId val="13673817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6736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Playlist</a:t>
            </a:r>
            <a:r>
              <a:rPr lang="en-US" baseline="0"/>
              <a:t> </a:t>
            </a:r>
            <a:r>
              <a:rPr lang="en-US"/>
              <a:t>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0-100K</c:v>
              </c:pt>
              <c:pt idx="1">
                <c:v>100K-200K</c:v>
              </c:pt>
              <c:pt idx="2">
                <c:v>200K-300K</c:v>
              </c:pt>
              <c:pt idx="3">
                <c:v>300K-400K</c:v>
              </c:pt>
              <c:pt idx="4">
                <c:v>400K-500K</c:v>
              </c:pt>
              <c:pt idx="5">
                <c:v>500K-600K</c:v>
              </c:pt>
            </c:strLit>
          </c:cat>
          <c:val>
            <c:numLit>
              <c:formatCode>General</c:formatCode>
              <c:ptCount val="6"/>
              <c:pt idx="0">
                <c:v>1352</c:v>
              </c:pt>
              <c:pt idx="1">
                <c:v>556</c:v>
              </c:pt>
              <c:pt idx="2">
                <c:v>176</c:v>
              </c:pt>
              <c:pt idx="3">
                <c:v>43</c:v>
              </c:pt>
              <c:pt idx="4">
                <c:v>6</c:v>
              </c:pt>
              <c:pt idx="5">
                <c:v>1</c:v>
              </c:pt>
            </c:numLit>
          </c:val>
          <c:extLst>
            <c:ext xmlns:c16="http://schemas.microsoft.com/office/drawing/2014/chart" uri="{C3380CC4-5D6E-409C-BE32-E72D297353CC}">
              <c16:uniqueId val="{00000000-C62B-4C6E-8C52-A19D6220D85D}"/>
            </c:ext>
          </c:extLst>
        </c:ser>
        <c:dLbls>
          <c:showLegendKey val="0"/>
          <c:showVal val="0"/>
          <c:showCatName val="0"/>
          <c:showSerName val="0"/>
          <c:showPercent val="0"/>
          <c:showBubbleSize val="0"/>
        </c:dLbls>
        <c:gapWidth val="0"/>
        <c:overlap val="-27"/>
        <c:axId val="1522430255"/>
        <c:axId val="1522435535"/>
      </c:barChart>
      <c:catAx>
        <c:axId val="1522430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Song Appears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35535"/>
        <c:crosses val="autoZero"/>
        <c:auto val="1"/>
        <c:lblAlgn val="ctr"/>
        <c:lblOffset val="100"/>
        <c:noMultiLvlLbl val="0"/>
      </c:catAx>
      <c:valAx>
        <c:axId val="152243553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243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Popularity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0-9</c:v>
              </c:pt>
              <c:pt idx="1">
                <c:v>10-19</c:v>
              </c:pt>
              <c:pt idx="2">
                <c:v>20-29</c:v>
              </c:pt>
              <c:pt idx="3">
                <c:v>30-39</c:v>
              </c:pt>
              <c:pt idx="4">
                <c:v>40-49</c:v>
              </c:pt>
              <c:pt idx="5">
                <c:v>50-59</c:v>
              </c:pt>
              <c:pt idx="6">
                <c:v>60-69</c:v>
              </c:pt>
              <c:pt idx="7">
                <c:v>70-79</c:v>
              </c:pt>
              <c:pt idx="8">
                <c:v>80-89</c:v>
              </c:pt>
              <c:pt idx="9">
                <c:v>90-100</c:v>
              </c:pt>
            </c:strLit>
          </c:cat>
          <c:val>
            <c:numLit>
              <c:formatCode>General</c:formatCode>
              <c:ptCount val="10"/>
              <c:pt idx="0">
                <c:v>18</c:v>
              </c:pt>
              <c:pt idx="1">
                <c:v>17</c:v>
              </c:pt>
              <c:pt idx="2">
                <c:v>9</c:v>
              </c:pt>
              <c:pt idx="3">
                <c:v>9</c:v>
              </c:pt>
              <c:pt idx="4">
                <c:v>25</c:v>
              </c:pt>
              <c:pt idx="5">
                <c:v>176</c:v>
              </c:pt>
              <c:pt idx="6">
                <c:v>903</c:v>
              </c:pt>
              <c:pt idx="7">
                <c:v>800</c:v>
              </c:pt>
              <c:pt idx="8">
                <c:v>166</c:v>
              </c:pt>
              <c:pt idx="9">
                <c:v>11</c:v>
              </c:pt>
            </c:numLit>
          </c:val>
          <c:extLst>
            <c:ext xmlns:c16="http://schemas.microsoft.com/office/drawing/2014/chart" uri="{C3380CC4-5D6E-409C-BE32-E72D297353CC}">
              <c16:uniqueId val="{00000000-3DBD-4EC0-B5A2-C4B0C656AE48}"/>
            </c:ext>
          </c:extLst>
        </c:ser>
        <c:dLbls>
          <c:showLegendKey val="0"/>
          <c:showVal val="0"/>
          <c:showCatName val="0"/>
          <c:showSerName val="0"/>
          <c:showPercent val="0"/>
          <c:showBubbleSize val="0"/>
        </c:dLbls>
        <c:gapWidth val="0"/>
        <c:overlap val="-27"/>
        <c:axId val="1549243359"/>
        <c:axId val="1549261599"/>
      </c:barChart>
      <c:catAx>
        <c:axId val="1549243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Popularity</a:t>
                </a:r>
                <a:r>
                  <a:rPr lang="en-US" baseline="0"/>
                  <a:t> Rating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261599"/>
        <c:crosses val="autoZero"/>
        <c:auto val="1"/>
        <c:lblAlgn val="ctr"/>
        <c:lblOffset val="100"/>
        <c:noMultiLvlLbl val="0"/>
      </c:catAx>
      <c:valAx>
        <c:axId val="1549261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24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 Views 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0-1B</c:v>
              </c:pt>
              <c:pt idx="1">
                <c:v>1B-2B</c:v>
              </c:pt>
              <c:pt idx="2">
                <c:v>2B-3B</c:v>
              </c:pt>
              <c:pt idx="3">
                <c:v>3B-4B</c:v>
              </c:pt>
              <c:pt idx="4">
                <c:v>4B-5B</c:v>
              </c:pt>
              <c:pt idx="5">
                <c:v>5B-6B</c:v>
              </c:pt>
              <c:pt idx="6">
                <c:v>6B-7B</c:v>
              </c:pt>
              <c:pt idx="7">
                <c:v>8B-9B</c:v>
              </c:pt>
              <c:pt idx="8">
                <c:v>9B-10B</c:v>
              </c:pt>
              <c:pt idx="9">
                <c:v>10B&lt;</c:v>
              </c:pt>
            </c:strLit>
          </c:cat>
          <c:val>
            <c:numLit>
              <c:formatCode>General</c:formatCode>
              <c:ptCount val="10"/>
              <c:pt idx="0">
                <c:v>1818</c:v>
              </c:pt>
              <c:pt idx="1">
                <c:v>226</c:v>
              </c:pt>
              <c:pt idx="2">
                <c:v>60</c:v>
              </c:pt>
              <c:pt idx="3">
                <c:v>17</c:v>
              </c:pt>
              <c:pt idx="4">
                <c:v>6</c:v>
              </c:pt>
              <c:pt idx="5">
                <c:v>2</c:v>
              </c:pt>
              <c:pt idx="6">
                <c:v>2</c:v>
              </c:pt>
              <c:pt idx="7">
                <c:v>1</c:v>
              </c:pt>
              <c:pt idx="8">
                <c:v>1</c:v>
              </c:pt>
              <c:pt idx="9">
                <c:v>1</c:v>
              </c:pt>
            </c:numLit>
          </c:val>
          <c:extLst>
            <c:ext xmlns:c16="http://schemas.microsoft.com/office/drawing/2014/chart" uri="{C3380CC4-5D6E-409C-BE32-E72D297353CC}">
              <c16:uniqueId val="{00000000-94D1-4407-8C9B-391028C3EE54}"/>
            </c:ext>
          </c:extLst>
        </c:ser>
        <c:dLbls>
          <c:showLegendKey val="0"/>
          <c:showVal val="0"/>
          <c:showCatName val="0"/>
          <c:showSerName val="0"/>
          <c:showPercent val="0"/>
          <c:showBubbleSize val="0"/>
        </c:dLbls>
        <c:gapWidth val="0"/>
        <c:overlap val="-27"/>
        <c:axId val="1522481615"/>
        <c:axId val="1522473935"/>
      </c:barChart>
      <c:catAx>
        <c:axId val="1522481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73935"/>
        <c:crosses val="autoZero"/>
        <c:auto val="1"/>
        <c:lblAlgn val="ctr"/>
        <c:lblOffset val="100"/>
        <c:noMultiLvlLbl val="0"/>
      </c:catAx>
      <c:valAx>
        <c:axId val="1522473935"/>
        <c:scaling>
          <c:orientation val="minMax"/>
        </c:scaling>
        <c:delete val="1"/>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crossAx val="1522481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a:t>
            </a:r>
            <a:r>
              <a:rPr lang="en-US" baseline="0"/>
              <a:t> Likes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0-10M</c:v>
              </c:pt>
              <c:pt idx="1">
                <c:v>10M-20M</c:v>
              </c:pt>
              <c:pt idx="2">
                <c:v>20M-30M</c:v>
              </c:pt>
              <c:pt idx="3">
                <c:v>30M-40M</c:v>
              </c:pt>
              <c:pt idx="4">
                <c:v>40M-50M</c:v>
              </c:pt>
              <c:pt idx="5">
                <c:v>60M-70M</c:v>
              </c:pt>
            </c:strLit>
          </c:cat>
          <c:val>
            <c:numLit>
              <c:formatCode>General</c:formatCode>
              <c:ptCount val="6"/>
              <c:pt idx="0">
                <c:v>1951</c:v>
              </c:pt>
              <c:pt idx="1">
                <c:v>140</c:v>
              </c:pt>
              <c:pt idx="2">
                <c:v>29</c:v>
              </c:pt>
              <c:pt idx="3">
                <c:v>5</c:v>
              </c:pt>
              <c:pt idx="4">
                <c:v>7</c:v>
              </c:pt>
              <c:pt idx="5">
                <c:v>2</c:v>
              </c:pt>
            </c:numLit>
          </c:val>
          <c:extLst>
            <c:ext xmlns:c16="http://schemas.microsoft.com/office/drawing/2014/chart" uri="{C3380CC4-5D6E-409C-BE32-E72D297353CC}">
              <c16:uniqueId val="{00000000-1B14-449C-8002-4128799CE87B}"/>
            </c:ext>
          </c:extLst>
        </c:ser>
        <c:dLbls>
          <c:showLegendKey val="0"/>
          <c:showVal val="0"/>
          <c:showCatName val="0"/>
          <c:showSerName val="0"/>
          <c:showPercent val="0"/>
          <c:showBubbleSize val="0"/>
        </c:dLbls>
        <c:gapWidth val="0"/>
        <c:overlap val="-27"/>
        <c:axId val="1549168479"/>
        <c:axId val="1549167999"/>
      </c:barChart>
      <c:catAx>
        <c:axId val="1549168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Youtube</a:t>
                </a:r>
                <a:r>
                  <a:rPr lang="en-US" baseline="0"/>
                  <a:t> Likes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67999"/>
        <c:crosses val="autoZero"/>
        <c:auto val="1"/>
        <c:lblAlgn val="ctr"/>
        <c:lblOffset val="100"/>
        <c:noMultiLvlLbl val="0"/>
      </c:catAx>
      <c:valAx>
        <c:axId val="15491679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16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TikTok</a:t>
            </a:r>
            <a:r>
              <a:rPr lang="en-US" baseline="0"/>
              <a:t> Views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0-5B</c:v>
              </c:pt>
              <c:pt idx="1">
                <c:v>5B-10B</c:v>
              </c:pt>
              <c:pt idx="2">
                <c:v>10B-15B</c:v>
              </c:pt>
              <c:pt idx="3">
                <c:v>15B-20B</c:v>
              </c:pt>
              <c:pt idx="4">
                <c:v>20B-25B</c:v>
              </c:pt>
              <c:pt idx="5">
                <c:v>&gt;25B</c:v>
              </c:pt>
            </c:strLit>
          </c:cat>
          <c:val>
            <c:numLit>
              <c:formatCode>General</c:formatCode>
              <c:ptCount val="6"/>
              <c:pt idx="0">
                <c:v>2015</c:v>
              </c:pt>
              <c:pt idx="1">
                <c:v>83</c:v>
              </c:pt>
              <c:pt idx="2">
                <c:v>18</c:v>
              </c:pt>
              <c:pt idx="3">
                <c:v>10</c:v>
              </c:pt>
              <c:pt idx="4">
                <c:v>6</c:v>
              </c:pt>
              <c:pt idx="5">
                <c:v>2</c:v>
              </c:pt>
            </c:numLit>
          </c:val>
          <c:extLst>
            <c:ext xmlns:c16="http://schemas.microsoft.com/office/drawing/2014/chart" uri="{C3380CC4-5D6E-409C-BE32-E72D297353CC}">
              <c16:uniqueId val="{00000000-E233-4689-A0D5-02F07EC3B637}"/>
            </c:ext>
          </c:extLst>
        </c:ser>
        <c:dLbls>
          <c:showLegendKey val="0"/>
          <c:showVal val="0"/>
          <c:showCatName val="0"/>
          <c:showSerName val="0"/>
          <c:showPercent val="0"/>
          <c:showBubbleSize val="0"/>
        </c:dLbls>
        <c:gapWidth val="0"/>
        <c:overlap val="-27"/>
        <c:axId val="1659883119"/>
        <c:axId val="1659883599"/>
      </c:barChart>
      <c:catAx>
        <c:axId val="1659883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TikTok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83599"/>
        <c:crosses val="autoZero"/>
        <c:auto val="1"/>
        <c:lblAlgn val="ctr"/>
        <c:lblOffset val="100"/>
        <c:noMultiLvlLbl val="0"/>
      </c:catAx>
      <c:valAx>
        <c:axId val="1659883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988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Apple</a:t>
            </a:r>
            <a:r>
              <a:rPr lang="en-US" baseline="0"/>
              <a:t> Music Playlist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1-100</c:v>
              </c:pt>
              <c:pt idx="1">
                <c:v>101-200</c:v>
              </c:pt>
              <c:pt idx="2">
                <c:v>201-300</c:v>
              </c:pt>
              <c:pt idx="3">
                <c:v>301-400</c:v>
              </c:pt>
              <c:pt idx="4">
                <c:v>401-500</c:v>
              </c:pt>
              <c:pt idx="5">
                <c:v>501-600</c:v>
              </c:pt>
              <c:pt idx="6">
                <c:v>801-900</c:v>
              </c:pt>
            </c:strLit>
          </c:cat>
          <c:val>
            <c:numLit>
              <c:formatCode>General</c:formatCode>
              <c:ptCount val="7"/>
              <c:pt idx="0">
                <c:v>1553</c:v>
              </c:pt>
              <c:pt idx="1">
                <c:v>404</c:v>
              </c:pt>
              <c:pt idx="2">
                <c:v>125</c:v>
              </c:pt>
              <c:pt idx="3">
                <c:v>32</c:v>
              </c:pt>
              <c:pt idx="4">
                <c:v>13</c:v>
              </c:pt>
              <c:pt idx="5">
                <c:v>6</c:v>
              </c:pt>
              <c:pt idx="6">
                <c:v>1</c:v>
              </c:pt>
            </c:numLit>
          </c:val>
          <c:extLst>
            <c:ext xmlns:c16="http://schemas.microsoft.com/office/drawing/2014/chart" uri="{C3380CC4-5D6E-409C-BE32-E72D297353CC}">
              <c16:uniqueId val="{00000000-D2F3-4AB0-BB36-978FEE0F5BFA}"/>
            </c:ext>
          </c:extLst>
        </c:ser>
        <c:dLbls>
          <c:showLegendKey val="0"/>
          <c:showVal val="0"/>
          <c:showCatName val="0"/>
          <c:showSerName val="0"/>
          <c:showPercent val="0"/>
          <c:showBubbleSize val="0"/>
        </c:dLbls>
        <c:gapWidth val="0"/>
        <c:overlap val="-27"/>
        <c:axId val="1656471791"/>
        <c:axId val="1656472271"/>
      </c:barChart>
      <c:catAx>
        <c:axId val="165647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Song Appears</a:t>
                </a:r>
                <a:r>
                  <a:rPr lang="en-US" baseline="0"/>
                  <a:t>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72271"/>
        <c:crosses val="autoZero"/>
        <c:auto val="1"/>
        <c:lblAlgn val="ctr"/>
        <c:lblOffset val="100"/>
        <c:noMultiLvlLbl val="0"/>
      </c:catAx>
      <c:valAx>
        <c:axId val="165647227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Song</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64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SiriusXM</a:t>
            </a:r>
            <a:r>
              <a:rPr lang="en-US" baseline="0"/>
              <a:t> Spins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1-1000</c:v>
              </c:pt>
              <c:pt idx="1">
                <c:v>1001-2000</c:v>
              </c:pt>
              <c:pt idx="2">
                <c:v>2001-3000</c:v>
              </c:pt>
              <c:pt idx="3">
                <c:v>3001-4000</c:v>
              </c:pt>
              <c:pt idx="4">
                <c:v>4001-5000</c:v>
              </c:pt>
              <c:pt idx="5">
                <c:v>5001-6000</c:v>
              </c:pt>
              <c:pt idx="6">
                <c:v>6001-7000</c:v>
              </c:pt>
              <c:pt idx="7">
                <c:v>7001-8000</c:v>
              </c:pt>
            </c:strLit>
          </c:cat>
          <c:val>
            <c:numLit>
              <c:formatCode>General</c:formatCode>
              <c:ptCount val="8"/>
              <c:pt idx="0">
                <c:v>2009</c:v>
              </c:pt>
              <c:pt idx="1">
                <c:v>82</c:v>
              </c:pt>
              <c:pt idx="2">
                <c:v>24</c:v>
              </c:pt>
              <c:pt idx="3">
                <c:v>6</c:v>
              </c:pt>
              <c:pt idx="4">
                <c:v>6</c:v>
              </c:pt>
              <c:pt idx="5">
                <c:v>4</c:v>
              </c:pt>
              <c:pt idx="6">
                <c:v>1</c:v>
              </c:pt>
              <c:pt idx="7">
                <c:v>2</c:v>
              </c:pt>
            </c:numLit>
          </c:val>
          <c:extLst>
            <c:ext xmlns:c16="http://schemas.microsoft.com/office/drawing/2014/chart" uri="{C3380CC4-5D6E-409C-BE32-E72D297353CC}">
              <c16:uniqueId val="{00000000-42EF-47BC-9219-F72DF555F58D}"/>
            </c:ext>
          </c:extLst>
        </c:ser>
        <c:dLbls>
          <c:showLegendKey val="0"/>
          <c:showVal val="0"/>
          <c:showCatName val="0"/>
          <c:showSerName val="0"/>
          <c:showPercent val="0"/>
          <c:showBubbleSize val="0"/>
        </c:dLbls>
        <c:gapWidth val="0"/>
        <c:overlap val="-27"/>
        <c:axId val="1526507247"/>
        <c:axId val="1526506287"/>
      </c:barChart>
      <c:catAx>
        <c:axId val="1526507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SiriusXM Spins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06287"/>
        <c:crosses val="autoZero"/>
        <c:auto val="1"/>
        <c:lblAlgn val="ctr"/>
        <c:lblOffset val="100"/>
        <c:noMultiLvlLbl val="0"/>
      </c:catAx>
      <c:valAx>
        <c:axId val="1526506287"/>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650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376296</xdr:colOff>
      <xdr:row>1</xdr:row>
      <xdr:rowOff>164629</xdr:rowOff>
    </xdr:from>
    <xdr:to>
      <xdr:col>8</xdr:col>
      <xdr:colOff>154789</xdr:colOff>
      <xdr:row>15</xdr:row>
      <xdr:rowOff>110408</xdr:rowOff>
    </xdr:to>
    <xdr:graphicFrame macro="">
      <xdr:nvGraphicFramePr>
        <xdr:cNvPr id="7" name="Chart 6">
          <a:extLst>
            <a:ext uri="{FF2B5EF4-FFF2-40B4-BE49-F238E27FC236}">
              <a16:creationId xmlns:a16="http://schemas.microsoft.com/office/drawing/2014/main" id="{A28DAA79-70B5-404B-B1F9-628C08458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218252</xdr:colOff>
      <xdr:row>40</xdr:row>
      <xdr:rowOff>142993</xdr:rowOff>
    </xdr:from>
    <xdr:to>
      <xdr:col>17</xdr:col>
      <xdr:colOff>640884</xdr:colOff>
      <xdr:row>55</xdr:row>
      <xdr:rowOff>122559</xdr:rowOff>
    </xdr:to>
    <xdr:graphicFrame macro="">
      <xdr:nvGraphicFramePr>
        <xdr:cNvPr id="14" name="Chart 13">
          <a:extLst>
            <a:ext uri="{FF2B5EF4-FFF2-40B4-BE49-F238E27FC236}">
              <a16:creationId xmlns:a16="http://schemas.microsoft.com/office/drawing/2014/main" id="{B9E41E11-43DE-4B5D-B047-48D875CFD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1351844</xdr:colOff>
      <xdr:row>2</xdr:row>
      <xdr:rowOff>25401</xdr:rowOff>
    </xdr:from>
    <xdr:to>
      <xdr:col>23</xdr:col>
      <xdr:colOff>27020</xdr:colOff>
      <xdr:row>17</xdr:row>
      <xdr:rowOff>2615</xdr:rowOff>
    </xdr:to>
    <xdr:graphicFrame macro="">
      <xdr:nvGraphicFramePr>
        <xdr:cNvPr id="15" name="Chart 14">
          <a:extLst>
            <a:ext uri="{FF2B5EF4-FFF2-40B4-BE49-F238E27FC236}">
              <a16:creationId xmlns:a16="http://schemas.microsoft.com/office/drawing/2014/main" id="{534985E2-02AB-4901-8F19-55278D9DC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258704</xdr:colOff>
      <xdr:row>22</xdr:row>
      <xdr:rowOff>0</xdr:rowOff>
    </xdr:from>
    <xdr:to>
      <xdr:col>7</xdr:col>
      <xdr:colOff>111240</xdr:colOff>
      <xdr:row>38</xdr:row>
      <xdr:rowOff>60613</xdr:rowOff>
    </xdr:to>
    <xdr:graphicFrame macro="">
      <xdr:nvGraphicFramePr>
        <xdr:cNvPr id="16" name="Chart 15">
          <a:extLst>
            <a:ext uri="{FF2B5EF4-FFF2-40B4-BE49-F238E27FC236}">
              <a16:creationId xmlns:a16="http://schemas.microsoft.com/office/drawing/2014/main" id="{87AED08E-28B8-44F4-A466-18D3E1DA0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493890</xdr:colOff>
      <xdr:row>23</xdr:row>
      <xdr:rowOff>23519</xdr:rowOff>
    </xdr:from>
    <xdr:to>
      <xdr:col>15</xdr:col>
      <xdr:colOff>415988</xdr:colOff>
      <xdr:row>38</xdr:row>
      <xdr:rowOff>3084</xdr:rowOff>
    </xdr:to>
    <xdr:graphicFrame macro="">
      <xdr:nvGraphicFramePr>
        <xdr:cNvPr id="17" name="Chart 16">
          <a:extLst>
            <a:ext uri="{FF2B5EF4-FFF2-40B4-BE49-F238E27FC236}">
              <a16:creationId xmlns:a16="http://schemas.microsoft.com/office/drawing/2014/main" id="{7F6F6705-E800-4B9C-876F-DACB4E056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399816</xdr:colOff>
      <xdr:row>22</xdr:row>
      <xdr:rowOff>117593</xdr:rowOff>
    </xdr:from>
    <xdr:to>
      <xdr:col>19</xdr:col>
      <xdr:colOff>532447</xdr:colOff>
      <xdr:row>37</xdr:row>
      <xdr:rowOff>97160</xdr:rowOff>
    </xdr:to>
    <xdr:graphicFrame macro="">
      <xdr:nvGraphicFramePr>
        <xdr:cNvPr id="18" name="Chart 17">
          <a:extLst>
            <a:ext uri="{FF2B5EF4-FFF2-40B4-BE49-F238E27FC236}">
              <a16:creationId xmlns:a16="http://schemas.microsoft.com/office/drawing/2014/main" id="{2FA5E3C4-577C-4013-BC6E-7ED92192C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274225</xdr:colOff>
      <xdr:row>40</xdr:row>
      <xdr:rowOff>159456</xdr:rowOff>
    </xdr:from>
    <xdr:to>
      <xdr:col>6</xdr:col>
      <xdr:colOff>157581</xdr:colOff>
      <xdr:row>55</xdr:row>
      <xdr:rowOff>139023</xdr:rowOff>
    </xdr:to>
    <xdr:graphicFrame macro="">
      <xdr:nvGraphicFramePr>
        <xdr:cNvPr id="19" name="Chart 18">
          <a:extLst>
            <a:ext uri="{FF2B5EF4-FFF2-40B4-BE49-F238E27FC236}">
              <a16:creationId xmlns:a16="http://schemas.microsoft.com/office/drawing/2014/main" id="{39734877-51E6-4981-8D62-430555BBB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1017411</xdr:colOff>
      <xdr:row>40</xdr:row>
      <xdr:rowOff>157574</xdr:rowOff>
    </xdr:from>
    <xdr:to>
      <xdr:col>21</xdr:col>
      <xdr:colOff>160886</xdr:colOff>
      <xdr:row>55</xdr:row>
      <xdr:rowOff>137140</xdr:rowOff>
    </xdr:to>
    <xdr:graphicFrame macro="">
      <xdr:nvGraphicFramePr>
        <xdr:cNvPr id="20" name="Chart 19">
          <a:extLst>
            <a:ext uri="{FF2B5EF4-FFF2-40B4-BE49-F238E27FC236}">
              <a16:creationId xmlns:a16="http://schemas.microsoft.com/office/drawing/2014/main" id="{36A57BEB-0BB3-41BE-AC29-7319EAE61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409692</xdr:colOff>
      <xdr:row>22</xdr:row>
      <xdr:rowOff>159455</xdr:rowOff>
    </xdr:from>
    <xdr:to>
      <xdr:col>25</xdr:col>
      <xdr:colOff>441055</xdr:colOff>
      <xdr:row>37</xdr:row>
      <xdr:rowOff>139022</xdr:rowOff>
    </xdr:to>
    <xdr:graphicFrame macro="">
      <xdr:nvGraphicFramePr>
        <xdr:cNvPr id="21" name="Chart 20">
          <a:extLst>
            <a:ext uri="{FF2B5EF4-FFF2-40B4-BE49-F238E27FC236}">
              <a16:creationId xmlns:a16="http://schemas.microsoft.com/office/drawing/2014/main" id="{C9296AC6-0F77-4298-90B4-9A756C2A5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823148</xdr:colOff>
      <xdr:row>2</xdr:row>
      <xdr:rowOff>23518</xdr:rowOff>
    </xdr:from>
    <xdr:to>
      <xdr:col>18</xdr:col>
      <xdr:colOff>343672</xdr:colOff>
      <xdr:row>17</xdr:row>
      <xdr:rowOff>64485</xdr:rowOff>
    </xdr:to>
    <xdr:graphicFrame macro="">
      <xdr:nvGraphicFramePr>
        <xdr:cNvPr id="22" name="Chart 21">
          <a:extLst>
            <a:ext uri="{FF2B5EF4-FFF2-40B4-BE49-F238E27FC236}">
              <a16:creationId xmlns:a16="http://schemas.microsoft.com/office/drawing/2014/main" id="{6BFBA8F0-0DCB-4C52-9BD3-5DB9C848F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568879</xdr:colOff>
      <xdr:row>19</xdr:row>
      <xdr:rowOff>1638</xdr:rowOff>
    </xdr:from>
    <xdr:to>
      <xdr:col>7</xdr:col>
      <xdr:colOff>865295</xdr:colOff>
      <xdr:row>29</xdr:row>
      <xdr:rowOff>30502</xdr:rowOff>
    </xdr:to>
    <xdr:graphicFrame macro="">
      <xdr:nvGraphicFramePr>
        <xdr:cNvPr id="2" name="Chart 1">
          <a:extLst>
            <a:ext uri="{FF2B5EF4-FFF2-40B4-BE49-F238E27FC236}">
              <a16:creationId xmlns:a16="http://schemas.microsoft.com/office/drawing/2014/main" id="{0533B186-D1BB-452A-B9CD-2EFC581D4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33</xdr:row>
      <xdr:rowOff>1</xdr:rowOff>
    </xdr:from>
    <xdr:to>
      <xdr:col>7</xdr:col>
      <xdr:colOff>1096818</xdr:colOff>
      <xdr:row>42</xdr:row>
      <xdr:rowOff>153939</xdr:rowOff>
    </xdr:to>
    <xdr:graphicFrame macro="">
      <xdr:nvGraphicFramePr>
        <xdr:cNvPr id="3" name="Chart 2">
          <a:extLst>
            <a:ext uri="{FF2B5EF4-FFF2-40B4-BE49-F238E27FC236}">
              <a16:creationId xmlns:a16="http://schemas.microsoft.com/office/drawing/2014/main" id="{C05B274E-1106-44F7-B4B1-F228AA985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xdr:colOff>
      <xdr:row>45</xdr:row>
      <xdr:rowOff>1</xdr:rowOff>
    </xdr:from>
    <xdr:to>
      <xdr:col>7</xdr:col>
      <xdr:colOff>1125683</xdr:colOff>
      <xdr:row>55</xdr:row>
      <xdr:rowOff>115455</xdr:rowOff>
    </xdr:to>
    <xdr:graphicFrame macro="">
      <xdr:nvGraphicFramePr>
        <xdr:cNvPr id="4" name="Chart 3">
          <a:extLst>
            <a:ext uri="{FF2B5EF4-FFF2-40B4-BE49-F238E27FC236}">
              <a16:creationId xmlns:a16="http://schemas.microsoft.com/office/drawing/2014/main" id="{BE6B3AFC-575F-4243-AC7B-322DA0963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58</xdr:row>
      <xdr:rowOff>0</xdr:rowOff>
    </xdr:from>
    <xdr:to>
      <xdr:col>7</xdr:col>
      <xdr:colOff>1144924</xdr:colOff>
      <xdr:row>70</xdr:row>
      <xdr:rowOff>96213</xdr:rowOff>
    </xdr:to>
    <xdr:graphicFrame macro="">
      <xdr:nvGraphicFramePr>
        <xdr:cNvPr id="5" name="Chart 4">
          <a:extLst>
            <a:ext uri="{FF2B5EF4-FFF2-40B4-BE49-F238E27FC236}">
              <a16:creationId xmlns:a16="http://schemas.microsoft.com/office/drawing/2014/main" id="{1EE68E44-15B8-4E66-B817-830230F92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19</xdr:row>
      <xdr:rowOff>0</xdr:rowOff>
    </xdr:from>
    <xdr:to>
      <xdr:col>18</xdr:col>
      <xdr:colOff>423333</xdr:colOff>
      <xdr:row>28</xdr:row>
      <xdr:rowOff>28864</xdr:rowOff>
    </xdr:to>
    <xdr:graphicFrame macro="">
      <xdr:nvGraphicFramePr>
        <xdr:cNvPr id="6" name="Chart 5">
          <a:extLst>
            <a:ext uri="{FF2B5EF4-FFF2-40B4-BE49-F238E27FC236}">
              <a16:creationId xmlns:a16="http://schemas.microsoft.com/office/drawing/2014/main" id="{F541E555-31FA-4201-8E88-624B4B1E4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xdr:colOff>
      <xdr:row>32</xdr:row>
      <xdr:rowOff>0</xdr:rowOff>
    </xdr:from>
    <xdr:to>
      <xdr:col>18</xdr:col>
      <xdr:colOff>461819</xdr:colOff>
      <xdr:row>42</xdr:row>
      <xdr:rowOff>67348</xdr:rowOff>
    </xdr:to>
    <xdr:graphicFrame macro="">
      <xdr:nvGraphicFramePr>
        <xdr:cNvPr id="7" name="Chart 6">
          <a:extLst>
            <a:ext uri="{FF2B5EF4-FFF2-40B4-BE49-F238E27FC236}">
              <a16:creationId xmlns:a16="http://schemas.microsoft.com/office/drawing/2014/main" id="{CEE9B1FF-596C-474F-8548-C1EA1E9FB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0</xdr:colOff>
      <xdr:row>45</xdr:row>
      <xdr:rowOff>0</xdr:rowOff>
    </xdr:from>
    <xdr:to>
      <xdr:col>18</xdr:col>
      <xdr:colOff>423333</xdr:colOff>
      <xdr:row>54</xdr:row>
      <xdr:rowOff>105833</xdr:rowOff>
    </xdr:to>
    <xdr:graphicFrame macro="">
      <xdr:nvGraphicFramePr>
        <xdr:cNvPr id="8" name="Chart 7">
          <a:extLst>
            <a:ext uri="{FF2B5EF4-FFF2-40B4-BE49-F238E27FC236}">
              <a16:creationId xmlns:a16="http://schemas.microsoft.com/office/drawing/2014/main" id="{C33817FC-BBEA-4E22-BFA6-674540404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57</xdr:row>
      <xdr:rowOff>0</xdr:rowOff>
    </xdr:from>
    <xdr:to>
      <xdr:col>18</xdr:col>
      <xdr:colOff>558030</xdr:colOff>
      <xdr:row>68</xdr:row>
      <xdr:rowOff>9622</xdr:rowOff>
    </xdr:to>
    <xdr:graphicFrame macro="">
      <xdr:nvGraphicFramePr>
        <xdr:cNvPr id="9" name="Chart 8">
          <a:extLst>
            <a:ext uri="{FF2B5EF4-FFF2-40B4-BE49-F238E27FC236}">
              <a16:creationId xmlns:a16="http://schemas.microsoft.com/office/drawing/2014/main" id="{5A346097-5508-46E5-A05E-4EED30BBB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2</xdr:row>
      <xdr:rowOff>19050</xdr:rowOff>
    </xdr:from>
    <xdr:to>
      <xdr:col>2</xdr:col>
      <xdr:colOff>9525</xdr:colOff>
      <xdr:row>2</xdr:row>
      <xdr:rowOff>552450</xdr:rowOff>
    </xdr:to>
    <xdr:sp macro="" textlink="">
      <xdr:nvSpPr>
        <xdr:cNvPr id="9" name="TextBox 1">
          <a:extLst>
            <a:ext uri="{FF2B5EF4-FFF2-40B4-BE49-F238E27FC236}">
              <a16:creationId xmlns:a16="http://schemas.microsoft.com/office/drawing/2014/main" id="{B08F2046-50F9-B48E-1A23-BDCBF458C304}"/>
            </a:ext>
          </a:extLst>
        </xdr:cNvPr>
        <xdr:cNvSpPr txBox="1"/>
      </xdr:nvSpPr>
      <xdr:spPr>
        <a:xfrm>
          <a:off x="1876425" y="400050"/>
          <a:ext cx="432435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Spotify Popularity (a continuous 0–100 popularity/rating score assigned to each track), from the 'Cleaned Data' tab, column F.</a:t>
          </a:r>
          <a:r>
            <a:rPr lang="en-US">
              <a:effectLst/>
            </a:rPr>
            <a:t> </a:t>
          </a:r>
          <a:endParaRPr lang="en-US" sz="1100"/>
        </a:p>
      </xdr:txBody>
    </xdr:sp>
    <xdr:clientData/>
  </xdr:twoCellAnchor>
  <xdr:twoCellAnchor>
    <xdr:from>
      <xdr:col>1</xdr:col>
      <xdr:colOff>19049</xdr:colOff>
      <xdr:row>3</xdr:row>
      <xdr:rowOff>1</xdr:rowOff>
    </xdr:from>
    <xdr:to>
      <xdr:col>2</xdr:col>
      <xdr:colOff>9525</xdr:colOff>
      <xdr:row>3</xdr:row>
      <xdr:rowOff>742951</xdr:rowOff>
    </xdr:to>
    <xdr:sp macro="" textlink="">
      <xdr:nvSpPr>
        <xdr:cNvPr id="16" name="TextBox 2">
          <a:extLst>
            <a:ext uri="{FF2B5EF4-FFF2-40B4-BE49-F238E27FC236}">
              <a16:creationId xmlns:a16="http://schemas.microsoft.com/office/drawing/2014/main" id="{39D7D281-3E19-277E-6757-1DF6A96E56DA}"/>
            </a:ext>
          </a:extLst>
        </xdr:cNvPr>
        <xdr:cNvSpPr txBox="1"/>
      </xdr:nvSpPr>
      <xdr:spPr>
        <a:xfrm>
          <a:off x="1885949" y="952501"/>
          <a:ext cx="4676776"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It behaves like a continuous 'rating' (analogous to a review score), is bounded 0-100, and is the most nearly normal of the numeric variables in the dataset, making it a good candidate to test the normal vs. empirical distribution decision.</a:t>
          </a:r>
          <a:r>
            <a:rPr lang="en-US">
              <a:effectLst/>
            </a:rPr>
            <a:t> </a:t>
          </a:r>
          <a:endParaRPr lang="en-US" sz="1100"/>
        </a:p>
      </xdr:txBody>
    </xdr:sp>
    <xdr:clientData/>
  </xdr:twoCellAnchor>
  <xdr:twoCellAnchor>
    <xdr:from>
      <xdr:col>1</xdr:col>
      <xdr:colOff>47625</xdr:colOff>
      <xdr:row>11</xdr:row>
      <xdr:rowOff>28575</xdr:rowOff>
    </xdr:from>
    <xdr:to>
      <xdr:col>1</xdr:col>
      <xdr:colOff>5915025</xdr:colOff>
      <xdr:row>11</xdr:row>
      <xdr:rowOff>714375</xdr:rowOff>
    </xdr:to>
    <xdr:sp macro="" textlink="">
      <xdr:nvSpPr>
        <xdr:cNvPr id="96" name="TextBox 3">
          <a:extLst>
            <a:ext uri="{FF2B5EF4-FFF2-40B4-BE49-F238E27FC236}">
              <a16:creationId xmlns:a16="http://schemas.microsoft.com/office/drawing/2014/main" id="{4E1EBC47-DCC0-4D6A-C3E2-109BEB67A5C3}"/>
            </a:ext>
          </a:extLst>
        </xdr:cNvPr>
        <xdr:cNvSpPr txBox="1"/>
      </xdr:nvSpPr>
      <xdr:spPr>
        <a:xfrm>
          <a:off x="1914525" y="3076575"/>
          <a:ext cx="5867400"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Mean (≈67.6) is noticeably lower than the median (69), and skewness is about -2.48 (well outside the roughly -0.5 to +0.5 range expected for a normal shape). The distribution is left-skewed / non-normal, so the empirical (percentile-based) method is used for all three problems below rather than z-scores.</a:t>
          </a:r>
          <a:r>
            <a:rPr lang="en-US">
              <a:effectLst/>
            </a:rPr>
            <a:t> </a:t>
          </a:r>
          <a:endParaRPr lang="en-US" sz="1100"/>
        </a:p>
      </xdr:txBody>
    </xdr:sp>
    <xdr:clientData/>
  </xdr:twoCellAnchor>
  <xdr:twoCellAnchor>
    <xdr:from>
      <xdr:col>1</xdr:col>
      <xdr:colOff>28573</xdr:colOff>
      <xdr:row>28</xdr:row>
      <xdr:rowOff>47626</xdr:rowOff>
    </xdr:from>
    <xdr:to>
      <xdr:col>1</xdr:col>
      <xdr:colOff>5800724</xdr:colOff>
      <xdr:row>28</xdr:row>
      <xdr:rowOff>485776</xdr:rowOff>
    </xdr:to>
    <xdr:sp macro="" textlink="">
      <xdr:nvSpPr>
        <xdr:cNvPr id="106" name="TextBox 4">
          <a:extLst>
            <a:ext uri="{FF2B5EF4-FFF2-40B4-BE49-F238E27FC236}">
              <a16:creationId xmlns:a16="http://schemas.microsoft.com/office/drawing/2014/main" id="{B1808140-560F-45F0-5805-F8FAE41F8081}"/>
            </a:ext>
          </a:extLst>
        </xdr:cNvPr>
        <xdr:cNvSpPr txBox="1"/>
      </xdr:nvSpPr>
      <xdr:spPr>
        <a:xfrm>
          <a:off x="1895473" y="8810626"/>
          <a:ext cx="5772151"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What proportion of songs have a Spotify Popularity score between 60 and 80 (the typical 'solidly popular' mid-to-high range)?</a:t>
          </a:r>
          <a:r>
            <a:rPr lang="en-US">
              <a:effectLst/>
            </a:rPr>
            <a:t> </a:t>
          </a:r>
          <a:endParaRPr lang="en-US" sz="1100"/>
        </a:p>
      </xdr:txBody>
    </xdr:sp>
    <xdr:clientData/>
  </xdr:twoCellAnchor>
  <xdr:twoCellAnchor>
    <xdr:from>
      <xdr:col>1</xdr:col>
      <xdr:colOff>9524</xdr:colOff>
      <xdr:row>35</xdr:row>
      <xdr:rowOff>28574</xdr:rowOff>
    </xdr:from>
    <xdr:to>
      <xdr:col>1</xdr:col>
      <xdr:colOff>5829300</xdr:colOff>
      <xdr:row>35</xdr:row>
      <xdr:rowOff>1047750</xdr:rowOff>
    </xdr:to>
    <xdr:sp macro="" textlink="">
      <xdr:nvSpPr>
        <xdr:cNvPr id="111" name="TextBox 5">
          <a:extLst>
            <a:ext uri="{FF2B5EF4-FFF2-40B4-BE49-F238E27FC236}">
              <a16:creationId xmlns:a16="http://schemas.microsoft.com/office/drawing/2014/main" id="{B32BE2EF-775D-4545-A310-44043A62CB00}"/>
            </a:ext>
          </a:extLst>
        </xdr:cNvPr>
        <xdr:cNvSpPr txBox="1"/>
      </xdr:nvSpPr>
      <xdr:spPr>
        <a:xfrm>
          <a:off x="1876424" y="10887074"/>
          <a:ext cx="5819776" cy="1019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Claude (Anthropic) was used as an assistant to help brainstorm and word Problem 3 (the 'between 60 and 80' range question) and to double-check that the empirical, rather than normal, method was appropriate given the variable's skewness of about -2.48. The problem statements, all calculations, formulas, and final interpretations were reviewed and confirmed by the student against the actual dataset before inclusion.</a:t>
          </a:r>
          <a:r>
            <a:rPr lang="en-US">
              <a:effectLst/>
            </a:rPr>
            <a:t> </a:t>
          </a:r>
          <a:endParaRPr lang="en-US" sz="1100"/>
        </a:p>
      </xdr:txBody>
    </xdr:sp>
    <xdr:clientData/>
  </xdr:twoCellAnchor>
  <xdr:twoCellAnchor>
    <xdr:from>
      <xdr:col>1</xdr:col>
      <xdr:colOff>9525</xdr:colOff>
      <xdr:row>32</xdr:row>
      <xdr:rowOff>47625</xdr:rowOff>
    </xdr:from>
    <xdr:to>
      <xdr:col>1</xdr:col>
      <xdr:colOff>5829300</xdr:colOff>
      <xdr:row>32</xdr:row>
      <xdr:rowOff>514350</xdr:rowOff>
    </xdr:to>
    <xdr:sp macro="" textlink="">
      <xdr:nvSpPr>
        <xdr:cNvPr id="108" name="TextBox 6">
          <a:extLst>
            <a:ext uri="{FF2B5EF4-FFF2-40B4-BE49-F238E27FC236}">
              <a16:creationId xmlns:a16="http://schemas.microsoft.com/office/drawing/2014/main" id="{252C5F15-3CCD-4FAF-ADA7-D0D841A929E2}"/>
            </a:ext>
          </a:extLst>
        </xdr:cNvPr>
        <xdr:cNvSpPr txBox="1"/>
      </xdr:nvSpPr>
      <xdr:spPr>
        <a:xfrm>
          <a:off x="1876425" y="9953625"/>
          <a:ext cx="5819775"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About 82% of songs land in the 60-80 popularity band, confirming the distribution is tightly concentrated just above its median (69) rather than spread evenly across the full 0-100 scale.</a:t>
          </a:r>
          <a:r>
            <a:rPr lang="en-US">
              <a:effectLst/>
            </a:rPr>
            <a:t> </a:t>
          </a:r>
          <a:endParaRPr lang="en-US" sz="1100"/>
        </a:p>
      </xdr:txBody>
    </xdr:sp>
    <xdr:clientData/>
  </xdr:twoCellAnchor>
  <xdr:twoCellAnchor>
    <xdr:from>
      <xdr:col>1</xdr:col>
      <xdr:colOff>28573</xdr:colOff>
      <xdr:row>25</xdr:row>
      <xdr:rowOff>28575</xdr:rowOff>
    </xdr:from>
    <xdr:to>
      <xdr:col>1</xdr:col>
      <xdr:colOff>5857874</xdr:colOff>
      <xdr:row>25</xdr:row>
      <xdr:rowOff>495300</xdr:rowOff>
    </xdr:to>
    <xdr:sp macro="" textlink="">
      <xdr:nvSpPr>
        <xdr:cNvPr id="105" name="TextBox 7">
          <a:extLst>
            <a:ext uri="{FF2B5EF4-FFF2-40B4-BE49-F238E27FC236}">
              <a16:creationId xmlns:a16="http://schemas.microsoft.com/office/drawing/2014/main" id="{820ED0A1-6E67-43DB-9AE0-40DF74B7C2F9}"/>
            </a:ext>
          </a:extLst>
        </xdr:cNvPr>
        <xdr:cNvSpPr txBox="1"/>
      </xdr:nvSpPr>
      <xdr:spPr>
        <a:xfrm>
          <a:off x="1895473" y="7848600"/>
          <a:ext cx="5829301"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Roughly 3.7% of songs fall below a popularity score of 50. Since this dataset is already limited to the most-streamed songs of 2024, very low popularity scores are uncommon.</a:t>
          </a:r>
          <a:r>
            <a:rPr lang="en-US">
              <a:effectLst/>
            </a:rPr>
            <a:t> </a:t>
          </a:r>
          <a:endParaRPr lang="en-US" sz="1100"/>
        </a:p>
      </xdr:txBody>
    </xdr:sp>
    <xdr:clientData/>
  </xdr:twoCellAnchor>
  <xdr:twoCellAnchor>
    <xdr:from>
      <xdr:col>1</xdr:col>
      <xdr:colOff>66674</xdr:colOff>
      <xdr:row>21</xdr:row>
      <xdr:rowOff>28575</xdr:rowOff>
    </xdr:from>
    <xdr:to>
      <xdr:col>1</xdr:col>
      <xdr:colOff>5734049</xdr:colOff>
      <xdr:row>21</xdr:row>
      <xdr:rowOff>514350</xdr:rowOff>
    </xdr:to>
    <xdr:sp macro="" textlink="">
      <xdr:nvSpPr>
        <xdr:cNvPr id="103" name="TextBox 8">
          <a:extLst>
            <a:ext uri="{FF2B5EF4-FFF2-40B4-BE49-F238E27FC236}">
              <a16:creationId xmlns:a16="http://schemas.microsoft.com/office/drawing/2014/main" id="{739D3C99-C69F-49B4-8645-0D5F36B12662}"/>
            </a:ext>
          </a:extLst>
        </xdr:cNvPr>
        <xdr:cNvSpPr txBox="1"/>
      </xdr:nvSpPr>
      <xdr:spPr>
        <a:xfrm>
          <a:off x="1933574" y="6705600"/>
          <a:ext cx="5667375" cy="48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What is the probability that a randomly selected song has a Spotify Popularity score below 50 (a relatively unpopular track for this list of top-streamed songs)?</a:t>
          </a:r>
          <a:r>
            <a:rPr lang="en-US">
              <a:effectLst/>
            </a:rPr>
            <a:t> </a:t>
          </a:r>
          <a:endParaRPr lang="en-US" sz="1100"/>
        </a:p>
      </xdr:txBody>
    </xdr:sp>
    <xdr:clientData/>
  </xdr:twoCellAnchor>
  <xdr:twoCellAnchor>
    <xdr:from>
      <xdr:col>1</xdr:col>
      <xdr:colOff>38099</xdr:colOff>
      <xdr:row>18</xdr:row>
      <xdr:rowOff>19050</xdr:rowOff>
    </xdr:from>
    <xdr:to>
      <xdr:col>1</xdr:col>
      <xdr:colOff>5838825</xdr:colOff>
      <xdr:row>18</xdr:row>
      <xdr:rowOff>514350</xdr:rowOff>
    </xdr:to>
    <xdr:sp macro="" textlink="">
      <xdr:nvSpPr>
        <xdr:cNvPr id="100" name="TextBox 9">
          <a:extLst>
            <a:ext uri="{FF2B5EF4-FFF2-40B4-BE49-F238E27FC236}">
              <a16:creationId xmlns:a16="http://schemas.microsoft.com/office/drawing/2014/main" id="{72141562-3A17-4BF8-9768-76ABEFB76E3E}"/>
            </a:ext>
          </a:extLst>
        </xdr:cNvPr>
        <xdr:cNvSpPr txBox="1"/>
      </xdr:nvSpPr>
      <xdr:spPr>
        <a:xfrm>
          <a:off x="1904999" y="5743575"/>
          <a:ext cx="5800726"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Only about 5.7% of songs score above 80, showing that truly elite popularity scores are rare — most streaming hits cluster in the 60-80 range rather than near the top of the scale.</a:t>
          </a:r>
          <a:r>
            <a:rPr lang="en-US">
              <a:effectLst/>
            </a:rPr>
            <a:t> </a:t>
          </a:r>
          <a:endParaRPr lang="en-US" sz="1100"/>
        </a:p>
      </xdr:txBody>
    </xdr:sp>
    <xdr:clientData/>
  </xdr:twoCellAnchor>
  <xdr:twoCellAnchor>
    <xdr:from>
      <xdr:col>1</xdr:col>
      <xdr:colOff>57149</xdr:colOff>
      <xdr:row>15</xdr:row>
      <xdr:rowOff>57150</xdr:rowOff>
    </xdr:from>
    <xdr:to>
      <xdr:col>1</xdr:col>
      <xdr:colOff>5753100</xdr:colOff>
      <xdr:row>15</xdr:row>
      <xdr:rowOff>514350</xdr:rowOff>
    </xdr:to>
    <xdr:sp macro="" textlink="">
      <xdr:nvSpPr>
        <xdr:cNvPr id="98" name="TextBox 10">
          <a:extLst>
            <a:ext uri="{FF2B5EF4-FFF2-40B4-BE49-F238E27FC236}">
              <a16:creationId xmlns:a16="http://schemas.microsoft.com/office/drawing/2014/main" id="{BF33B671-92CF-4646-A492-29E6031D81D4}"/>
            </a:ext>
          </a:extLst>
        </xdr:cNvPr>
        <xdr:cNvSpPr txBox="1"/>
      </xdr:nvSpPr>
      <xdr:spPr>
        <a:xfrm>
          <a:off x="1924049" y="4819650"/>
          <a:ext cx="5695951"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Empirical distribution (percentile/relative frequency), because the variable is non-normal (skewness ≈ -2.48).</a:t>
          </a:r>
          <a:r>
            <a:rPr lang="en-US">
              <a:effectLst/>
            </a:rPr>
            <a:t> </a:t>
          </a:r>
          <a:endParaRPr lang="en-US" sz="1100"/>
        </a:p>
      </xdr:txBody>
    </xdr:sp>
    <xdr:clientData/>
  </xdr:twoCellAnchor>
  <xdr:twoCellAnchor>
    <xdr:from>
      <xdr:col>1</xdr:col>
      <xdr:colOff>9525</xdr:colOff>
      <xdr:row>14</xdr:row>
      <xdr:rowOff>19050</xdr:rowOff>
    </xdr:from>
    <xdr:to>
      <xdr:col>1</xdr:col>
      <xdr:colOff>5848350</xdr:colOff>
      <xdr:row>14</xdr:row>
      <xdr:rowOff>561975</xdr:rowOff>
    </xdr:to>
    <xdr:sp macro="" textlink="">
      <xdr:nvSpPr>
        <xdr:cNvPr id="97" name="TextBox 11">
          <a:extLst>
            <a:ext uri="{FF2B5EF4-FFF2-40B4-BE49-F238E27FC236}">
              <a16:creationId xmlns:a16="http://schemas.microsoft.com/office/drawing/2014/main" id="{BC51DA4F-AC97-43B6-9307-4D47C0252E9D}"/>
            </a:ext>
          </a:extLst>
        </xdr:cNvPr>
        <xdr:cNvSpPr txBox="1"/>
      </xdr:nvSpPr>
      <xdr:spPr>
        <a:xfrm>
          <a:off x="1876425" y="4210050"/>
          <a:ext cx="5838825" cy="542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What is the probability that a randomly selected song in this dataset has a Spotify Popularity score above 80 (i.e., is a 'breakout hit')?</a:t>
          </a:r>
          <a:r>
            <a:rPr lang="en-US">
              <a:effectLst/>
            </a:rPr>
            <a:t> </a:t>
          </a: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C8A612-A078-4CDB-AA11-73FC06AC17AC}" name="Table2" displayName="Table2" ref="I21:J26" totalsRowShown="0" headerRowDxfId="0">
  <autoFilter ref="I21:J26" xr:uid="{11C8A612-A078-4CDB-AA11-73FC06AC17AC}"/>
  <tableColumns count="2">
    <tableColumn id="1" xr3:uid="{90932858-8F5B-4053-A530-D687526E2944}" name="Spotify Streams"/>
    <tableColumn id="2" xr3:uid="{8DFAE68E-A6F1-440F-B35A-CEA4495904E2}" name="   " dataCellStyle="Com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435544-1103-4D9A-8926-174268BDC2E2}" name="Table3" displayName="Table3" ref="I34:J39" totalsRowShown="0">
  <autoFilter ref="I34:J39" xr:uid="{AB435544-1103-4D9A-8926-174268BDC2E2}"/>
  <tableColumns count="2">
    <tableColumn id="1" xr3:uid="{2BD320DF-B51B-4F7F-B721-C4D71914B939}" name="Spotify Playlist Count"/>
    <tableColumn id="2" xr3:uid="{5F1B9291-A14E-4104-B1ED-C61EE254C309}" name="  " dataCellStyle="Comm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8DD800-4710-4042-8AE8-8687D5D81009}" name="Table4" displayName="Table4" ref="I46:J51" totalsRowShown="0">
  <autoFilter ref="I46:J51" xr:uid="{A78DD800-4710-4042-8AE8-8687D5D81009}"/>
  <tableColumns count="2">
    <tableColumn id="1" xr3:uid="{FD7D6BD3-DECB-4DAD-8200-648998ACF85D}" name="Spotify Popularity Count"/>
    <tableColumn id="2" xr3:uid="{D39CBC72-A6BF-476D-A1C6-59C2A9A61BD0}" name="  " dataCellStyle="Comm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918CBB-8B3B-4A99-A2DD-2017D57AC53D}" name="Table5" displayName="Table5" ref="I59:J64" totalsRowShown="0">
  <autoFilter ref="I59:J64" xr:uid="{F0918CBB-8B3B-4A99-A2DD-2017D57AC53D}"/>
  <tableColumns count="2">
    <tableColumn id="1" xr3:uid="{F379DE96-B80C-479E-B247-41CD5FA3061F}" name="Youtube Views"/>
    <tableColumn id="2" xr3:uid="{B89CD08A-4213-44F9-B202-6343C4019BEA}" name="  " dataCellStyle="Comm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E7550E3-427C-4BAF-8CF4-3B4CE1804EC8}" name="Table6" displayName="Table6" ref="T33:U38" totalsRowShown="0">
  <autoFilter ref="T33:U38" xr:uid="{BE7550E3-427C-4BAF-8CF4-3B4CE1804EC8}"/>
  <tableColumns count="2">
    <tableColumn id="1" xr3:uid="{518939F3-04DE-4229-BC16-0523674EFBC5}" name="Tik Tok Views"/>
    <tableColumn id="2" xr3:uid="{59BF7258-7A0C-4695-A728-A2A05BB5BA04}" name="  "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E0847D0-C302-4306-961F-799B725AC8C9}" name="Table7" displayName="Table7" ref="T46:U51" totalsRowShown="0">
  <autoFilter ref="T46:U51" xr:uid="{3E0847D0-C302-4306-961F-799B725AC8C9}"/>
  <tableColumns count="2">
    <tableColumn id="1" xr3:uid="{923559C6-667A-4202-8CC5-1C2A5419E8E5}" name="Apple Music Playlist Count"/>
    <tableColumn id="2" xr3:uid="{EA41303D-CFB5-4860-912F-199304E2D817}" name="  " dataCellStyle="Comm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20DFFA-E076-40D1-AA83-CAA5288DE6D4}" name="Table8" displayName="Table8" ref="T20:U25" totalsRowShown="0">
  <autoFilter ref="T20:U25" xr:uid="{3520DFFA-E076-40D1-AA83-CAA5288DE6D4}"/>
  <tableColumns count="2">
    <tableColumn id="1" xr3:uid="{85FD42B5-7AA3-4344-97FE-46D272BFC0FA}" name="Youtube Likes"/>
    <tableColumn id="2" xr3:uid="{BC9C70B6-EF0F-4FF3-99DD-2FF4712CEDD4}" name="  " dataCellStyle="Comma"/>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2EF4FB5-0B44-4603-804C-B8C2B1D32BB3}" name="Table9" displayName="Table9" ref="T58:U63" totalsRowShown="0">
  <autoFilter ref="T58:U63" xr:uid="{E2EF4FB5-0B44-4603-804C-B8C2B1D32BB3}"/>
  <tableColumns count="2">
    <tableColumn id="1" xr3:uid="{A071626C-704B-4E42-9450-77B6623B1DE0}" name="SiriusXM Spins"/>
    <tableColumn id="2" xr3:uid="{F2034D80-DA7E-4454-8880-1D49B1499E13}" name="  "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datasets/nelgiriyewithana/most-streamed-spotify-songs-202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2.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ECC23-CBA1-47F7-A8D7-E0F4294916A5}">
  <sheetPr filterMode="1"/>
  <dimension ref="A1:W4601"/>
  <sheetViews>
    <sheetView workbookViewId="0">
      <selection activeCell="O19" sqref="O19"/>
    </sheetView>
  </sheetViews>
  <sheetFormatPr defaultRowHeight="14.5"/>
  <cols>
    <col min="3" max="3" width="12.7265625" customWidth="1"/>
    <col min="4" max="4" width="17.54296875" customWidth="1"/>
    <col min="7" max="7" width="15.1796875" customWidth="1"/>
    <col min="8" max="8" width="11.81640625" customWidth="1"/>
    <col min="9" max="9" width="15" customWidth="1"/>
    <col min="12" max="12" width="13.1796875" customWidth="1"/>
    <col min="13" max="13" width="12.7265625" customWidth="1"/>
    <col min="16" max="16" width="17.54296875" bestFit="1" customWidth="1"/>
    <col min="17" max="17" width="77.81640625" bestFit="1" customWidth="1"/>
  </cols>
  <sheetData>
    <row r="1" spans="1:23">
      <c r="A1" t="s">
        <v>0</v>
      </c>
      <c r="B1" t="s">
        <v>1</v>
      </c>
      <c r="C1" t="s">
        <v>2</v>
      </c>
      <c r="D1" s="5" t="s">
        <v>3</v>
      </c>
      <c r="E1" s="5" t="s">
        <v>4</v>
      </c>
      <c r="F1" s="5" t="s">
        <v>5</v>
      </c>
      <c r="G1" s="5" t="s">
        <v>6</v>
      </c>
      <c r="H1" s="5" t="s">
        <v>7</v>
      </c>
      <c r="I1" s="6" t="s">
        <v>8</v>
      </c>
      <c r="J1" s="5" t="s">
        <v>9</v>
      </c>
      <c r="K1" s="5" t="s">
        <v>10</v>
      </c>
      <c r="L1" s="5" t="s">
        <v>11</v>
      </c>
      <c r="M1" s="5" t="s">
        <v>12</v>
      </c>
      <c r="P1" t="s">
        <v>13</v>
      </c>
      <c r="S1" s="21" t="s">
        <v>14</v>
      </c>
      <c r="T1" s="21"/>
      <c r="U1" s="21"/>
      <c r="V1" s="21"/>
      <c r="W1" s="21"/>
    </row>
    <row r="2" spans="1:23">
      <c r="A2" t="s">
        <v>15</v>
      </c>
      <c r="B2" t="s">
        <v>16</v>
      </c>
      <c r="C2" s="1">
        <v>45408</v>
      </c>
      <c r="D2" s="2">
        <v>390470936</v>
      </c>
      <c r="E2" s="2">
        <v>30716</v>
      </c>
      <c r="F2">
        <v>92</v>
      </c>
      <c r="G2" s="2">
        <v>84274754</v>
      </c>
      <c r="H2" s="2">
        <v>1713126</v>
      </c>
      <c r="I2" s="2">
        <v>5332281936</v>
      </c>
      <c r="J2">
        <v>210</v>
      </c>
      <c r="K2">
        <v>684</v>
      </c>
      <c r="L2">
        <v>0</v>
      </c>
      <c r="M2" t="str">
        <f>IF(YEAR(C2)&lt;2010,"Before 2010",IF(YEAR(C2)&lt;=2020,"2010-2020","After 2020"))</f>
        <v>After 2020</v>
      </c>
      <c r="P2" t="s">
        <v>17</v>
      </c>
      <c r="S2" s="21"/>
      <c r="T2" s="21"/>
      <c r="U2" s="21"/>
      <c r="V2" s="21"/>
      <c r="W2" s="21"/>
    </row>
    <row r="3" spans="1:23">
      <c r="A3" t="s">
        <v>18</v>
      </c>
      <c r="B3" t="s">
        <v>19</v>
      </c>
      <c r="C3" s="1">
        <v>45416</v>
      </c>
      <c r="D3" s="2">
        <v>323703884</v>
      </c>
      <c r="E3" s="2">
        <v>28113</v>
      </c>
      <c r="F3">
        <v>92</v>
      </c>
      <c r="G3" s="2">
        <v>116347040</v>
      </c>
      <c r="H3" s="2">
        <v>3486739</v>
      </c>
      <c r="I3" s="2">
        <v>208339025</v>
      </c>
      <c r="J3">
        <v>188</v>
      </c>
      <c r="K3">
        <v>3</v>
      </c>
      <c r="L3">
        <v>1</v>
      </c>
      <c r="M3" t="str">
        <f t="shared" ref="M3:M66" si="0">IF(YEAR(C3)&lt;2010,"Before 2010",IF(YEAR(C3)&lt;=2020,"2010-2020","After 2020"))</f>
        <v>After 2020</v>
      </c>
      <c r="P3" s="23" t="s">
        <v>20</v>
      </c>
      <c r="Q3" s="23"/>
      <c r="S3" s="21"/>
      <c r="T3" s="21"/>
      <c r="U3" s="21"/>
      <c r="V3" s="21"/>
      <c r="W3" s="21"/>
    </row>
    <row r="4" spans="1:23">
      <c r="A4" t="s">
        <v>21</v>
      </c>
      <c r="B4" t="s">
        <v>22</v>
      </c>
      <c r="C4" s="1">
        <v>45370</v>
      </c>
      <c r="D4" s="2">
        <v>601309283</v>
      </c>
      <c r="E4" s="2">
        <v>54331</v>
      </c>
      <c r="F4">
        <v>92</v>
      </c>
      <c r="G4" s="2">
        <v>122599116</v>
      </c>
      <c r="H4" s="2">
        <v>2228730</v>
      </c>
      <c r="I4" s="2">
        <v>3369120610</v>
      </c>
      <c r="J4">
        <v>190</v>
      </c>
      <c r="K4">
        <v>536</v>
      </c>
      <c r="L4">
        <v>0</v>
      </c>
      <c r="M4" t="str">
        <f t="shared" si="0"/>
        <v>After 2020</v>
      </c>
      <c r="S4" s="21"/>
      <c r="T4" s="21"/>
      <c r="U4" s="21"/>
      <c r="V4" s="21"/>
      <c r="W4" s="21"/>
    </row>
    <row r="5" spans="1:23">
      <c r="A5" t="s">
        <v>23</v>
      </c>
      <c r="B5" t="s">
        <v>24</v>
      </c>
      <c r="C5" s="1">
        <v>44938</v>
      </c>
      <c r="D5" s="2">
        <v>2031280633</v>
      </c>
      <c r="E5" s="2">
        <v>269802</v>
      </c>
      <c r="F5">
        <v>85</v>
      </c>
      <c r="G5" s="2">
        <v>1096100899</v>
      </c>
      <c r="H5" s="2">
        <v>10629796</v>
      </c>
      <c r="I5" s="2">
        <v>14603725994</v>
      </c>
      <c r="J5">
        <v>394</v>
      </c>
      <c r="K5" s="2">
        <v>2182</v>
      </c>
      <c r="L5">
        <v>0</v>
      </c>
      <c r="M5" t="str">
        <f t="shared" si="0"/>
        <v>After 2020</v>
      </c>
      <c r="P5" t="s">
        <v>25</v>
      </c>
      <c r="Q5" t="s">
        <v>26</v>
      </c>
      <c r="S5" s="21"/>
      <c r="T5" s="21"/>
      <c r="U5" s="21"/>
      <c r="V5" s="21"/>
      <c r="W5" s="21"/>
    </row>
    <row r="6" spans="1:23" hidden="1">
      <c r="A6" t="s">
        <v>27</v>
      </c>
      <c r="B6" t="s">
        <v>28</v>
      </c>
      <c r="C6" s="1">
        <v>45443</v>
      </c>
      <c r="D6" s="2">
        <v>107034922</v>
      </c>
      <c r="E6" s="2">
        <v>7223</v>
      </c>
      <c r="F6">
        <v>88</v>
      </c>
      <c r="G6" s="2">
        <v>77373957</v>
      </c>
      <c r="H6" s="2">
        <v>3670188</v>
      </c>
      <c r="J6">
        <v>182</v>
      </c>
      <c r="K6">
        <v>1</v>
      </c>
      <c r="L6">
        <v>1</v>
      </c>
      <c r="M6" t="str">
        <f>IF(YEAR(C6)&lt;2010,"Before 2010",IF(YEAR(C6)&lt;=2020,"2010-2020","After 2020"))</f>
        <v>After 2020</v>
      </c>
      <c r="S6" s="21"/>
      <c r="T6" s="21"/>
      <c r="U6" s="21"/>
      <c r="V6" s="21"/>
      <c r="W6" s="21"/>
    </row>
    <row r="7" spans="1:23">
      <c r="A7" t="s">
        <v>29</v>
      </c>
      <c r="B7" t="s">
        <v>30</v>
      </c>
      <c r="C7" s="1">
        <v>45240</v>
      </c>
      <c r="D7" s="2">
        <v>670665438</v>
      </c>
      <c r="E7" s="2">
        <v>105892</v>
      </c>
      <c r="F7">
        <v>83</v>
      </c>
      <c r="G7" s="2">
        <v>131148091</v>
      </c>
      <c r="H7" s="2">
        <v>1392593</v>
      </c>
      <c r="I7" s="2">
        <v>2938686633</v>
      </c>
      <c r="J7">
        <v>138</v>
      </c>
      <c r="K7" s="2">
        <v>4654</v>
      </c>
      <c r="L7">
        <v>1</v>
      </c>
      <c r="M7" t="str">
        <f t="shared" si="0"/>
        <v>After 2020</v>
      </c>
    </row>
    <row r="8" spans="1:23">
      <c r="A8" t="s">
        <v>31</v>
      </c>
      <c r="B8" t="s">
        <v>32</v>
      </c>
      <c r="C8" s="1">
        <v>45309</v>
      </c>
      <c r="D8" s="2">
        <v>900158751</v>
      </c>
      <c r="E8" s="2">
        <v>73118</v>
      </c>
      <c r="F8">
        <v>86</v>
      </c>
      <c r="G8" s="2">
        <v>308723145</v>
      </c>
      <c r="H8" s="2">
        <v>4120760</v>
      </c>
      <c r="I8" s="2">
        <v>534915313</v>
      </c>
      <c r="J8">
        <v>280</v>
      </c>
      <c r="K8">
        <v>429</v>
      </c>
      <c r="L8">
        <v>0</v>
      </c>
      <c r="M8" t="str">
        <f t="shared" si="0"/>
        <v>After 2020</v>
      </c>
      <c r="P8" t="s">
        <v>33</v>
      </c>
    </row>
    <row r="9" spans="1:23">
      <c r="A9" t="s">
        <v>34</v>
      </c>
      <c r="B9" t="s">
        <v>35</v>
      </c>
      <c r="C9" s="1">
        <v>45324</v>
      </c>
      <c r="D9" s="2">
        <v>675079153</v>
      </c>
      <c r="E9" s="2">
        <v>40094</v>
      </c>
      <c r="F9">
        <v>92</v>
      </c>
      <c r="G9" s="2">
        <v>228382568</v>
      </c>
      <c r="H9" s="2">
        <v>1439495</v>
      </c>
      <c r="I9" s="2">
        <v>3804584163</v>
      </c>
      <c r="J9">
        <v>160</v>
      </c>
      <c r="K9">
        <v>30</v>
      </c>
      <c r="L9">
        <v>1</v>
      </c>
      <c r="M9" t="str">
        <f t="shared" si="0"/>
        <v>After 2020</v>
      </c>
      <c r="P9" t="s">
        <v>36</v>
      </c>
      <c r="Q9" t="s">
        <v>37</v>
      </c>
    </row>
    <row r="10" spans="1:23" hidden="1">
      <c r="A10" t="s">
        <v>38</v>
      </c>
      <c r="B10" t="s">
        <v>39</v>
      </c>
      <c r="C10" s="1">
        <v>45452</v>
      </c>
      <c r="D10" s="2">
        <v>1653018119</v>
      </c>
      <c r="E10">
        <v>1</v>
      </c>
      <c r="L10">
        <v>1</v>
      </c>
      <c r="M10" t="str">
        <f t="shared" si="0"/>
        <v>After 2020</v>
      </c>
      <c r="P10" t="s">
        <v>40</v>
      </c>
      <c r="Q10" t="s">
        <v>41</v>
      </c>
    </row>
    <row r="11" spans="1:23" ht="29">
      <c r="A11" t="s">
        <v>42</v>
      </c>
      <c r="B11" t="s">
        <v>43</v>
      </c>
      <c r="C11" s="1">
        <v>45435</v>
      </c>
      <c r="D11" s="2">
        <v>90676573</v>
      </c>
      <c r="E11" s="2">
        <v>10400</v>
      </c>
      <c r="F11">
        <v>86</v>
      </c>
      <c r="G11" s="2">
        <v>32735244</v>
      </c>
      <c r="H11" s="2">
        <v>988682</v>
      </c>
      <c r="I11" s="2">
        <v>974656200</v>
      </c>
      <c r="J11">
        <v>191</v>
      </c>
      <c r="K11">
        <v>117</v>
      </c>
      <c r="L11">
        <v>1</v>
      </c>
      <c r="M11" t="str">
        <f t="shared" si="0"/>
        <v>After 2020</v>
      </c>
      <c r="P11" t="s">
        <v>44</v>
      </c>
      <c r="Q11" s="7" t="s">
        <v>45</v>
      </c>
    </row>
    <row r="12" spans="1:23">
      <c r="A12" t="s">
        <v>46</v>
      </c>
      <c r="B12" t="s">
        <v>47</v>
      </c>
      <c r="C12" s="1">
        <v>45422</v>
      </c>
      <c r="D12" s="2">
        <v>250080413</v>
      </c>
      <c r="E12" s="2">
        <v>16219</v>
      </c>
      <c r="F12">
        <v>91</v>
      </c>
      <c r="G12" s="2">
        <v>32229063</v>
      </c>
      <c r="H12" s="2">
        <v>550191</v>
      </c>
      <c r="I12" s="2">
        <v>2100000</v>
      </c>
      <c r="J12">
        <v>157</v>
      </c>
      <c r="K12">
        <v>71</v>
      </c>
      <c r="L12">
        <v>1</v>
      </c>
      <c r="M12" t="str">
        <f t="shared" si="0"/>
        <v>After 2020</v>
      </c>
    </row>
    <row r="13" spans="1:23" hidden="1">
      <c r="A13" t="s">
        <v>48</v>
      </c>
      <c r="B13" t="s">
        <v>49</v>
      </c>
      <c r="C13" s="1">
        <v>45457</v>
      </c>
      <c r="D13" s="2">
        <v>111155129</v>
      </c>
      <c r="E13">
        <v>2</v>
      </c>
      <c r="L13">
        <v>1</v>
      </c>
      <c r="M13" t="str">
        <f t="shared" si="0"/>
        <v>After 2020</v>
      </c>
    </row>
    <row r="14" spans="1:23">
      <c r="A14" t="s">
        <v>50</v>
      </c>
      <c r="B14" t="s">
        <v>51</v>
      </c>
      <c r="C14" s="1">
        <v>45429</v>
      </c>
      <c r="D14" s="2">
        <v>221636195</v>
      </c>
      <c r="E14" s="2">
        <v>13800</v>
      </c>
      <c r="F14">
        <v>92</v>
      </c>
      <c r="G14" s="2">
        <v>40022524</v>
      </c>
      <c r="H14" s="2">
        <v>1307290</v>
      </c>
      <c r="I14" s="2">
        <v>360017000</v>
      </c>
      <c r="J14">
        <v>244</v>
      </c>
      <c r="K14">
        <v>45</v>
      </c>
      <c r="L14">
        <v>0</v>
      </c>
      <c r="M14" t="str">
        <f t="shared" si="0"/>
        <v>After 2020</v>
      </c>
    </row>
    <row r="15" spans="1:23" ht="15" hidden="1" customHeight="1">
      <c r="A15" t="s">
        <v>52</v>
      </c>
      <c r="B15" t="s">
        <v>53</v>
      </c>
      <c r="C15" s="1">
        <v>45373</v>
      </c>
      <c r="D15" s="2">
        <v>355186436</v>
      </c>
      <c r="E15" s="2">
        <v>43025</v>
      </c>
      <c r="F15">
        <v>88</v>
      </c>
      <c r="G15" s="2">
        <v>98081493</v>
      </c>
      <c r="H15" s="2">
        <v>1456177</v>
      </c>
      <c r="J15">
        <v>153</v>
      </c>
      <c r="K15">
        <v>3</v>
      </c>
      <c r="L15">
        <v>1</v>
      </c>
      <c r="M15" t="str">
        <f t="shared" si="0"/>
        <v>After 2020</v>
      </c>
      <c r="P15" t="s">
        <v>54</v>
      </c>
      <c r="Q15" s="22" t="s">
        <v>55</v>
      </c>
    </row>
    <row r="16" spans="1:23" hidden="1">
      <c r="A16" t="s">
        <v>56</v>
      </c>
      <c r="B16" t="s">
        <v>57</v>
      </c>
      <c r="C16" s="1">
        <v>44841</v>
      </c>
      <c r="D16" s="2">
        <v>297185</v>
      </c>
      <c r="E16">
        <v>277</v>
      </c>
      <c r="F16">
        <v>12</v>
      </c>
      <c r="G16" s="2">
        <v>6736502312</v>
      </c>
      <c r="H16" s="2">
        <v>16785489</v>
      </c>
      <c r="I16" s="2">
        <v>22234</v>
      </c>
      <c r="J16">
        <v>1</v>
      </c>
      <c r="L16">
        <v>0</v>
      </c>
      <c r="M16" t="str">
        <f t="shared" si="0"/>
        <v>After 2020</v>
      </c>
      <c r="Q16" s="22"/>
    </row>
    <row r="17" spans="1:17">
      <c r="A17" t="s">
        <v>58</v>
      </c>
      <c r="B17" t="s">
        <v>59</v>
      </c>
      <c r="C17" s="1">
        <v>45007</v>
      </c>
      <c r="D17" s="2">
        <v>925655569</v>
      </c>
      <c r="E17" s="2">
        <v>103605</v>
      </c>
      <c r="F17">
        <v>79</v>
      </c>
      <c r="G17" s="2">
        <v>934302031</v>
      </c>
      <c r="H17" s="2">
        <v>4294166</v>
      </c>
      <c r="I17" s="2">
        <v>7499234052</v>
      </c>
      <c r="J17">
        <v>94</v>
      </c>
      <c r="K17">
        <v>228</v>
      </c>
      <c r="L17">
        <v>1</v>
      </c>
      <c r="M17" t="str">
        <f t="shared" si="0"/>
        <v>After 2020</v>
      </c>
      <c r="Q17" s="22"/>
    </row>
    <row r="18" spans="1:17">
      <c r="A18" t="s">
        <v>60</v>
      </c>
      <c r="B18" t="s">
        <v>61</v>
      </c>
      <c r="C18" s="1">
        <v>45400</v>
      </c>
      <c r="D18" s="2">
        <v>395433400</v>
      </c>
      <c r="E18" s="2">
        <v>12784</v>
      </c>
      <c r="F18">
        <v>89</v>
      </c>
      <c r="G18" s="2">
        <v>104673836</v>
      </c>
      <c r="H18" s="2">
        <v>2484083</v>
      </c>
      <c r="I18" s="2">
        <v>207317000</v>
      </c>
      <c r="J18">
        <v>221</v>
      </c>
      <c r="K18">
        <v>3</v>
      </c>
      <c r="L18">
        <v>0</v>
      </c>
      <c r="M18" t="str">
        <f t="shared" si="0"/>
        <v>After 2020</v>
      </c>
      <c r="O18" s="2">
        <f>MIN(D2:D4593)</f>
        <v>1071</v>
      </c>
      <c r="Q18" s="22"/>
    </row>
    <row r="19" spans="1:17">
      <c r="A19" t="s">
        <v>62</v>
      </c>
      <c r="B19" t="s">
        <v>63</v>
      </c>
      <c r="C19" s="1">
        <v>45183</v>
      </c>
      <c r="D19" s="2">
        <v>1258569694</v>
      </c>
      <c r="E19" s="2">
        <v>105218</v>
      </c>
      <c r="F19">
        <v>87</v>
      </c>
      <c r="G19" s="2">
        <v>141646818</v>
      </c>
      <c r="H19" s="2">
        <v>1514837</v>
      </c>
      <c r="I19" s="2">
        <v>5456156211</v>
      </c>
      <c r="J19">
        <v>207</v>
      </c>
      <c r="K19" s="2">
        <v>3310</v>
      </c>
      <c r="L19">
        <v>1</v>
      </c>
      <c r="M19" t="str">
        <f t="shared" si="0"/>
        <v>After 2020</v>
      </c>
      <c r="Q19" s="22"/>
    </row>
    <row r="20" spans="1:17">
      <c r="A20" t="s">
        <v>64</v>
      </c>
      <c r="B20" t="s">
        <v>51</v>
      </c>
      <c r="C20" s="1">
        <v>45429</v>
      </c>
      <c r="D20" s="2">
        <v>91272461</v>
      </c>
      <c r="E20" s="2">
        <v>6499</v>
      </c>
      <c r="F20">
        <v>86</v>
      </c>
      <c r="G20" s="2">
        <v>16038053</v>
      </c>
      <c r="H20" s="2">
        <v>569377</v>
      </c>
      <c r="I20" s="2">
        <v>1225345800</v>
      </c>
      <c r="J20">
        <v>76</v>
      </c>
      <c r="K20">
        <v>1</v>
      </c>
      <c r="L20">
        <v>0</v>
      </c>
      <c r="M20" t="str">
        <f t="shared" si="0"/>
        <v>After 2020</v>
      </c>
      <c r="Q20" s="22"/>
    </row>
    <row r="21" spans="1:17">
      <c r="A21" t="s">
        <v>65</v>
      </c>
      <c r="B21" t="s">
        <v>66</v>
      </c>
      <c r="C21" s="1">
        <v>44651</v>
      </c>
      <c r="D21" s="2">
        <v>3301814535</v>
      </c>
      <c r="E21" s="2">
        <v>407119</v>
      </c>
      <c r="F21">
        <v>87</v>
      </c>
      <c r="G21" s="2">
        <v>800899315</v>
      </c>
      <c r="H21" s="2">
        <v>9101589</v>
      </c>
      <c r="I21" s="2">
        <v>15405881843</v>
      </c>
      <c r="J21">
        <v>455</v>
      </c>
      <c r="K21" s="2">
        <v>4909</v>
      </c>
      <c r="L21">
        <v>0</v>
      </c>
      <c r="M21" t="str">
        <f t="shared" si="0"/>
        <v>After 2020</v>
      </c>
      <c r="Q21" s="22"/>
    </row>
    <row r="22" spans="1:17">
      <c r="A22" t="s">
        <v>67</v>
      </c>
      <c r="B22" t="s">
        <v>68</v>
      </c>
      <c r="C22" s="1">
        <v>45142</v>
      </c>
      <c r="D22" s="2">
        <v>1065399331</v>
      </c>
      <c r="E22" s="2">
        <v>170890</v>
      </c>
      <c r="F22">
        <v>78</v>
      </c>
      <c r="G22" s="2">
        <v>240970670</v>
      </c>
      <c r="H22" s="2">
        <v>2749668</v>
      </c>
      <c r="I22" s="2">
        <v>7095564106</v>
      </c>
      <c r="J22">
        <v>158</v>
      </c>
      <c r="K22">
        <v>273</v>
      </c>
      <c r="L22">
        <v>1</v>
      </c>
      <c r="M22" t="str">
        <f t="shared" si="0"/>
        <v>After 2020</v>
      </c>
      <c r="Q22" s="22"/>
    </row>
    <row r="23" spans="1:17">
      <c r="A23" t="s">
        <v>69</v>
      </c>
      <c r="B23" t="s">
        <v>70</v>
      </c>
      <c r="C23" s="1">
        <v>45394</v>
      </c>
      <c r="D23" s="2">
        <v>547882871</v>
      </c>
      <c r="E23" s="2">
        <v>24425</v>
      </c>
      <c r="F23">
        <v>95</v>
      </c>
      <c r="G23" s="2">
        <v>107550212</v>
      </c>
      <c r="H23" s="2">
        <v>1825761</v>
      </c>
      <c r="I23" s="2">
        <v>1379499000</v>
      </c>
      <c r="J23">
        <v>298</v>
      </c>
      <c r="K23">
        <v>236</v>
      </c>
      <c r="L23">
        <v>1</v>
      </c>
      <c r="M23" t="str">
        <f t="shared" si="0"/>
        <v>After 2020</v>
      </c>
      <c r="Q23" s="22"/>
    </row>
    <row r="24" spans="1:17" hidden="1">
      <c r="A24" t="s">
        <v>38</v>
      </c>
      <c r="B24" t="s">
        <v>39</v>
      </c>
      <c r="C24" s="1">
        <v>45433</v>
      </c>
      <c r="D24" s="2">
        <v>1655575417</v>
      </c>
      <c r="E24">
        <v>10</v>
      </c>
      <c r="L24">
        <v>1</v>
      </c>
      <c r="M24" t="str">
        <f t="shared" si="0"/>
        <v>After 2020</v>
      </c>
    </row>
    <row r="25" spans="1:17">
      <c r="A25" t="s">
        <v>71</v>
      </c>
      <c r="B25" t="s">
        <v>72</v>
      </c>
      <c r="C25" s="1">
        <v>45332</v>
      </c>
      <c r="D25" s="2">
        <v>426700979</v>
      </c>
      <c r="E25" s="2">
        <v>34044</v>
      </c>
      <c r="F25">
        <v>86</v>
      </c>
      <c r="G25" s="2">
        <v>35724356</v>
      </c>
      <c r="H25" s="2">
        <v>437980</v>
      </c>
      <c r="I25" s="2">
        <v>6518604175</v>
      </c>
      <c r="J25">
        <v>159</v>
      </c>
      <c r="K25">
        <v>257</v>
      </c>
      <c r="L25">
        <v>1</v>
      </c>
      <c r="M25" t="str">
        <f t="shared" si="0"/>
        <v>After 2020</v>
      </c>
    </row>
    <row r="26" spans="1:17" hidden="1">
      <c r="A26" t="s">
        <v>53</v>
      </c>
      <c r="B26" t="s">
        <v>73</v>
      </c>
      <c r="C26" s="1">
        <v>45301</v>
      </c>
      <c r="E26">
        <v>1</v>
      </c>
      <c r="I26" s="2">
        <v>4306269694</v>
      </c>
      <c r="L26">
        <v>0</v>
      </c>
      <c r="M26" t="str">
        <f t="shared" si="0"/>
        <v>After 2020</v>
      </c>
    </row>
    <row r="27" spans="1:17">
      <c r="A27" t="s">
        <v>74</v>
      </c>
      <c r="B27" t="s">
        <v>75</v>
      </c>
      <c r="C27" s="1">
        <v>44705</v>
      </c>
      <c r="D27" s="2">
        <v>7382759</v>
      </c>
      <c r="E27" s="2">
        <v>3504</v>
      </c>
      <c r="F27">
        <v>35</v>
      </c>
      <c r="G27" s="2">
        <v>4233958</v>
      </c>
      <c r="H27" s="2">
        <v>69990</v>
      </c>
      <c r="I27" s="2">
        <v>22918660728</v>
      </c>
      <c r="J27">
        <v>1</v>
      </c>
      <c r="K27">
        <v>439</v>
      </c>
      <c r="L27">
        <v>0</v>
      </c>
      <c r="M27" t="str">
        <f t="shared" si="0"/>
        <v>After 2020</v>
      </c>
    </row>
    <row r="28" spans="1:17">
      <c r="A28" t="s">
        <v>76</v>
      </c>
      <c r="B28" t="s">
        <v>77</v>
      </c>
      <c r="C28" s="1">
        <v>44386</v>
      </c>
      <c r="D28" s="2">
        <v>3107100349</v>
      </c>
      <c r="E28" s="2">
        <v>451732</v>
      </c>
      <c r="F28">
        <v>78</v>
      </c>
      <c r="G28" s="2">
        <v>1256973582</v>
      </c>
      <c r="H28" s="2">
        <v>14661425</v>
      </c>
      <c r="I28" s="2">
        <v>23712377029</v>
      </c>
      <c r="J28">
        <v>513</v>
      </c>
      <c r="K28" s="2">
        <v>4096</v>
      </c>
      <c r="L28">
        <v>1</v>
      </c>
      <c r="M28" t="str">
        <f t="shared" si="0"/>
        <v>After 2020</v>
      </c>
    </row>
    <row r="29" spans="1:17">
      <c r="A29" t="s">
        <v>78</v>
      </c>
      <c r="B29" t="s">
        <v>79</v>
      </c>
      <c r="C29" s="1">
        <v>42339</v>
      </c>
      <c r="D29" s="2">
        <v>720822868</v>
      </c>
      <c r="E29" s="2">
        <v>60945</v>
      </c>
      <c r="F29">
        <v>71</v>
      </c>
      <c r="G29" s="2">
        <v>16322756555</v>
      </c>
      <c r="H29" s="2">
        <v>48757673</v>
      </c>
      <c r="I29" s="2">
        <v>6577639193</v>
      </c>
      <c r="J29">
        <v>33</v>
      </c>
      <c r="K29">
        <v>142</v>
      </c>
      <c r="L29">
        <v>0</v>
      </c>
      <c r="M29" t="str">
        <f t="shared" si="0"/>
        <v>2010-2020</v>
      </c>
    </row>
    <row r="30" spans="1:17" hidden="1">
      <c r="A30" t="s">
        <v>80</v>
      </c>
      <c r="B30" t="s">
        <v>81</v>
      </c>
      <c r="C30" s="1">
        <v>45359</v>
      </c>
      <c r="D30" s="2">
        <v>591068364</v>
      </c>
      <c r="E30" s="2">
        <v>26203</v>
      </c>
      <c r="F30">
        <v>87</v>
      </c>
      <c r="G30" s="2">
        <v>156882014</v>
      </c>
      <c r="H30" s="2">
        <v>3080503</v>
      </c>
      <c r="J30">
        <v>194</v>
      </c>
      <c r="K30">
        <v>32</v>
      </c>
      <c r="L30">
        <v>0</v>
      </c>
      <c r="M30" t="str">
        <f t="shared" si="0"/>
        <v>After 2020</v>
      </c>
    </row>
    <row r="31" spans="1:17" hidden="1">
      <c r="A31" t="s">
        <v>82</v>
      </c>
      <c r="B31" t="s">
        <v>83</v>
      </c>
      <c r="C31" s="1">
        <v>45394</v>
      </c>
      <c r="D31" s="2">
        <v>1003215671</v>
      </c>
      <c r="E31">
        <v>128</v>
      </c>
      <c r="L31">
        <v>1</v>
      </c>
      <c r="M31" t="str">
        <f t="shared" si="0"/>
        <v>After 2020</v>
      </c>
    </row>
    <row r="32" spans="1:17" hidden="1">
      <c r="A32" t="s">
        <v>38</v>
      </c>
      <c r="B32" t="s">
        <v>84</v>
      </c>
      <c r="C32" s="1">
        <v>45426</v>
      </c>
      <c r="D32" s="2">
        <v>1645079292</v>
      </c>
      <c r="L32">
        <v>1</v>
      </c>
      <c r="M32" t="str">
        <f t="shared" si="0"/>
        <v>After 2020</v>
      </c>
    </row>
    <row r="33" spans="1:13">
      <c r="A33" t="s">
        <v>85</v>
      </c>
      <c r="B33" t="s">
        <v>86</v>
      </c>
      <c r="C33" s="1">
        <v>45383</v>
      </c>
      <c r="D33" s="2">
        <v>124893397</v>
      </c>
      <c r="E33" s="2">
        <v>3479</v>
      </c>
      <c r="F33">
        <v>82</v>
      </c>
      <c r="G33" s="2">
        <v>359896095</v>
      </c>
      <c r="H33" s="2">
        <v>4907193</v>
      </c>
      <c r="I33" s="2">
        <v>390081328</v>
      </c>
      <c r="J33">
        <v>36</v>
      </c>
      <c r="K33">
        <v>32</v>
      </c>
      <c r="L33">
        <v>0</v>
      </c>
      <c r="M33" t="str">
        <f t="shared" si="0"/>
        <v>After 2020</v>
      </c>
    </row>
    <row r="34" spans="1:13">
      <c r="A34" t="s">
        <v>87</v>
      </c>
      <c r="B34" t="s">
        <v>88</v>
      </c>
      <c r="C34" s="1">
        <v>45135</v>
      </c>
      <c r="D34" s="2">
        <v>670376179</v>
      </c>
      <c r="E34" s="2">
        <v>98450</v>
      </c>
      <c r="F34">
        <v>83</v>
      </c>
      <c r="G34" s="2">
        <v>265180930</v>
      </c>
      <c r="H34" s="2">
        <v>2566846</v>
      </c>
      <c r="I34" s="2">
        <v>3932956380</v>
      </c>
      <c r="J34">
        <v>225</v>
      </c>
      <c r="K34" s="2">
        <v>1215</v>
      </c>
      <c r="L34">
        <v>0</v>
      </c>
      <c r="M34" t="str">
        <f t="shared" si="0"/>
        <v>After 2020</v>
      </c>
    </row>
    <row r="35" spans="1:13">
      <c r="A35" t="s">
        <v>89</v>
      </c>
      <c r="B35" t="s">
        <v>90</v>
      </c>
      <c r="C35" s="1">
        <v>45170</v>
      </c>
      <c r="D35" s="2">
        <v>750154960</v>
      </c>
      <c r="E35" s="2">
        <v>139141</v>
      </c>
      <c r="F35">
        <v>79</v>
      </c>
      <c r="G35" s="2">
        <v>118208096</v>
      </c>
      <c r="H35" s="2">
        <v>1495758</v>
      </c>
      <c r="I35" s="2">
        <v>2231749390</v>
      </c>
      <c r="J35">
        <v>163</v>
      </c>
      <c r="K35">
        <v>856</v>
      </c>
      <c r="L35">
        <v>0</v>
      </c>
      <c r="M35" t="str">
        <f t="shared" si="0"/>
        <v>After 2020</v>
      </c>
    </row>
    <row r="36" spans="1:13" hidden="1">
      <c r="A36" t="s">
        <v>91</v>
      </c>
      <c r="B36" t="s">
        <v>92</v>
      </c>
      <c r="C36" s="1">
        <v>45373</v>
      </c>
      <c r="D36" s="2">
        <v>532012790</v>
      </c>
      <c r="E36" s="2">
        <v>23557</v>
      </c>
      <c r="G36" s="2">
        <v>62123098</v>
      </c>
      <c r="H36" s="2">
        <v>923733</v>
      </c>
      <c r="J36">
        <v>221</v>
      </c>
      <c r="K36">
        <v>64</v>
      </c>
      <c r="L36">
        <v>0</v>
      </c>
      <c r="M36" t="str">
        <f t="shared" si="0"/>
        <v>After 2020</v>
      </c>
    </row>
    <row r="37" spans="1:13" hidden="1">
      <c r="A37" t="s">
        <v>93</v>
      </c>
      <c r="B37" t="s">
        <v>94</v>
      </c>
      <c r="C37" s="1">
        <v>45408</v>
      </c>
      <c r="D37" s="2">
        <v>479417905</v>
      </c>
      <c r="E37">
        <v>7</v>
      </c>
      <c r="L37">
        <v>0</v>
      </c>
      <c r="M37" t="str">
        <f t="shared" si="0"/>
        <v>After 2020</v>
      </c>
    </row>
    <row r="38" spans="1:13">
      <c r="A38" t="s">
        <v>95</v>
      </c>
      <c r="B38" t="s">
        <v>96</v>
      </c>
      <c r="C38" s="1">
        <v>45394</v>
      </c>
      <c r="D38" s="2">
        <v>311928522</v>
      </c>
      <c r="E38" s="2">
        <v>25766</v>
      </c>
      <c r="F38">
        <v>96</v>
      </c>
      <c r="G38" s="2">
        <v>62694868</v>
      </c>
      <c r="H38" s="2">
        <v>837616</v>
      </c>
      <c r="I38" s="2">
        <v>378313942</v>
      </c>
      <c r="J38">
        <v>149</v>
      </c>
      <c r="K38">
        <v>141</v>
      </c>
      <c r="L38">
        <v>1</v>
      </c>
      <c r="M38" t="str">
        <f t="shared" si="0"/>
        <v>After 2020</v>
      </c>
    </row>
    <row r="39" spans="1:13">
      <c r="A39" t="s">
        <v>97</v>
      </c>
      <c r="B39" t="s">
        <v>49</v>
      </c>
      <c r="C39" s="1">
        <v>45100</v>
      </c>
      <c r="D39" s="2">
        <v>775135157</v>
      </c>
      <c r="E39" s="2">
        <v>88239</v>
      </c>
      <c r="F39">
        <v>87</v>
      </c>
      <c r="G39" s="2">
        <v>139180960</v>
      </c>
      <c r="H39" s="2">
        <v>1504385</v>
      </c>
      <c r="I39" s="2">
        <v>597513595</v>
      </c>
      <c r="J39">
        <v>215</v>
      </c>
      <c r="K39">
        <v>162</v>
      </c>
      <c r="L39">
        <v>0</v>
      </c>
      <c r="M39" t="str">
        <f t="shared" si="0"/>
        <v>After 2020</v>
      </c>
    </row>
    <row r="40" spans="1:13">
      <c r="A40" t="s">
        <v>98</v>
      </c>
      <c r="B40" t="s">
        <v>99</v>
      </c>
      <c r="C40" s="1">
        <v>45092</v>
      </c>
      <c r="D40" s="2">
        <v>759998727</v>
      </c>
      <c r="E40" s="2">
        <v>188142</v>
      </c>
      <c r="F40">
        <v>80</v>
      </c>
      <c r="G40" s="2">
        <v>94699547</v>
      </c>
      <c r="H40" s="2">
        <v>1222012</v>
      </c>
      <c r="I40" s="2">
        <v>3281790327</v>
      </c>
      <c r="J40">
        <v>123</v>
      </c>
      <c r="K40" s="2">
        <v>4003</v>
      </c>
      <c r="L40">
        <v>1</v>
      </c>
      <c r="M40" t="str">
        <f t="shared" si="0"/>
        <v>After 2020</v>
      </c>
    </row>
    <row r="41" spans="1:13">
      <c r="A41" t="s">
        <v>100</v>
      </c>
      <c r="B41" t="s">
        <v>101</v>
      </c>
      <c r="C41" s="1">
        <v>43595</v>
      </c>
      <c r="D41" s="2">
        <v>3071214106</v>
      </c>
      <c r="E41" s="2">
        <v>375201</v>
      </c>
      <c r="F41">
        <v>71</v>
      </c>
      <c r="G41" s="2">
        <v>3366447481</v>
      </c>
      <c r="H41" s="2">
        <v>27240268</v>
      </c>
      <c r="I41" s="2">
        <v>5861939942</v>
      </c>
      <c r="J41">
        <v>549</v>
      </c>
      <c r="K41">
        <v>169</v>
      </c>
      <c r="L41">
        <v>0</v>
      </c>
      <c r="M41" t="str">
        <f t="shared" si="0"/>
        <v>2010-2020</v>
      </c>
    </row>
    <row r="42" spans="1:13">
      <c r="A42" t="s">
        <v>102</v>
      </c>
      <c r="B42" t="s">
        <v>51</v>
      </c>
      <c r="C42" s="1">
        <v>45429</v>
      </c>
      <c r="D42" s="2">
        <v>214237645</v>
      </c>
      <c r="E42" s="2">
        <v>10871</v>
      </c>
      <c r="F42">
        <v>92</v>
      </c>
      <c r="G42" s="2">
        <v>11033725</v>
      </c>
      <c r="H42" s="2">
        <v>251373</v>
      </c>
      <c r="I42" s="2">
        <v>443104700</v>
      </c>
      <c r="J42">
        <v>247</v>
      </c>
      <c r="K42">
        <v>8</v>
      </c>
      <c r="L42">
        <v>0</v>
      </c>
      <c r="M42" t="str">
        <f t="shared" si="0"/>
        <v>After 2020</v>
      </c>
    </row>
    <row r="43" spans="1:13" hidden="1">
      <c r="A43" t="s">
        <v>103</v>
      </c>
      <c r="B43" t="s">
        <v>104</v>
      </c>
      <c r="C43" s="1">
        <v>45024</v>
      </c>
      <c r="D43" s="2">
        <v>170970614</v>
      </c>
      <c r="E43" s="2">
        <v>27827</v>
      </c>
      <c r="F43">
        <v>41</v>
      </c>
      <c r="G43" s="2">
        <v>22280037</v>
      </c>
      <c r="H43" s="2">
        <v>334523</v>
      </c>
      <c r="I43" s="2">
        <v>12196985599</v>
      </c>
      <c r="J43">
        <v>2</v>
      </c>
      <c r="L43">
        <v>1</v>
      </c>
      <c r="M43" t="str">
        <f t="shared" si="0"/>
        <v>After 2020</v>
      </c>
    </row>
    <row r="44" spans="1:13">
      <c r="A44" t="s">
        <v>105</v>
      </c>
      <c r="B44" t="s">
        <v>106</v>
      </c>
      <c r="C44" s="1">
        <v>44799</v>
      </c>
      <c r="D44" s="2">
        <v>1658229422</v>
      </c>
      <c r="E44" s="2">
        <v>262248</v>
      </c>
      <c r="F44">
        <v>83</v>
      </c>
      <c r="G44" s="2">
        <v>466080689</v>
      </c>
      <c r="H44" s="2">
        <v>4324989</v>
      </c>
      <c r="I44" s="2">
        <v>1051836430</v>
      </c>
      <c r="J44">
        <v>285</v>
      </c>
      <c r="K44" s="2">
        <v>2487</v>
      </c>
      <c r="L44">
        <v>1</v>
      </c>
      <c r="M44" t="str">
        <f t="shared" si="0"/>
        <v>After 2020</v>
      </c>
    </row>
    <row r="45" spans="1:13">
      <c r="A45" t="s">
        <v>107</v>
      </c>
      <c r="B45" t="s">
        <v>108</v>
      </c>
      <c r="C45" s="1">
        <v>45030</v>
      </c>
      <c r="D45" s="2">
        <v>1126820069</v>
      </c>
      <c r="E45" s="2">
        <v>177800</v>
      </c>
      <c r="F45">
        <v>82</v>
      </c>
      <c r="G45" s="2">
        <v>274070101</v>
      </c>
      <c r="H45" s="2">
        <v>3701289</v>
      </c>
      <c r="I45" s="2">
        <v>2578518632</v>
      </c>
      <c r="J45">
        <v>163</v>
      </c>
      <c r="K45">
        <v>96</v>
      </c>
      <c r="L45">
        <v>0</v>
      </c>
      <c r="M45" t="str">
        <f t="shared" si="0"/>
        <v>After 2020</v>
      </c>
    </row>
    <row r="46" spans="1:13">
      <c r="A46" t="s">
        <v>109</v>
      </c>
      <c r="B46" t="s">
        <v>110</v>
      </c>
      <c r="C46" s="1">
        <v>45184</v>
      </c>
      <c r="D46" s="2">
        <v>997702304</v>
      </c>
      <c r="E46" s="2">
        <v>105927</v>
      </c>
      <c r="F46">
        <v>86</v>
      </c>
      <c r="G46" s="2">
        <v>48093111</v>
      </c>
      <c r="H46" s="2">
        <v>959175</v>
      </c>
      <c r="I46" s="2">
        <v>5469808282</v>
      </c>
      <c r="J46">
        <v>91</v>
      </c>
      <c r="K46" s="2">
        <v>2676</v>
      </c>
      <c r="L46">
        <v>0</v>
      </c>
      <c r="M46" t="str">
        <f t="shared" si="0"/>
        <v>After 2020</v>
      </c>
    </row>
    <row r="47" spans="1:13">
      <c r="A47" t="s">
        <v>111</v>
      </c>
      <c r="B47" t="s">
        <v>70</v>
      </c>
      <c r="C47" s="1">
        <v>45449</v>
      </c>
      <c r="D47" s="2">
        <v>59314441</v>
      </c>
      <c r="E47" s="2">
        <v>2572</v>
      </c>
      <c r="F47">
        <v>83</v>
      </c>
      <c r="G47" s="2">
        <v>22374807</v>
      </c>
      <c r="H47" s="2">
        <v>1026097</v>
      </c>
      <c r="I47" s="2">
        <v>1200000</v>
      </c>
      <c r="J47">
        <v>199</v>
      </c>
      <c r="K47">
        <v>2</v>
      </c>
      <c r="L47">
        <v>1</v>
      </c>
      <c r="M47" t="str">
        <f t="shared" si="0"/>
        <v>After 2020</v>
      </c>
    </row>
    <row r="48" spans="1:13">
      <c r="A48" t="s">
        <v>27</v>
      </c>
      <c r="B48" t="s">
        <v>112</v>
      </c>
      <c r="C48" s="1">
        <v>45239</v>
      </c>
      <c r="D48" s="2">
        <v>493627071</v>
      </c>
      <c r="E48" s="2">
        <v>45300</v>
      </c>
      <c r="F48">
        <v>80</v>
      </c>
      <c r="G48" s="2">
        <v>150571504</v>
      </c>
      <c r="H48" s="2">
        <v>1575378</v>
      </c>
      <c r="I48" s="2">
        <v>386610043</v>
      </c>
      <c r="J48">
        <v>174</v>
      </c>
      <c r="K48">
        <v>405</v>
      </c>
      <c r="L48">
        <v>0</v>
      </c>
      <c r="M48" t="str">
        <f t="shared" si="0"/>
        <v>After 2020</v>
      </c>
    </row>
    <row r="49" spans="1:13" hidden="1">
      <c r="A49" t="s">
        <v>38</v>
      </c>
      <c r="B49" t="s">
        <v>39</v>
      </c>
      <c r="C49" s="1">
        <v>45414</v>
      </c>
      <c r="D49" s="2">
        <v>1655575417</v>
      </c>
      <c r="E49">
        <v>9</v>
      </c>
      <c r="L49">
        <v>1</v>
      </c>
      <c r="M49" t="str">
        <f t="shared" si="0"/>
        <v>After 2020</v>
      </c>
    </row>
    <row r="50" spans="1:13">
      <c r="A50" t="s">
        <v>113</v>
      </c>
      <c r="B50" t="s">
        <v>114</v>
      </c>
      <c r="C50" s="1">
        <v>44967</v>
      </c>
      <c r="D50" s="2">
        <v>304929492</v>
      </c>
      <c r="E50" s="2">
        <v>43923</v>
      </c>
      <c r="F50">
        <v>69</v>
      </c>
      <c r="G50" s="2">
        <v>61986821</v>
      </c>
      <c r="H50" s="2">
        <v>921044</v>
      </c>
      <c r="I50" s="2">
        <v>5684815935</v>
      </c>
      <c r="J50">
        <v>78</v>
      </c>
      <c r="K50">
        <v>822</v>
      </c>
      <c r="L50">
        <v>1</v>
      </c>
      <c r="M50" t="str">
        <f t="shared" si="0"/>
        <v>After 2020</v>
      </c>
    </row>
    <row r="51" spans="1:13">
      <c r="A51" t="s">
        <v>115</v>
      </c>
      <c r="B51" t="s">
        <v>116</v>
      </c>
      <c r="C51" s="1">
        <v>42748</v>
      </c>
      <c r="D51" s="2">
        <v>1747093405</v>
      </c>
      <c r="E51" s="2">
        <v>178114</v>
      </c>
      <c r="F51">
        <v>74</v>
      </c>
      <c r="G51" s="2">
        <v>9537135721</v>
      </c>
      <c r="H51" s="2">
        <v>61799279</v>
      </c>
      <c r="I51" s="2">
        <v>1143297071</v>
      </c>
      <c r="J51">
        <v>179</v>
      </c>
      <c r="K51">
        <v>116</v>
      </c>
      <c r="L51">
        <v>0</v>
      </c>
      <c r="M51" t="str">
        <f t="shared" si="0"/>
        <v>2010-2020</v>
      </c>
    </row>
    <row r="52" spans="1:13" hidden="1">
      <c r="A52" t="s">
        <v>117</v>
      </c>
      <c r="B52" t="s">
        <v>19</v>
      </c>
      <c r="C52" s="1">
        <v>45412</v>
      </c>
      <c r="D52" s="2">
        <v>168434320</v>
      </c>
      <c r="E52" s="2">
        <v>17168</v>
      </c>
      <c r="F52">
        <v>86</v>
      </c>
      <c r="G52" s="2">
        <v>53604746</v>
      </c>
      <c r="H52" s="2">
        <v>1846535</v>
      </c>
      <c r="J52">
        <v>65</v>
      </c>
      <c r="K52">
        <v>77</v>
      </c>
      <c r="L52">
        <v>1</v>
      </c>
      <c r="M52" t="str">
        <f t="shared" si="0"/>
        <v>After 2020</v>
      </c>
    </row>
    <row r="53" spans="1:13" hidden="1">
      <c r="A53" t="s">
        <v>118</v>
      </c>
      <c r="B53" t="s">
        <v>119</v>
      </c>
      <c r="C53" s="1">
        <v>44967</v>
      </c>
      <c r="D53" s="2">
        <v>104271</v>
      </c>
      <c r="E53">
        <v>249</v>
      </c>
      <c r="F53">
        <v>25</v>
      </c>
      <c r="G53" s="2">
        <v>2457026781</v>
      </c>
      <c r="I53" s="2">
        <v>393580</v>
      </c>
      <c r="L53">
        <v>0</v>
      </c>
      <c r="M53" t="str">
        <f t="shared" si="0"/>
        <v>After 2020</v>
      </c>
    </row>
    <row r="54" spans="1:13" hidden="1">
      <c r="A54" t="s">
        <v>120</v>
      </c>
      <c r="B54" t="s">
        <v>121</v>
      </c>
      <c r="C54" s="1">
        <v>44798</v>
      </c>
      <c r="D54" s="2">
        <v>1391688322</v>
      </c>
      <c r="E54" s="2">
        <v>163876</v>
      </c>
      <c r="F54">
        <v>77</v>
      </c>
      <c r="G54" s="2">
        <v>902742581</v>
      </c>
      <c r="H54" s="2">
        <v>8099187</v>
      </c>
      <c r="I54" s="2">
        <v>2857920</v>
      </c>
      <c r="J54">
        <v>316</v>
      </c>
      <c r="L54">
        <v>0</v>
      </c>
      <c r="M54" t="str">
        <f t="shared" si="0"/>
        <v>After 2020</v>
      </c>
    </row>
    <row r="55" spans="1:13">
      <c r="A55" t="s">
        <v>122</v>
      </c>
      <c r="B55" t="s">
        <v>123</v>
      </c>
      <c r="C55" s="1">
        <v>42741</v>
      </c>
      <c r="D55" s="2">
        <v>3909458734</v>
      </c>
      <c r="E55" s="2">
        <v>316378</v>
      </c>
      <c r="F55">
        <v>80</v>
      </c>
      <c r="G55" s="2">
        <v>8013997219</v>
      </c>
      <c r="H55" s="2">
        <v>45770887</v>
      </c>
      <c r="I55" s="2">
        <v>2320856331</v>
      </c>
      <c r="J55">
        <v>465</v>
      </c>
      <c r="K55">
        <v>282</v>
      </c>
      <c r="L55">
        <v>0</v>
      </c>
      <c r="M55" t="str">
        <f t="shared" si="0"/>
        <v>2010-2020</v>
      </c>
    </row>
    <row r="56" spans="1:13" hidden="1">
      <c r="A56" t="s">
        <v>124</v>
      </c>
      <c r="B56" t="s">
        <v>125</v>
      </c>
      <c r="C56" s="1">
        <v>44945</v>
      </c>
      <c r="D56" s="2">
        <v>55346</v>
      </c>
      <c r="E56">
        <v>42</v>
      </c>
      <c r="F56">
        <v>13</v>
      </c>
      <c r="G56" s="2">
        <v>2432265978</v>
      </c>
      <c r="H56" s="2">
        <v>8162101</v>
      </c>
      <c r="L56">
        <v>0</v>
      </c>
      <c r="M56" t="str">
        <f t="shared" si="0"/>
        <v>After 2020</v>
      </c>
    </row>
    <row r="57" spans="1:13">
      <c r="A57" t="s">
        <v>126</v>
      </c>
      <c r="B57" t="s">
        <v>127</v>
      </c>
      <c r="C57" s="1">
        <v>43798</v>
      </c>
      <c r="D57" s="2">
        <v>4281468720</v>
      </c>
      <c r="E57" s="2">
        <v>590392</v>
      </c>
      <c r="F57">
        <v>83</v>
      </c>
      <c r="G57" s="2">
        <v>833807130</v>
      </c>
      <c r="H57" s="2">
        <v>10093211</v>
      </c>
      <c r="I57" s="2">
        <v>3501177394</v>
      </c>
      <c r="J57">
        <v>859</v>
      </c>
      <c r="K57" s="2">
        <v>1116</v>
      </c>
      <c r="L57">
        <v>0</v>
      </c>
      <c r="M57" t="str">
        <f t="shared" si="0"/>
        <v>2010-2020</v>
      </c>
    </row>
    <row r="58" spans="1:13">
      <c r="A58" t="s">
        <v>128</v>
      </c>
      <c r="B58" t="s">
        <v>129</v>
      </c>
      <c r="C58" s="1">
        <v>44897</v>
      </c>
      <c r="D58" s="2">
        <v>1337619917</v>
      </c>
      <c r="E58" s="2">
        <v>228295</v>
      </c>
      <c r="F58">
        <v>80</v>
      </c>
      <c r="G58" s="2">
        <v>193982443</v>
      </c>
      <c r="H58" s="2">
        <v>2023998</v>
      </c>
      <c r="I58" s="2">
        <v>1268862678</v>
      </c>
      <c r="J58">
        <v>152</v>
      </c>
      <c r="K58">
        <v>34</v>
      </c>
      <c r="L58">
        <v>1</v>
      </c>
      <c r="M58" t="str">
        <f t="shared" si="0"/>
        <v>After 2020</v>
      </c>
    </row>
    <row r="59" spans="1:13" hidden="1">
      <c r="A59" t="s">
        <v>130</v>
      </c>
      <c r="B59" t="s">
        <v>131</v>
      </c>
      <c r="C59" s="1">
        <v>45447</v>
      </c>
      <c r="E59">
        <v>2</v>
      </c>
      <c r="G59" s="2">
        <v>52480069</v>
      </c>
      <c r="H59" s="2">
        <v>82092</v>
      </c>
      <c r="L59">
        <v>0</v>
      </c>
      <c r="M59" t="str">
        <f t="shared" si="0"/>
        <v>After 2020</v>
      </c>
    </row>
    <row r="60" spans="1:13" hidden="1">
      <c r="A60" t="s">
        <v>38</v>
      </c>
      <c r="B60" t="s">
        <v>39</v>
      </c>
      <c r="C60" s="1">
        <v>45411</v>
      </c>
      <c r="D60" s="2">
        <v>1655575417</v>
      </c>
      <c r="E60">
        <v>1</v>
      </c>
      <c r="L60">
        <v>1</v>
      </c>
      <c r="M60" t="str">
        <f t="shared" si="0"/>
        <v>After 2020</v>
      </c>
    </row>
    <row r="61" spans="1:13">
      <c r="A61" t="s">
        <v>132</v>
      </c>
      <c r="B61" t="s">
        <v>133</v>
      </c>
      <c r="C61" s="1">
        <v>44826</v>
      </c>
      <c r="D61" s="2">
        <v>1556275789</v>
      </c>
      <c r="E61" s="2">
        <v>210583</v>
      </c>
      <c r="F61">
        <v>74</v>
      </c>
      <c r="G61" s="2">
        <v>254051906</v>
      </c>
      <c r="H61" s="2">
        <v>3364206</v>
      </c>
      <c r="I61" s="2">
        <v>7945975878</v>
      </c>
      <c r="J61">
        <v>203</v>
      </c>
      <c r="K61">
        <v>117</v>
      </c>
      <c r="L61">
        <v>0</v>
      </c>
      <c r="M61" t="str">
        <f t="shared" si="0"/>
        <v>After 2020</v>
      </c>
    </row>
    <row r="62" spans="1:13" hidden="1">
      <c r="A62" t="s">
        <v>134</v>
      </c>
      <c r="B62" t="s">
        <v>135</v>
      </c>
      <c r="C62" s="1">
        <v>45448</v>
      </c>
      <c r="E62">
        <v>2</v>
      </c>
      <c r="F62">
        <v>9</v>
      </c>
      <c r="L62">
        <v>0</v>
      </c>
      <c r="M62" t="str">
        <f t="shared" si="0"/>
        <v>After 2020</v>
      </c>
    </row>
    <row r="63" spans="1:13" hidden="1">
      <c r="A63" t="s">
        <v>136</v>
      </c>
      <c r="B63" t="s">
        <v>137</v>
      </c>
      <c r="C63" s="1">
        <v>45291</v>
      </c>
      <c r="D63" s="2">
        <v>1384</v>
      </c>
      <c r="E63">
        <v>2</v>
      </c>
      <c r="G63" s="2">
        <v>222076</v>
      </c>
      <c r="H63" s="2">
        <v>5430</v>
      </c>
      <c r="I63" s="2">
        <v>8811416708</v>
      </c>
      <c r="L63">
        <v>0</v>
      </c>
      <c r="M63" t="str">
        <f t="shared" si="0"/>
        <v>After 2020</v>
      </c>
    </row>
    <row r="64" spans="1:13">
      <c r="A64" t="s">
        <v>138</v>
      </c>
      <c r="B64" t="s">
        <v>139</v>
      </c>
      <c r="C64" s="1">
        <v>45425</v>
      </c>
      <c r="D64" s="2">
        <v>69729033</v>
      </c>
      <c r="E64" s="2">
        <v>2483</v>
      </c>
      <c r="F64">
        <v>81</v>
      </c>
      <c r="G64" s="2">
        <v>111310770</v>
      </c>
      <c r="H64" s="2">
        <v>1724693</v>
      </c>
      <c r="I64" s="2">
        <v>393973528</v>
      </c>
      <c r="J64">
        <v>40</v>
      </c>
      <c r="K64">
        <v>13</v>
      </c>
      <c r="L64">
        <v>0</v>
      </c>
      <c r="M64" t="str">
        <f t="shared" si="0"/>
        <v>After 2020</v>
      </c>
    </row>
    <row r="65" spans="1:13">
      <c r="A65" t="s">
        <v>140</v>
      </c>
      <c r="B65" t="s">
        <v>141</v>
      </c>
      <c r="C65" s="1">
        <v>44687</v>
      </c>
      <c r="D65" s="2">
        <v>1811990630</v>
      </c>
      <c r="E65" s="2">
        <v>173358</v>
      </c>
      <c r="F65">
        <v>79</v>
      </c>
      <c r="G65" s="2">
        <v>1516863120</v>
      </c>
      <c r="H65" s="2">
        <v>8870768</v>
      </c>
      <c r="I65" s="2">
        <v>6470937272</v>
      </c>
      <c r="J65">
        <v>124</v>
      </c>
      <c r="K65">
        <v>327</v>
      </c>
      <c r="L65">
        <v>1</v>
      </c>
      <c r="M65" t="str">
        <f t="shared" si="0"/>
        <v>After 2020</v>
      </c>
    </row>
    <row r="66" spans="1:13" hidden="1">
      <c r="A66" t="s">
        <v>142</v>
      </c>
      <c r="B66" t="s">
        <v>143</v>
      </c>
      <c r="C66" s="1">
        <v>45380</v>
      </c>
      <c r="D66" s="2">
        <v>199929812</v>
      </c>
      <c r="E66">
        <v>4</v>
      </c>
      <c r="J66">
        <v>1</v>
      </c>
      <c r="L66">
        <v>1</v>
      </c>
      <c r="M66" t="str">
        <f t="shared" si="0"/>
        <v>After 2020</v>
      </c>
    </row>
    <row r="67" spans="1:13">
      <c r="A67" t="s">
        <v>144</v>
      </c>
      <c r="B67" t="s">
        <v>121</v>
      </c>
      <c r="C67" s="1">
        <v>44602</v>
      </c>
      <c r="D67" s="2">
        <v>584427088</v>
      </c>
      <c r="E67" s="2">
        <v>182994</v>
      </c>
      <c r="F67">
        <v>68</v>
      </c>
      <c r="G67" s="2">
        <v>1141904909</v>
      </c>
      <c r="H67" s="2">
        <v>8766235</v>
      </c>
      <c r="I67" s="2">
        <v>18216656774</v>
      </c>
      <c r="J67">
        <v>138</v>
      </c>
      <c r="K67">
        <v>759</v>
      </c>
      <c r="L67">
        <v>0</v>
      </c>
      <c r="M67" t="str">
        <f t="shared" ref="M67:M130" si="1">IF(YEAR(C67)&lt;2010,"Before 2010",IF(YEAR(C67)&lt;=2020,"2010-2020","After 2020"))</f>
        <v>After 2020</v>
      </c>
    </row>
    <row r="68" spans="1:13" hidden="1">
      <c r="A68" t="s">
        <v>145</v>
      </c>
      <c r="B68" t="s">
        <v>146</v>
      </c>
      <c r="C68" s="1">
        <v>45330</v>
      </c>
      <c r="D68" s="2">
        <v>466887055</v>
      </c>
      <c r="E68" s="2">
        <v>53842</v>
      </c>
      <c r="F68">
        <v>84</v>
      </c>
      <c r="G68" s="2">
        <v>27688666</v>
      </c>
      <c r="H68" s="2">
        <v>449112</v>
      </c>
      <c r="J68">
        <v>42</v>
      </c>
      <c r="L68">
        <v>1</v>
      </c>
      <c r="M68" t="str">
        <f t="shared" si="1"/>
        <v>After 2020</v>
      </c>
    </row>
    <row r="69" spans="1:13">
      <c r="A69" t="s">
        <v>147</v>
      </c>
      <c r="B69" t="s">
        <v>148</v>
      </c>
      <c r="C69" s="1">
        <v>44903</v>
      </c>
      <c r="D69" s="2">
        <v>1873746537</v>
      </c>
      <c r="E69" s="2">
        <v>190202</v>
      </c>
      <c r="F69">
        <v>82</v>
      </c>
      <c r="G69" s="2">
        <v>220538045</v>
      </c>
      <c r="H69" s="2">
        <v>3153793</v>
      </c>
      <c r="I69" s="2">
        <v>1284413960</v>
      </c>
      <c r="J69">
        <v>214</v>
      </c>
      <c r="K69" s="2">
        <v>5448</v>
      </c>
      <c r="L69">
        <v>0</v>
      </c>
      <c r="M69" t="str">
        <f t="shared" si="1"/>
        <v>After 2020</v>
      </c>
    </row>
    <row r="70" spans="1:13">
      <c r="A70" t="s">
        <v>149</v>
      </c>
      <c r="B70" t="s">
        <v>51</v>
      </c>
      <c r="C70" s="1">
        <v>45120</v>
      </c>
      <c r="D70" s="2">
        <v>891720245</v>
      </c>
      <c r="E70" s="2">
        <v>114560</v>
      </c>
      <c r="F70">
        <v>82</v>
      </c>
      <c r="G70" s="2">
        <v>144741616</v>
      </c>
      <c r="H70" s="2">
        <v>2761964</v>
      </c>
      <c r="I70" s="2">
        <v>3998086216</v>
      </c>
      <c r="J70">
        <v>168</v>
      </c>
      <c r="K70">
        <v>68</v>
      </c>
      <c r="L70">
        <v>0</v>
      </c>
      <c r="M70" t="str">
        <f t="shared" si="1"/>
        <v>After 2020</v>
      </c>
    </row>
    <row r="71" spans="1:13" hidden="1">
      <c r="A71" t="s">
        <v>150</v>
      </c>
      <c r="B71" t="s">
        <v>151</v>
      </c>
      <c r="C71" s="1">
        <v>44988</v>
      </c>
      <c r="D71" s="2">
        <v>46567</v>
      </c>
      <c r="E71">
        <v>252</v>
      </c>
      <c r="F71">
        <v>6</v>
      </c>
      <c r="G71" s="2">
        <v>2038459981</v>
      </c>
      <c r="H71" s="2">
        <v>6076902</v>
      </c>
      <c r="J71">
        <v>2</v>
      </c>
      <c r="L71">
        <v>0</v>
      </c>
      <c r="M71" t="str">
        <f t="shared" si="1"/>
        <v>After 2020</v>
      </c>
    </row>
    <row r="72" spans="1:13">
      <c r="A72" t="s">
        <v>152</v>
      </c>
      <c r="B72" t="s">
        <v>153</v>
      </c>
      <c r="C72" s="1">
        <v>44011</v>
      </c>
      <c r="D72" s="2">
        <v>2996181078</v>
      </c>
      <c r="E72" s="2">
        <v>486278</v>
      </c>
      <c r="F72">
        <v>82</v>
      </c>
      <c r="G72" s="2">
        <v>1272898075</v>
      </c>
      <c r="H72" s="2">
        <v>14947520</v>
      </c>
      <c r="I72" s="2">
        <v>5518429969</v>
      </c>
      <c r="J72">
        <v>459</v>
      </c>
      <c r="K72" s="2">
        <v>1434</v>
      </c>
      <c r="L72">
        <v>0</v>
      </c>
      <c r="M72" t="str">
        <f t="shared" si="1"/>
        <v>2010-2020</v>
      </c>
    </row>
    <row r="73" spans="1:13" hidden="1">
      <c r="A73" t="s">
        <v>154</v>
      </c>
      <c r="B73" t="s">
        <v>155</v>
      </c>
      <c r="C73" s="1">
        <v>45394</v>
      </c>
      <c r="D73" s="2">
        <v>2045512421</v>
      </c>
      <c r="E73">
        <v>97</v>
      </c>
      <c r="L73">
        <v>0</v>
      </c>
      <c r="M73" t="str">
        <f t="shared" si="1"/>
        <v>After 2020</v>
      </c>
    </row>
    <row r="74" spans="1:13">
      <c r="A74" t="s">
        <v>156</v>
      </c>
      <c r="B74" t="s">
        <v>157</v>
      </c>
      <c r="C74" s="1">
        <v>44937</v>
      </c>
      <c r="D74" s="2">
        <v>946941510</v>
      </c>
      <c r="E74" s="2">
        <v>100130</v>
      </c>
      <c r="F74">
        <v>74</v>
      </c>
      <c r="G74" s="2">
        <v>776436101</v>
      </c>
      <c r="H74" s="2">
        <v>12951756</v>
      </c>
      <c r="I74" s="2">
        <v>11936401096</v>
      </c>
      <c r="J74">
        <v>110</v>
      </c>
      <c r="K74">
        <v>180</v>
      </c>
      <c r="L74">
        <v>0</v>
      </c>
      <c r="M74" t="str">
        <f t="shared" si="1"/>
        <v>After 2020</v>
      </c>
    </row>
    <row r="75" spans="1:13" hidden="1">
      <c r="A75" t="s">
        <v>158</v>
      </c>
      <c r="B75" t="s">
        <v>159</v>
      </c>
      <c r="C75" s="1">
        <v>44995</v>
      </c>
      <c r="D75" s="2">
        <v>7909</v>
      </c>
      <c r="E75">
        <v>38</v>
      </c>
      <c r="F75">
        <v>4</v>
      </c>
      <c r="G75" s="2">
        <v>1999374091</v>
      </c>
      <c r="H75" s="2">
        <v>5708577</v>
      </c>
      <c r="L75">
        <v>0</v>
      </c>
      <c r="M75" t="str">
        <f t="shared" si="1"/>
        <v>After 2020</v>
      </c>
    </row>
    <row r="76" spans="1:13">
      <c r="A76" t="s">
        <v>160</v>
      </c>
      <c r="B76" t="s">
        <v>161</v>
      </c>
      <c r="C76" s="1">
        <v>43538</v>
      </c>
      <c r="D76" s="2">
        <v>1010494713</v>
      </c>
      <c r="E76" s="2">
        <v>127393</v>
      </c>
      <c r="F76">
        <v>67</v>
      </c>
      <c r="G76" s="2">
        <v>3203314695</v>
      </c>
      <c r="H76" s="2">
        <v>41487213</v>
      </c>
      <c r="I76" s="2">
        <v>1981431049</v>
      </c>
      <c r="J76">
        <v>63</v>
      </c>
      <c r="K76" s="2">
        <v>2195</v>
      </c>
      <c r="L76">
        <v>0</v>
      </c>
      <c r="M76" t="str">
        <f t="shared" si="1"/>
        <v>2010-2020</v>
      </c>
    </row>
    <row r="77" spans="1:13">
      <c r="A77" t="s">
        <v>162</v>
      </c>
      <c r="B77" t="s">
        <v>163</v>
      </c>
      <c r="C77" s="1">
        <v>45033</v>
      </c>
      <c r="D77" s="2">
        <v>1008495696</v>
      </c>
      <c r="E77" s="2">
        <v>99381</v>
      </c>
      <c r="F77">
        <v>75</v>
      </c>
      <c r="G77" s="2">
        <v>878892413</v>
      </c>
      <c r="H77" s="2">
        <v>4425283</v>
      </c>
      <c r="I77" s="2">
        <v>1669065906</v>
      </c>
      <c r="J77">
        <v>101</v>
      </c>
      <c r="K77">
        <v>225</v>
      </c>
      <c r="L77">
        <v>0</v>
      </c>
      <c r="M77" t="str">
        <f t="shared" si="1"/>
        <v>After 2020</v>
      </c>
    </row>
    <row r="78" spans="1:13" hidden="1">
      <c r="A78" t="s">
        <v>164</v>
      </c>
      <c r="B78" t="s">
        <v>165</v>
      </c>
      <c r="C78" s="1">
        <v>43945</v>
      </c>
      <c r="E78" s="2">
        <v>10230</v>
      </c>
      <c r="G78" s="2">
        <v>12489728</v>
      </c>
      <c r="H78" s="2">
        <v>339414</v>
      </c>
      <c r="I78" s="2">
        <v>12221514692</v>
      </c>
      <c r="L78">
        <v>0</v>
      </c>
      <c r="M78" t="str">
        <f t="shared" si="1"/>
        <v>2010-2020</v>
      </c>
    </row>
    <row r="79" spans="1:13">
      <c r="A79" t="s">
        <v>166</v>
      </c>
      <c r="B79" t="s">
        <v>167</v>
      </c>
      <c r="C79" s="1">
        <v>45078</v>
      </c>
      <c r="D79" s="2">
        <v>692512930</v>
      </c>
      <c r="E79" s="2">
        <v>199828</v>
      </c>
      <c r="F79">
        <v>78</v>
      </c>
      <c r="G79" s="2">
        <v>219666692</v>
      </c>
      <c r="H79" s="2">
        <v>2332307</v>
      </c>
      <c r="I79" s="2">
        <v>1254944697</v>
      </c>
      <c r="J79">
        <v>155</v>
      </c>
      <c r="K79">
        <v>36</v>
      </c>
      <c r="L79">
        <v>1</v>
      </c>
      <c r="M79" t="str">
        <f t="shared" si="1"/>
        <v>After 2020</v>
      </c>
    </row>
    <row r="80" spans="1:13" hidden="1">
      <c r="A80" t="s">
        <v>168</v>
      </c>
      <c r="B80" t="s">
        <v>51</v>
      </c>
      <c r="C80" s="1">
        <v>45429</v>
      </c>
      <c r="D80" s="2">
        <v>169410711</v>
      </c>
      <c r="E80" s="2">
        <v>11028</v>
      </c>
      <c r="F80">
        <v>90</v>
      </c>
      <c r="G80" s="2">
        <v>19402457</v>
      </c>
      <c r="H80" s="2">
        <v>997411</v>
      </c>
      <c r="J80">
        <v>185</v>
      </c>
      <c r="L80">
        <v>0</v>
      </c>
      <c r="M80" t="str">
        <f t="shared" si="1"/>
        <v>After 2020</v>
      </c>
    </row>
    <row r="81" spans="1:13">
      <c r="A81" t="s">
        <v>169</v>
      </c>
      <c r="B81" t="s">
        <v>170</v>
      </c>
      <c r="C81" s="1">
        <v>44980</v>
      </c>
      <c r="D81" s="2">
        <v>1024381758</v>
      </c>
      <c r="E81" s="2">
        <v>78554</v>
      </c>
      <c r="F81">
        <v>78</v>
      </c>
      <c r="G81" s="2">
        <v>1102289596</v>
      </c>
      <c r="H81" s="2">
        <v>8953293</v>
      </c>
      <c r="I81" s="2">
        <v>248168852</v>
      </c>
      <c r="J81">
        <v>138</v>
      </c>
      <c r="K81">
        <v>38</v>
      </c>
      <c r="L81">
        <v>1</v>
      </c>
      <c r="M81" t="str">
        <f t="shared" si="1"/>
        <v>After 2020</v>
      </c>
    </row>
    <row r="82" spans="1:13">
      <c r="A82" t="s">
        <v>171</v>
      </c>
      <c r="B82" t="s">
        <v>123</v>
      </c>
      <c r="C82" s="1">
        <v>42797</v>
      </c>
      <c r="D82" s="2">
        <v>2969999682</v>
      </c>
      <c r="E82" s="2">
        <v>280165</v>
      </c>
      <c r="F82">
        <v>81</v>
      </c>
      <c r="G82" s="2">
        <v>6473698897</v>
      </c>
      <c r="H82" s="2">
        <v>39632673</v>
      </c>
      <c r="I82" s="2">
        <v>7647479866</v>
      </c>
      <c r="J82">
        <v>208</v>
      </c>
      <c r="K82">
        <v>129</v>
      </c>
      <c r="L82">
        <v>0</v>
      </c>
      <c r="M82" t="str">
        <f t="shared" si="1"/>
        <v>2010-2020</v>
      </c>
    </row>
    <row r="83" spans="1:13">
      <c r="A83" t="s">
        <v>172</v>
      </c>
      <c r="B83" t="s">
        <v>173</v>
      </c>
      <c r="C83" s="1">
        <v>44371</v>
      </c>
      <c r="D83" s="2">
        <v>1500499584</v>
      </c>
      <c r="E83" s="2">
        <v>359502</v>
      </c>
      <c r="F83">
        <v>74</v>
      </c>
      <c r="G83" s="2">
        <v>1431591689</v>
      </c>
      <c r="H83" s="2">
        <v>11553088</v>
      </c>
      <c r="I83" s="2">
        <v>4067248819</v>
      </c>
      <c r="J83">
        <v>258</v>
      </c>
      <c r="K83">
        <v>438</v>
      </c>
      <c r="L83">
        <v>1</v>
      </c>
      <c r="M83" t="str">
        <f t="shared" si="1"/>
        <v>After 2020</v>
      </c>
    </row>
    <row r="84" spans="1:13" hidden="1">
      <c r="A84" t="s">
        <v>174</v>
      </c>
      <c r="B84" t="s">
        <v>175</v>
      </c>
      <c r="C84" s="1">
        <v>44953</v>
      </c>
      <c r="D84" s="2">
        <v>8082</v>
      </c>
      <c r="E84">
        <v>63</v>
      </c>
      <c r="G84" s="2">
        <v>2055940513</v>
      </c>
      <c r="H84" s="2">
        <v>4150967</v>
      </c>
      <c r="J84">
        <v>1</v>
      </c>
      <c r="L84">
        <v>0</v>
      </c>
      <c r="M84" t="str">
        <f t="shared" si="1"/>
        <v>After 2020</v>
      </c>
    </row>
    <row r="85" spans="1:13">
      <c r="A85" t="s">
        <v>176</v>
      </c>
      <c r="B85" t="s">
        <v>177</v>
      </c>
      <c r="C85" s="1">
        <v>45001</v>
      </c>
      <c r="D85" s="2">
        <v>1215336974</v>
      </c>
      <c r="E85" s="2">
        <v>129463</v>
      </c>
      <c r="F85">
        <v>74</v>
      </c>
      <c r="G85" s="2">
        <v>701880622</v>
      </c>
      <c r="H85" s="2">
        <v>3831236</v>
      </c>
      <c r="I85" s="2">
        <v>15373104</v>
      </c>
      <c r="J85">
        <v>83</v>
      </c>
      <c r="K85">
        <v>227</v>
      </c>
      <c r="L85">
        <v>0</v>
      </c>
      <c r="M85" t="str">
        <f t="shared" si="1"/>
        <v>After 2020</v>
      </c>
    </row>
    <row r="86" spans="1:13">
      <c r="A86" t="s">
        <v>178</v>
      </c>
      <c r="B86" t="s">
        <v>112</v>
      </c>
      <c r="C86" s="1">
        <v>45071</v>
      </c>
      <c r="D86" s="2">
        <v>860026452</v>
      </c>
      <c r="E86" s="2">
        <v>74769</v>
      </c>
      <c r="F86">
        <v>80</v>
      </c>
      <c r="G86" s="2">
        <v>173044031</v>
      </c>
      <c r="H86" s="2">
        <v>1640319</v>
      </c>
      <c r="I86" s="2">
        <v>1227837850</v>
      </c>
      <c r="J86">
        <v>7</v>
      </c>
      <c r="K86" s="2">
        <v>1100</v>
      </c>
      <c r="L86">
        <v>0</v>
      </c>
      <c r="M86" t="str">
        <f t="shared" si="1"/>
        <v>After 2020</v>
      </c>
    </row>
    <row r="87" spans="1:13">
      <c r="A87" t="s">
        <v>179</v>
      </c>
      <c r="B87" t="s">
        <v>180</v>
      </c>
      <c r="C87" s="1">
        <v>45002</v>
      </c>
      <c r="D87" s="2">
        <v>1032225805</v>
      </c>
      <c r="E87" s="2">
        <v>94887</v>
      </c>
      <c r="F87">
        <v>79</v>
      </c>
      <c r="G87" s="2">
        <v>920878032</v>
      </c>
      <c r="H87" s="2">
        <v>3118229</v>
      </c>
      <c r="I87" s="2">
        <v>2416141351</v>
      </c>
      <c r="J87">
        <v>83</v>
      </c>
      <c r="K87">
        <v>177</v>
      </c>
      <c r="L87">
        <v>1</v>
      </c>
      <c r="M87" t="str">
        <f t="shared" si="1"/>
        <v>After 2020</v>
      </c>
    </row>
    <row r="88" spans="1:13" hidden="1">
      <c r="A88" t="s">
        <v>181</v>
      </c>
      <c r="B88" t="s">
        <v>182</v>
      </c>
      <c r="C88" s="1">
        <v>45303</v>
      </c>
      <c r="D88" s="2">
        <v>428233003</v>
      </c>
      <c r="E88" s="2">
        <v>57311</v>
      </c>
      <c r="G88" s="2">
        <v>105148629</v>
      </c>
      <c r="H88" s="2">
        <v>1762297</v>
      </c>
      <c r="I88" s="2">
        <v>43993800</v>
      </c>
      <c r="J88">
        <v>74</v>
      </c>
      <c r="K88">
        <v>56</v>
      </c>
      <c r="L88">
        <v>1</v>
      </c>
      <c r="M88" t="str">
        <f t="shared" si="1"/>
        <v>After 2020</v>
      </c>
    </row>
    <row r="89" spans="1:13">
      <c r="A89" t="s">
        <v>183</v>
      </c>
      <c r="B89" t="s">
        <v>184</v>
      </c>
      <c r="C89" s="1">
        <v>44483</v>
      </c>
      <c r="D89" s="2">
        <v>1720918065</v>
      </c>
      <c r="E89" s="2">
        <v>209635</v>
      </c>
      <c r="F89">
        <v>73</v>
      </c>
      <c r="G89" s="2">
        <v>1194846205</v>
      </c>
      <c r="H89" s="2">
        <v>13561925</v>
      </c>
      <c r="I89" s="2">
        <v>7860224413</v>
      </c>
      <c r="J89">
        <v>325</v>
      </c>
      <c r="K89" s="2">
        <v>1316</v>
      </c>
      <c r="L89">
        <v>0</v>
      </c>
      <c r="M89" t="str">
        <f t="shared" si="1"/>
        <v>After 2020</v>
      </c>
    </row>
    <row r="90" spans="1:13">
      <c r="A90" t="s">
        <v>185</v>
      </c>
      <c r="B90" t="s">
        <v>141</v>
      </c>
      <c r="C90" s="1">
        <v>44687</v>
      </c>
      <c r="D90" s="2">
        <v>1514239759</v>
      </c>
      <c r="E90" s="2">
        <v>190692</v>
      </c>
      <c r="F90">
        <v>77</v>
      </c>
      <c r="G90" s="2">
        <v>1366181141</v>
      </c>
      <c r="H90" s="2">
        <v>9358441</v>
      </c>
      <c r="I90" s="2">
        <v>5249863696</v>
      </c>
      <c r="J90">
        <v>150</v>
      </c>
      <c r="K90">
        <v>920</v>
      </c>
      <c r="L90">
        <v>1</v>
      </c>
      <c r="M90" t="str">
        <f t="shared" si="1"/>
        <v>After 2020</v>
      </c>
    </row>
    <row r="91" spans="1:13">
      <c r="A91" t="s">
        <v>186</v>
      </c>
      <c r="B91" t="s">
        <v>187</v>
      </c>
      <c r="C91" s="1">
        <v>45058</v>
      </c>
      <c r="D91" s="2">
        <v>333202114</v>
      </c>
      <c r="E91" s="2">
        <v>108322</v>
      </c>
      <c r="F91">
        <v>68</v>
      </c>
      <c r="G91" s="2">
        <v>203487345</v>
      </c>
      <c r="H91" s="2">
        <v>2084532</v>
      </c>
      <c r="I91" s="2">
        <v>748253884</v>
      </c>
      <c r="J91">
        <v>148</v>
      </c>
      <c r="K91">
        <v>146</v>
      </c>
      <c r="L91">
        <v>1</v>
      </c>
      <c r="M91" t="str">
        <f t="shared" si="1"/>
        <v>After 2020</v>
      </c>
    </row>
    <row r="92" spans="1:13">
      <c r="A92" t="s">
        <v>188</v>
      </c>
      <c r="B92" t="s">
        <v>61</v>
      </c>
      <c r="C92" s="1">
        <v>44855</v>
      </c>
      <c r="D92" s="2">
        <v>1563224246</v>
      </c>
      <c r="E92" s="2">
        <v>117005</v>
      </c>
      <c r="F92">
        <v>80</v>
      </c>
      <c r="G92" s="2">
        <v>203259285</v>
      </c>
      <c r="H92" s="2">
        <v>3482508</v>
      </c>
      <c r="I92" s="2">
        <v>3864505972</v>
      </c>
      <c r="J92">
        <v>261</v>
      </c>
      <c r="K92" s="2">
        <v>1088</v>
      </c>
      <c r="L92">
        <v>0</v>
      </c>
      <c r="M92" t="str">
        <f t="shared" si="1"/>
        <v>After 2020</v>
      </c>
    </row>
    <row r="93" spans="1:13">
      <c r="A93" t="s">
        <v>189</v>
      </c>
      <c r="B93" t="s">
        <v>157</v>
      </c>
      <c r="C93" s="1">
        <v>44748</v>
      </c>
      <c r="D93" s="2">
        <v>1692951462</v>
      </c>
      <c r="E93" s="2">
        <v>209490</v>
      </c>
      <c r="F93">
        <v>78</v>
      </c>
      <c r="G93" s="2">
        <v>1132539234</v>
      </c>
      <c r="H93" s="2">
        <v>8795731</v>
      </c>
      <c r="I93" s="2">
        <v>2054826154</v>
      </c>
      <c r="J93">
        <v>99</v>
      </c>
      <c r="K93">
        <v>37</v>
      </c>
      <c r="L93">
        <v>0</v>
      </c>
      <c r="M93" t="str">
        <f t="shared" si="1"/>
        <v>After 2020</v>
      </c>
    </row>
    <row r="94" spans="1:13">
      <c r="A94" t="s">
        <v>190</v>
      </c>
      <c r="B94" t="s">
        <v>191</v>
      </c>
      <c r="C94" s="1">
        <v>45376</v>
      </c>
      <c r="D94" s="2">
        <v>255076355</v>
      </c>
      <c r="E94" s="2">
        <v>11500</v>
      </c>
      <c r="F94">
        <v>86</v>
      </c>
      <c r="G94" s="2">
        <v>202206901</v>
      </c>
      <c r="H94" s="2">
        <v>2596912</v>
      </c>
      <c r="I94" s="2">
        <v>506476590</v>
      </c>
      <c r="J94">
        <v>67</v>
      </c>
      <c r="K94">
        <v>137</v>
      </c>
      <c r="L94">
        <v>0</v>
      </c>
      <c r="M94" t="str">
        <f t="shared" si="1"/>
        <v>After 2020</v>
      </c>
    </row>
    <row r="95" spans="1:13">
      <c r="A95" t="s">
        <v>192</v>
      </c>
      <c r="B95" t="s">
        <v>193</v>
      </c>
      <c r="C95" s="1">
        <v>45135</v>
      </c>
      <c r="D95" s="2">
        <v>275349653</v>
      </c>
      <c r="E95" s="2">
        <v>37806</v>
      </c>
      <c r="F95">
        <v>70</v>
      </c>
      <c r="G95" s="2">
        <v>347506860</v>
      </c>
      <c r="H95" s="2">
        <v>1553295</v>
      </c>
      <c r="I95" s="2">
        <v>4767676439</v>
      </c>
      <c r="J95">
        <v>19</v>
      </c>
      <c r="K95">
        <v>96</v>
      </c>
      <c r="L95">
        <v>1</v>
      </c>
      <c r="M95" t="str">
        <f t="shared" si="1"/>
        <v>After 2020</v>
      </c>
    </row>
    <row r="96" spans="1:13">
      <c r="A96" t="s">
        <v>194</v>
      </c>
      <c r="B96" t="s">
        <v>195</v>
      </c>
      <c r="C96" s="1">
        <v>45262</v>
      </c>
      <c r="D96" s="2">
        <v>649404552</v>
      </c>
      <c r="E96" s="2">
        <v>27544</v>
      </c>
      <c r="F96">
        <v>83</v>
      </c>
      <c r="G96" s="2">
        <v>433839212</v>
      </c>
      <c r="H96" s="2">
        <v>2750086</v>
      </c>
      <c r="I96" s="2">
        <v>10603563</v>
      </c>
      <c r="J96">
        <v>29</v>
      </c>
      <c r="K96">
        <v>462</v>
      </c>
      <c r="L96">
        <v>0</v>
      </c>
      <c r="M96" t="str">
        <f t="shared" si="1"/>
        <v>After 2020</v>
      </c>
    </row>
    <row r="97" spans="1:13">
      <c r="A97" t="s">
        <v>196</v>
      </c>
      <c r="B97" t="s">
        <v>197</v>
      </c>
      <c r="C97" s="1">
        <v>44960</v>
      </c>
      <c r="D97" s="2">
        <v>851085705</v>
      </c>
      <c r="E97" s="2">
        <v>129047</v>
      </c>
      <c r="F97">
        <v>70</v>
      </c>
      <c r="G97" s="2">
        <v>211810152</v>
      </c>
      <c r="H97" s="2">
        <v>2461166</v>
      </c>
      <c r="I97" s="2">
        <v>8781020473</v>
      </c>
      <c r="J97">
        <v>162</v>
      </c>
      <c r="K97" s="2">
        <v>6243</v>
      </c>
      <c r="L97">
        <v>1</v>
      </c>
      <c r="M97" t="str">
        <f t="shared" si="1"/>
        <v>After 2020</v>
      </c>
    </row>
    <row r="98" spans="1:13">
      <c r="A98" t="s">
        <v>198</v>
      </c>
      <c r="B98" t="s">
        <v>148</v>
      </c>
      <c r="C98" s="1">
        <v>44904</v>
      </c>
      <c r="D98" s="2">
        <v>1013350808</v>
      </c>
      <c r="E98" s="2">
        <v>108036</v>
      </c>
      <c r="F98">
        <v>84</v>
      </c>
      <c r="G98" s="2">
        <v>390677417</v>
      </c>
      <c r="H98" s="2">
        <v>2521214</v>
      </c>
      <c r="I98" s="2">
        <v>887803828</v>
      </c>
      <c r="J98">
        <v>154</v>
      </c>
      <c r="K98">
        <v>513</v>
      </c>
      <c r="L98">
        <v>1</v>
      </c>
      <c r="M98" t="str">
        <f t="shared" si="1"/>
        <v>After 2020</v>
      </c>
    </row>
    <row r="99" spans="1:13">
      <c r="A99" t="s">
        <v>199</v>
      </c>
      <c r="B99" t="s">
        <v>200</v>
      </c>
      <c r="C99" s="1">
        <v>45267</v>
      </c>
      <c r="D99" s="2">
        <v>359803580</v>
      </c>
      <c r="E99" s="2">
        <v>26065</v>
      </c>
      <c r="F99">
        <v>86</v>
      </c>
      <c r="G99" s="2">
        <v>369321334</v>
      </c>
      <c r="H99" s="2">
        <v>1839225</v>
      </c>
      <c r="I99" s="2">
        <v>874056250</v>
      </c>
      <c r="J99">
        <v>40</v>
      </c>
      <c r="K99">
        <v>69</v>
      </c>
      <c r="L99">
        <v>1</v>
      </c>
      <c r="M99" t="str">
        <f t="shared" si="1"/>
        <v>After 2020</v>
      </c>
    </row>
    <row r="100" spans="1:13" hidden="1">
      <c r="A100" t="s">
        <v>201</v>
      </c>
      <c r="B100" t="s">
        <v>68</v>
      </c>
      <c r="C100" s="1">
        <v>45191</v>
      </c>
      <c r="D100" s="2">
        <v>509653100</v>
      </c>
      <c r="E100" s="2">
        <v>66219</v>
      </c>
      <c r="G100" s="2">
        <v>48045203</v>
      </c>
      <c r="H100" s="2">
        <v>986278</v>
      </c>
      <c r="I100" s="2">
        <v>544437406</v>
      </c>
      <c r="J100">
        <v>80</v>
      </c>
      <c r="K100">
        <v>14</v>
      </c>
      <c r="L100">
        <v>1</v>
      </c>
      <c r="M100" t="str">
        <f t="shared" si="1"/>
        <v>After 2020</v>
      </c>
    </row>
    <row r="101" spans="1:13">
      <c r="A101" t="s">
        <v>202</v>
      </c>
      <c r="B101" t="s">
        <v>203</v>
      </c>
      <c r="C101" s="1">
        <v>45149</v>
      </c>
      <c r="D101" s="2">
        <v>609699748</v>
      </c>
      <c r="E101" s="2">
        <v>128498</v>
      </c>
      <c r="F101">
        <v>83</v>
      </c>
      <c r="G101" s="2">
        <v>47611547</v>
      </c>
      <c r="H101" s="2">
        <v>418343</v>
      </c>
      <c r="I101" s="2">
        <v>1090501901</v>
      </c>
      <c r="J101">
        <v>129</v>
      </c>
      <c r="K101" s="2">
        <v>1570</v>
      </c>
      <c r="L101">
        <v>1</v>
      </c>
      <c r="M101" t="str">
        <f t="shared" si="1"/>
        <v>After 2020</v>
      </c>
    </row>
    <row r="102" spans="1:13" hidden="1">
      <c r="A102" t="s">
        <v>204</v>
      </c>
      <c r="B102" t="s">
        <v>205</v>
      </c>
      <c r="C102" s="1">
        <v>45414</v>
      </c>
      <c r="D102" s="2">
        <v>5157486</v>
      </c>
      <c r="E102">
        <v>470</v>
      </c>
      <c r="G102" s="2">
        <v>1278618</v>
      </c>
      <c r="H102" s="2">
        <v>27849</v>
      </c>
      <c r="I102" s="2">
        <v>3900000</v>
      </c>
      <c r="J102">
        <v>3</v>
      </c>
      <c r="L102">
        <v>0</v>
      </c>
      <c r="M102" t="str">
        <f t="shared" si="1"/>
        <v>After 2020</v>
      </c>
    </row>
    <row r="103" spans="1:13">
      <c r="A103" t="s">
        <v>206</v>
      </c>
      <c r="B103" t="s">
        <v>207</v>
      </c>
      <c r="C103" s="1">
        <v>45156</v>
      </c>
      <c r="D103" s="2">
        <v>242070373</v>
      </c>
      <c r="E103" s="2">
        <v>37170</v>
      </c>
      <c r="F103">
        <v>76</v>
      </c>
      <c r="G103" s="2">
        <v>22907992</v>
      </c>
      <c r="H103" s="2">
        <v>261664</v>
      </c>
      <c r="I103" s="2">
        <v>3832221658</v>
      </c>
      <c r="J103">
        <v>106</v>
      </c>
      <c r="K103" s="2">
        <v>5999</v>
      </c>
      <c r="L103">
        <v>0</v>
      </c>
      <c r="M103" t="str">
        <f t="shared" si="1"/>
        <v>After 2020</v>
      </c>
    </row>
    <row r="104" spans="1:13">
      <c r="A104" t="s">
        <v>208</v>
      </c>
      <c r="B104" t="s">
        <v>141</v>
      </c>
      <c r="C104" s="1">
        <v>45212</v>
      </c>
      <c r="D104" s="2">
        <v>478150858</v>
      </c>
      <c r="E104" s="2">
        <v>73306</v>
      </c>
      <c r="F104">
        <v>78</v>
      </c>
      <c r="G104" s="2">
        <v>113379734</v>
      </c>
      <c r="H104" s="2">
        <v>1312763</v>
      </c>
      <c r="I104" s="2">
        <v>2111289492</v>
      </c>
      <c r="J104">
        <v>78</v>
      </c>
      <c r="K104">
        <v>39</v>
      </c>
      <c r="L104">
        <v>1</v>
      </c>
      <c r="M104" t="str">
        <f t="shared" si="1"/>
        <v>After 2020</v>
      </c>
    </row>
    <row r="105" spans="1:13" hidden="1">
      <c r="A105" t="s">
        <v>209</v>
      </c>
      <c r="B105" t="s">
        <v>165</v>
      </c>
      <c r="C105" s="1">
        <v>43945</v>
      </c>
      <c r="D105" s="2">
        <v>61382407</v>
      </c>
      <c r="E105" s="2">
        <v>7240</v>
      </c>
      <c r="F105">
        <v>43</v>
      </c>
      <c r="G105" s="2">
        <v>9977490</v>
      </c>
      <c r="H105" s="2">
        <v>201210</v>
      </c>
      <c r="I105" s="2">
        <v>147837262</v>
      </c>
      <c r="J105">
        <v>15</v>
      </c>
      <c r="L105">
        <v>0</v>
      </c>
      <c r="M105" t="str">
        <f t="shared" si="1"/>
        <v>2010-2020</v>
      </c>
    </row>
    <row r="106" spans="1:13" hidden="1">
      <c r="A106" t="s">
        <v>210</v>
      </c>
      <c r="B106" t="s">
        <v>211</v>
      </c>
      <c r="C106" s="1">
        <v>45092</v>
      </c>
      <c r="D106" s="2">
        <v>460156070</v>
      </c>
      <c r="E106" s="2">
        <v>163449</v>
      </c>
      <c r="F106">
        <v>77</v>
      </c>
      <c r="G106" s="2">
        <v>8183226</v>
      </c>
      <c r="H106" s="2">
        <v>98257</v>
      </c>
      <c r="I106" s="2">
        <v>1032799567</v>
      </c>
      <c r="L106">
        <v>0</v>
      </c>
      <c r="M106" t="str">
        <f t="shared" si="1"/>
        <v>After 2020</v>
      </c>
    </row>
    <row r="107" spans="1:13">
      <c r="A107" t="s">
        <v>212</v>
      </c>
      <c r="B107" t="s">
        <v>112</v>
      </c>
      <c r="C107" s="1">
        <v>45337</v>
      </c>
      <c r="D107" s="2">
        <v>251153869</v>
      </c>
      <c r="E107" s="2">
        <v>16811</v>
      </c>
      <c r="F107">
        <v>76</v>
      </c>
      <c r="G107" s="2">
        <v>66691067</v>
      </c>
      <c r="H107" s="2">
        <v>961957</v>
      </c>
      <c r="I107" s="2">
        <v>431390500</v>
      </c>
      <c r="J107">
        <v>162</v>
      </c>
      <c r="K107">
        <v>57</v>
      </c>
      <c r="L107">
        <v>0</v>
      </c>
      <c r="M107" t="str">
        <f t="shared" si="1"/>
        <v>After 2020</v>
      </c>
    </row>
    <row r="108" spans="1:13" hidden="1">
      <c r="A108" t="s">
        <v>213</v>
      </c>
      <c r="B108" t="s">
        <v>53</v>
      </c>
      <c r="C108" s="1">
        <v>45373</v>
      </c>
      <c r="D108" s="2">
        <v>205206688</v>
      </c>
      <c r="E108" s="2">
        <v>28064</v>
      </c>
      <c r="F108">
        <v>84</v>
      </c>
      <c r="G108" s="2">
        <v>39453253</v>
      </c>
      <c r="H108" s="2">
        <v>672789</v>
      </c>
      <c r="J108">
        <v>99</v>
      </c>
      <c r="K108">
        <v>45</v>
      </c>
      <c r="L108">
        <v>1</v>
      </c>
      <c r="M108" t="str">
        <f t="shared" si="1"/>
        <v>After 2020</v>
      </c>
    </row>
    <row r="109" spans="1:13" hidden="1">
      <c r="A109" t="s">
        <v>214</v>
      </c>
      <c r="B109" t="s">
        <v>139</v>
      </c>
      <c r="C109" s="1">
        <v>45439</v>
      </c>
      <c r="D109" s="2">
        <v>32942304</v>
      </c>
      <c r="E109" s="2">
        <v>1262</v>
      </c>
      <c r="F109">
        <v>74</v>
      </c>
      <c r="G109" s="2">
        <v>57861795</v>
      </c>
      <c r="H109" s="2">
        <v>1257935</v>
      </c>
      <c r="J109">
        <v>37</v>
      </c>
      <c r="K109">
        <v>6</v>
      </c>
      <c r="L109">
        <v>0</v>
      </c>
      <c r="M109" t="str">
        <f t="shared" si="1"/>
        <v>After 2020</v>
      </c>
    </row>
    <row r="110" spans="1:13">
      <c r="A110" t="s">
        <v>215</v>
      </c>
      <c r="B110" t="s">
        <v>216</v>
      </c>
      <c r="C110" s="1">
        <v>43805</v>
      </c>
      <c r="D110" s="2">
        <v>1911559785</v>
      </c>
      <c r="E110" s="2">
        <v>317345</v>
      </c>
      <c r="F110">
        <v>78</v>
      </c>
      <c r="G110" s="2">
        <v>441257231</v>
      </c>
      <c r="H110" s="2">
        <v>4829633</v>
      </c>
      <c r="I110" s="2">
        <v>4574447121</v>
      </c>
      <c r="J110">
        <v>255</v>
      </c>
      <c r="K110">
        <v>181</v>
      </c>
      <c r="L110">
        <v>1</v>
      </c>
      <c r="M110" t="str">
        <f t="shared" si="1"/>
        <v>2010-2020</v>
      </c>
    </row>
    <row r="111" spans="1:13">
      <c r="A111" t="s">
        <v>217</v>
      </c>
      <c r="B111" t="s">
        <v>161</v>
      </c>
      <c r="C111" s="1">
        <v>44400</v>
      </c>
      <c r="D111" s="2">
        <v>2014959725</v>
      </c>
      <c r="E111" s="2">
        <v>354831</v>
      </c>
      <c r="F111">
        <v>70</v>
      </c>
      <c r="G111" s="2">
        <v>1003346208</v>
      </c>
      <c r="H111" s="2">
        <v>16856186</v>
      </c>
      <c r="I111" s="2">
        <v>9558947943</v>
      </c>
      <c r="J111">
        <v>360</v>
      </c>
      <c r="K111">
        <v>925</v>
      </c>
      <c r="L111">
        <v>1</v>
      </c>
      <c r="M111" t="str">
        <f t="shared" si="1"/>
        <v>After 2020</v>
      </c>
    </row>
    <row r="112" spans="1:13" hidden="1">
      <c r="A112" t="s">
        <v>218</v>
      </c>
      <c r="B112" t="s">
        <v>219</v>
      </c>
      <c r="C112" s="1">
        <v>45380</v>
      </c>
      <c r="D112" s="2">
        <v>168145583</v>
      </c>
      <c r="E112" s="2">
        <v>27654</v>
      </c>
      <c r="F112">
        <v>85</v>
      </c>
      <c r="G112" s="2">
        <v>35008949</v>
      </c>
      <c r="H112" s="2">
        <v>717214</v>
      </c>
      <c r="J112">
        <v>107</v>
      </c>
      <c r="L112">
        <v>0</v>
      </c>
      <c r="M112" t="str">
        <f t="shared" si="1"/>
        <v>After 2020</v>
      </c>
    </row>
    <row r="113" spans="1:13">
      <c r="A113" t="s">
        <v>220</v>
      </c>
      <c r="B113" t="s">
        <v>221</v>
      </c>
      <c r="C113" s="1">
        <v>45009</v>
      </c>
      <c r="D113" s="2">
        <v>518988585</v>
      </c>
      <c r="E113" s="2">
        <v>73116</v>
      </c>
      <c r="F113">
        <v>80</v>
      </c>
      <c r="G113" s="2">
        <v>107703759</v>
      </c>
      <c r="H113" s="2">
        <v>768813</v>
      </c>
      <c r="I113" s="2">
        <v>924204888</v>
      </c>
      <c r="J113">
        <v>117</v>
      </c>
      <c r="K113">
        <v>59</v>
      </c>
      <c r="L113">
        <v>0</v>
      </c>
      <c r="M113" t="str">
        <f t="shared" si="1"/>
        <v>After 2020</v>
      </c>
    </row>
    <row r="114" spans="1:13" hidden="1">
      <c r="A114" t="s">
        <v>222</v>
      </c>
      <c r="B114" t="s">
        <v>223</v>
      </c>
      <c r="C114" s="1">
        <v>45298</v>
      </c>
      <c r="D114" s="2">
        <v>247399972</v>
      </c>
      <c r="E114" s="2">
        <v>22222</v>
      </c>
      <c r="F114">
        <v>80</v>
      </c>
      <c r="G114" s="2">
        <v>389540239</v>
      </c>
      <c r="H114" s="2">
        <v>4392933</v>
      </c>
      <c r="I114" s="2">
        <v>296522040</v>
      </c>
      <c r="J114">
        <v>53</v>
      </c>
      <c r="L114">
        <v>0</v>
      </c>
      <c r="M114" t="str">
        <f t="shared" si="1"/>
        <v>After 2020</v>
      </c>
    </row>
    <row r="115" spans="1:13" hidden="1">
      <c r="A115" t="s">
        <v>224</v>
      </c>
      <c r="B115" t="s">
        <v>225</v>
      </c>
      <c r="C115" s="1">
        <v>44624</v>
      </c>
      <c r="D115" s="2">
        <v>5712985</v>
      </c>
      <c r="E115" s="2">
        <v>2311</v>
      </c>
      <c r="F115">
        <v>44</v>
      </c>
      <c r="G115" s="2">
        <v>3120073</v>
      </c>
      <c r="H115" s="2">
        <v>56276</v>
      </c>
      <c r="I115" s="2">
        <v>33870791454</v>
      </c>
      <c r="J115">
        <v>4</v>
      </c>
      <c r="L115">
        <v>0</v>
      </c>
      <c r="M115" t="str">
        <f t="shared" si="1"/>
        <v>After 2020</v>
      </c>
    </row>
    <row r="116" spans="1:13" hidden="1">
      <c r="A116" t="s">
        <v>226</v>
      </c>
      <c r="B116" t="s">
        <v>47</v>
      </c>
      <c r="C116" s="1">
        <v>43391</v>
      </c>
      <c r="D116" s="2">
        <v>3358704125</v>
      </c>
      <c r="E116" s="2">
        <v>392082</v>
      </c>
      <c r="F116">
        <v>79</v>
      </c>
      <c r="G116" s="2">
        <v>2763188773</v>
      </c>
      <c r="H116" s="2">
        <v>19410390</v>
      </c>
      <c r="I116" s="2">
        <v>1597453878</v>
      </c>
      <c r="J116">
        <v>351</v>
      </c>
      <c r="L116">
        <v>0</v>
      </c>
      <c r="M116" t="str">
        <f t="shared" si="1"/>
        <v>2010-2020</v>
      </c>
    </row>
    <row r="117" spans="1:13" hidden="1">
      <c r="A117" t="s">
        <v>227</v>
      </c>
      <c r="B117" t="s">
        <v>228</v>
      </c>
      <c r="C117" s="1">
        <v>44774</v>
      </c>
      <c r="D117" s="2">
        <v>126914</v>
      </c>
      <c r="E117">
        <v>8</v>
      </c>
      <c r="F117">
        <v>1</v>
      </c>
      <c r="G117" s="2">
        <v>2435813922</v>
      </c>
      <c r="H117" s="2">
        <v>7208467</v>
      </c>
      <c r="I117" s="2">
        <v>6415</v>
      </c>
      <c r="L117">
        <v>0</v>
      </c>
      <c r="M117" t="str">
        <f t="shared" si="1"/>
        <v>After 2020</v>
      </c>
    </row>
    <row r="118" spans="1:13" hidden="1">
      <c r="A118" t="s">
        <v>229</v>
      </c>
      <c r="B118" t="s">
        <v>148</v>
      </c>
      <c r="C118" s="1">
        <v>45346</v>
      </c>
      <c r="D118" s="2">
        <v>343090427</v>
      </c>
      <c r="E118" s="2">
        <v>21104</v>
      </c>
      <c r="F118">
        <v>87</v>
      </c>
      <c r="G118" s="2">
        <v>38173339</v>
      </c>
      <c r="H118" s="2">
        <v>349660</v>
      </c>
      <c r="J118">
        <v>120</v>
      </c>
      <c r="K118">
        <v>360</v>
      </c>
      <c r="L118">
        <v>0</v>
      </c>
      <c r="M118" t="str">
        <f t="shared" si="1"/>
        <v>After 2020</v>
      </c>
    </row>
    <row r="119" spans="1:13" hidden="1">
      <c r="A119" t="s">
        <v>230</v>
      </c>
      <c r="B119" t="s">
        <v>231</v>
      </c>
      <c r="C119" s="1">
        <v>45447</v>
      </c>
      <c r="G119" s="2">
        <v>39323383</v>
      </c>
      <c r="H119" s="2">
        <v>44223</v>
      </c>
      <c r="L119">
        <v>0</v>
      </c>
      <c r="M119" t="str">
        <f t="shared" si="1"/>
        <v>After 2020</v>
      </c>
    </row>
    <row r="120" spans="1:13">
      <c r="A120" t="s">
        <v>232</v>
      </c>
      <c r="B120" t="s">
        <v>233</v>
      </c>
      <c r="C120" s="1">
        <v>42766</v>
      </c>
      <c r="D120" s="2">
        <v>3006226762</v>
      </c>
      <c r="E120" s="2">
        <v>335880</v>
      </c>
      <c r="F120">
        <v>81</v>
      </c>
      <c r="G120" s="2">
        <v>4495059988</v>
      </c>
      <c r="H120" s="2">
        <v>42240881</v>
      </c>
      <c r="I120" s="2">
        <v>5876458723</v>
      </c>
      <c r="J120">
        <v>226</v>
      </c>
      <c r="K120">
        <v>388</v>
      </c>
      <c r="L120">
        <v>0</v>
      </c>
      <c r="M120" t="str">
        <f t="shared" si="1"/>
        <v>2010-2020</v>
      </c>
    </row>
    <row r="121" spans="1:13">
      <c r="A121" t="s">
        <v>234</v>
      </c>
      <c r="B121" t="s">
        <v>53</v>
      </c>
      <c r="C121" s="1">
        <v>44678</v>
      </c>
      <c r="D121" s="2">
        <v>787155930</v>
      </c>
      <c r="E121" s="2">
        <v>183850</v>
      </c>
      <c r="F121">
        <v>77</v>
      </c>
      <c r="G121" s="2">
        <v>357772653</v>
      </c>
      <c r="H121" s="2">
        <v>2590835</v>
      </c>
      <c r="I121" s="2">
        <v>836550889</v>
      </c>
      <c r="J121">
        <v>150</v>
      </c>
      <c r="K121" s="2">
        <v>1308</v>
      </c>
      <c r="L121">
        <v>1</v>
      </c>
      <c r="M121" t="str">
        <f t="shared" si="1"/>
        <v>After 2020</v>
      </c>
    </row>
    <row r="122" spans="1:13">
      <c r="A122" t="s">
        <v>235</v>
      </c>
      <c r="B122" t="s">
        <v>236</v>
      </c>
      <c r="C122" s="1">
        <v>45135</v>
      </c>
      <c r="D122" s="2">
        <v>532605345</v>
      </c>
      <c r="E122" s="2">
        <v>128534</v>
      </c>
      <c r="F122">
        <v>81</v>
      </c>
      <c r="G122" s="2">
        <v>97958347</v>
      </c>
      <c r="H122" s="2">
        <v>1237197</v>
      </c>
      <c r="I122" s="2">
        <v>947194801</v>
      </c>
      <c r="J122">
        <v>46</v>
      </c>
      <c r="K122">
        <v>57</v>
      </c>
      <c r="L122">
        <v>1</v>
      </c>
      <c r="M122" t="str">
        <f t="shared" si="1"/>
        <v>After 2020</v>
      </c>
    </row>
    <row r="123" spans="1:13" hidden="1">
      <c r="A123" t="s">
        <v>237</v>
      </c>
      <c r="B123" t="s">
        <v>238</v>
      </c>
      <c r="C123" s="1">
        <v>45196</v>
      </c>
      <c r="D123" s="2">
        <v>292789738</v>
      </c>
      <c r="E123" s="2">
        <v>28591</v>
      </c>
      <c r="F123">
        <v>72</v>
      </c>
      <c r="G123" s="2">
        <v>406307035</v>
      </c>
      <c r="H123" s="2">
        <v>809942</v>
      </c>
      <c r="I123" s="2">
        <v>872862858</v>
      </c>
      <c r="J123">
        <v>11</v>
      </c>
      <c r="L123">
        <v>1</v>
      </c>
      <c r="M123" t="str">
        <f t="shared" si="1"/>
        <v>After 2020</v>
      </c>
    </row>
    <row r="124" spans="1:13">
      <c r="A124" t="s">
        <v>239</v>
      </c>
      <c r="B124" t="s">
        <v>30</v>
      </c>
      <c r="C124" s="1">
        <v>44659</v>
      </c>
      <c r="D124" s="2">
        <v>818858244</v>
      </c>
      <c r="E124" s="2">
        <v>223609</v>
      </c>
      <c r="F124">
        <v>71</v>
      </c>
      <c r="G124" s="2">
        <v>231229581</v>
      </c>
      <c r="H124" s="2">
        <v>2756840</v>
      </c>
      <c r="I124" s="2">
        <v>6890780336</v>
      </c>
      <c r="J124">
        <v>148</v>
      </c>
      <c r="K124" s="2">
        <v>4406</v>
      </c>
      <c r="L124">
        <v>1</v>
      </c>
      <c r="M124" t="str">
        <f t="shared" si="1"/>
        <v>After 2020</v>
      </c>
    </row>
    <row r="125" spans="1:13">
      <c r="A125" t="s">
        <v>240</v>
      </c>
      <c r="B125" t="s">
        <v>236</v>
      </c>
      <c r="C125" s="1">
        <v>45135</v>
      </c>
      <c r="D125" s="2">
        <v>659010786</v>
      </c>
      <c r="E125" s="2">
        <v>129923</v>
      </c>
      <c r="F125">
        <v>86</v>
      </c>
      <c r="G125" s="2">
        <v>125203447</v>
      </c>
      <c r="H125" s="2">
        <v>1990342</v>
      </c>
      <c r="I125" s="2">
        <v>107398826</v>
      </c>
      <c r="J125">
        <v>87</v>
      </c>
      <c r="K125">
        <v>361</v>
      </c>
      <c r="L125">
        <v>1</v>
      </c>
      <c r="M125" t="str">
        <f t="shared" si="1"/>
        <v>After 2020</v>
      </c>
    </row>
    <row r="126" spans="1:13" hidden="1">
      <c r="A126" t="s">
        <v>241</v>
      </c>
      <c r="B126" t="s">
        <v>127</v>
      </c>
      <c r="C126" s="1">
        <v>44988</v>
      </c>
      <c r="D126" s="2">
        <v>3913988</v>
      </c>
      <c r="E126">
        <v>545</v>
      </c>
      <c r="F126">
        <v>40</v>
      </c>
      <c r="G126" s="2">
        <v>1577017938</v>
      </c>
      <c r="H126" s="2">
        <v>9304666</v>
      </c>
      <c r="L126">
        <v>1</v>
      </c>
      <c r="M126" t="str">
        <f t="shared" si="1"/>
        <v>After 2020</v>
      </c>
    </row>
    <row r="127" spans="1:13" hidden="1">
      <c r="A127" t="s">
        <v>242</v>
      </c>
      <c r="B127" t="s">
        <v>243</v>
      </c>
      <c r="C127" s="1">
        <v>45453</v>
      </c>
      <c r="D127" s="2">
        <v>126247886</v>
      </c>
      <c r="E127">
        <v>5</v>
      </c>
      <c r="F127">
        <v>1</v>
      </c>
      <c r="L127">
        <v>0</v>
      </c>
      <c r="M127" t="str">
        <f t="shared" si="1"/>
        <v>After 2020</v>
      </c>
    </row>
    <row r="128" spans="1:13">
      <c r="A128" t="s">
        <v>244</v>
      </c>
      <c r="B128" t="s">
        <v>245</v>
      </c>
      <c r="C128" s="1">
        <v>44694</v>
      </c>
      <c r="D128" s="2">
        <v>1607421145</v>
      </c>
      <c r="E128" s="2">
        <v>212406</v>
      </c>
      <c r="F128">
        <v>83</v>
      </c>
      <c r="G128" s="2">
        <v>409785349</v>
      </c>
      <c r="H128" s="2">
        <v>3326477</v>
      </c>
      <c r="I128" s="2">
        <v>1825552705</v>
      </c>
      <c r="J128">
        <v>267</v>
      </c>
      <c r="K128" s="2">
        <v>3418</v>
      </c>
      <c r="L128">
        <v>0</v>
      </c>
      <c r="M128" t="str">
        <f t="shared" si="1"/>
        <v>After 2020</v>
      </c>
    </row>
    <row r="129" spans="1:13">
      <c r="A129" t="s">
        <v>246</v>
      </c>
      <c r="B129" t="s">
        <v>170</v>
      </c>
      <c r="C129" s="1">
        <v>45148</v>
      </c>
      <c r="D129" s="2">
        <v>438796949</v>
      </c>
      <c r="E129" s="2">
        <v>23959</v>
      </c>
      <c r="F129">
        <v>78</v>
      </c>
      <c r="G129" s="2">
        <v>509727241</v>
      </c>
      <c r="H129" s="2">
        <v>2202866</v>
      </c>
      <c r="I129" s="2">
        <v>782582119</v>
      </c>
      <c r="J129">
        <v>56</v>
      </c>
      <c r="K129">
        <v>959</v>
      </c>
      <c r="L129">
        <v>0</v>
      </c>
      <c r="M129" t="str">
        <f t="shared" si="1"/>
        <v>After 2020</v>
      </c>
    </row>
    <row r="130" spans="1:13" hidden="1">
      <c r="A130" t="s">
        <v>247</v>
      </c>
      <c r="B130" t="s">
        <v>248</v>
      </c>
      <c r="C130" s="1">
        <v>44803</v>
      </c>
      <c r="D130" s="2">
        <v>158627</v>
      </c>
      <c r="E130">
        <v>635</v>
      </c>
      <c r="F130">
        <v>16</v>
      </c>
      <c r="G130" s="2">
        <v>2156140830</v>
      </c>
      <c r="I130" s="2">
        <v>4484</v>
      </c>
      <c r="L130">
        <v>0</v>
      </c>
      <c r="M130" t="str">
        <f t="shared" si="1"/>
        <v>After 2020</v>
      </c>
    </row>
    <row r="131" spans="1:13">
      <c r="A131" t="s">
        <v>249</v>
      </c>
      <c r="B131" t="s">
        <v>250</v>
      </c>
      <c r="C131" s="1">
        <v>44036</v>
      </c>
      <c r="D131" s="2">
        <v>1867736006</v>
      </c>
      <c r="E131" s="2">
        <v>302486</v>
      </c>
      <c r="F131">
        <v>76</v>
      </c>
      <c r="G131" s="2">
        <v>747126783</v>
      </c>
      <c r="H131" s="2">
        <v>10795292</v>
      </c>
      <c r="I131" s="2">
        <v>1768836179</v>
      </c>
      <c r="J131">
        <v>329</v>
      </c>
      <c r="K131" s="2">
        <v>1897</v>
      </c>
      <c r="L131">
        <v>1</v>
      </c>
      <c r="M131" t="str">
        <f t="shared" ref="M131:M194" si="2">IF(YEAR(C131)&lt;2010,"Before 2010",IF(YEAR(C131)&lt;=2020,"2010-2020","After 2020"))</f>
        <v>2010-2020</v>
      </c>
    </row>
    <row r="132" spans="1:13">
      <c r="A132" t="s">
        <v>251</v>
      </c>
      <c r="B132" t="s">
        <v>252</v>
      </c>
      <c r="C132" s="1">
        <v>44064</v>
      </c>
      <c r="D132" s="2">
        <v>1872577908</v>
      </c>
      <c r="E132" s="2">
        <v>144619</v>
      </c>
      <c r="F132">
        <v>74</v>
      </c>
      <c r="G132" s="2">
        <v>2638957320</v>
      </c>
      <c r="H132" s="2">
        <v>62311179</v>
      </c>
      <c r="I132" s="2">
        <v>5063720138</v>
      </c>
      <c r="J132">
        <v>323</v>
      </c>
      <c r="K132">
        <v>198</v>
      </c>
      <c r="L132">
        <v>0</v>
      </c>
      <c r="M132" t="str">
        <f t="shared" si="2"/>
        <v>2010-2020</v>
      </c>
    </row>
    <row r="133" spans="1:13" hidden="1">
      <c r="A133" t="s">
        <v>253</v>
      </c>
      <c r="B133" t="s">
        <v>254</v>
      </c>
      <c r="C133" s="1">
        <v>45270</v>
      </c>
      <c r="D133" s="2">
        <v>8327</v>
      </c>
      <c r="E133">
        <v>3</v>
      </c>
      <c r="I133" s="2">
        <v>73318253</v>
      </c>
      <c r="L133">
        <v>0</v>
      </c>
      <c r="M133" t="str">
        <f t="shared" si="2"/>
        <v>After 2020</v>
      </c>
    </row>
    <row r="134" spans="1:13">
      <c r="A134" t="s">
        <v>255</v>
      </c>
      <c r="B134" t="s">
        <v>256</v>
      </c>
      <c r="C134" s="1">
        <v>43412</v>
      </c>
      <c r="D134" s="2">
        <v>3427498835</v>
      </c>
      <c r="E134" s="2">
        <v>338763</v>
      </c>
      <c r="F134">
        <v>82</v>
      </c>
      <c r="G134" s="2">
        <v>2153701892</v>
      </c>
      <c r="H134" s="2">
        <v>20891433</v>
      </c>
      <c r="I134" s="2">
        <v>2161032034</v>
      </c>
      <c r="J134">
        <v>408</v>
      </c>
      <c r="K134">
        <v>381</v>
      </c>
      <c r="L134">
        <v>0</v>
      </c>
      <c r="M134" t="str">
        <f t="shared" si="2"/>
        <v>2010-2020</v>
      </c>
    </row>
    <row r="135" spans="1:13">
      <c r="A135" t="s">
        <v>257</v>
      </c>
      <c r="B135" t="s">
        <v>258</v>
      </c>
      <c r="C135" s="1">
        <v>45057</v>
      </c>
      <c r="D135" s="2">
        <v>230849195</v>
      </c>
      <c r="E135" s="2">
        <v>23091</v>
      </c>
      <c r="F135">
        <v>64</v>
      </c>
      <c r="G135" s="2">
        <v>363082908</v>
      </c>
      <c r="H135" s="2">
        <v>5135848</v>
      </c>
      <c r="I135" s="2">
        <v>1551501289</v>
      </c>
      <c r="J135">
        <v>49</v>
      </c>
      <c r="K135">
        <v>214</v>
      </c>
      <c r="L135">
        <v>0</v>
      </c>
      <c r="M135" t="str">
        <f t="shared" si="2"/>
        <v>After 2020</v>
      </c>
    </row>
    <row r="136" spans="1:13">
      <c r="A136" t="s">
        <v>259</v>
      </c>
      <c r="B136" t="s">
        <v>260</v>
      </c>
      <c r="C136" s="1">
        <v>44855</v>
      </c>
      <c r="D136" s="2">
        <v>720720922</v>
      </c>
      <c r="E136" s="2">
        <v>74295</v>
      </c>
      <c r="F136">
        <v>77</v>
      </c>
      <c r="G136" s="2">
        <v>221078988</v>
      </c>
      <c r="H136" s="2">
        <v>2557839</v>
      </c>
      <c r="I136" s="2">
        <v>15247253457</v>
      </c>
      <c r="J136">
        <v>108</v>
      </c>
      <c r="K136" s="2">
        <v>5869</v>
      </c>
      <c r="L136">
        <v>0</v>
      </c>
      <c r="M136" t="str">
        <f t="shared" si="2"/>
        <v>After 2020</v>
      </c>
    </row>
    <row r="137" spans="1:13" hidden="1">
      <c r="A137" t="s">
        <v>261</v>
      </c>
      <c r="B137" t="s">
        <v>262</v>
      </c>
      <c r="C137" s="1">
        <v>45099</v>
      </c>
      <c r="D137" s="2">
        <v>1378494</v>
      </c>
      <c r="E137">
        <v>351</v>
      </c>
      <c r="F137">
        <v>34</v>
      </c>
      <c r="G137" s="2">
        <v>1022331</v>
      </c>
      <c r="H137" s="2">
        <v>22739</v>
      </c>
      <c r="I137" s="2">
        <v>1272592848</v>
      </c>
      <c r="L137">
        <v>0</v>
      </c>
      <c r="M137" t="str">
        <f t="shared" si="2"/>
        <v>After 2020</v>
      </c>
    </row>
    <row r="138" spans="1:13" hidden="1">
      <c r="A138" t="s">
        <v>263</v>
      </c>
      <c r="B138" t="s">
        <v>264</v>
      </c>
      <c r="C138" s="1">
        <v>45441</v>
      </c>
      <c r="D138" s="2">
        <v>2827545</v>
      </c>
      <c r="E138">
        <v>62</v>
      </c>
      <c r="G138" s="2">
        <v>54330074</v>
      </c>
      <c r="H138" s="2">
        <v>801621</v>
      </c>
      <c r="L138">
        <v>0</v>
      </c>
      <c r="M138" t="str">
        <f t="shared" si="2"/>
        <v>After 2020</v>
      </c>
    </row>
    <row r="139" spans="1:13">
      <c r="A139" t="s">
        <v>265</v>
      </c>
      <c r="B139" t="s">
        <v>266</v>
      </c>
      <c r="C139" s="1">
        <v>45107</v>
      </c>
      <c r="D139" s="2">
        <v>998964097</v>
      </c>
      <c r="E139" s="2">
        <v>90793</v>
      </c>
      <c r="F139">
        <v>18</v>
      </c>
      <c r="G139" s="2">
        <v>113450524</v>
      </c>
      <c r="H139" s="2">
        <v>2108657</v>
      </c>
      <c r="I139" s="2">
        <v>1448207880</v>
      </c>
      <c r="J139">
        <v>173</v>
      </c>
      <c r="K139">
        <v>93</v>
      </c>
      <c r="L139">
        <v>1</v>
      </c>
      <c r="M139" t="str">
        <f t="shared" si="2"/>
        <v>After 2020</v>
      </c>
    </row>
    <row r="140" spans="1:13" hidden="1">
      <c r="A140" t="s">
        <v>267</v>
      </c>
      <c r="B140" t="s">
        <v>268</v>
      </c>
      <c r="C140" s="1">
        <v>45352</v>
      </c>
      <c r="D140" s="2">
        <v>37157630</v>
      </c>
      <c r="E140" s="2">
        <v>2052</v>
      </c>
      <c r="F140">
        <v>74</v>
      </c>
      <c r="G140" s="2">
        <v>63418833</v>
      </c>
      <c r="H140" s="2">
        <v>427441</v>
      </c>
      <c r="I140" s="2">
        <v>8850449</v>
      </c>
      <c r="J140">
        <v>11</v>
      </c>
      <c r="L140">
        <v>0</v>
      </c>
      <c r="M140" t="str">
        <f t="shared" si="2"/>
        <v>After 2020</v>
      </c>
    </row>
    <row r="141" spans="1:13" hidden="1">
      <c r="A141" t="s">
        <v>269</v>
      </c>
      <c r="B141" t="s">
        <v>270</v>
      </c>
      <c r="C141" s="1">
        <v>44776</v>
      </c>
      <c r="D141" s="2">
        <v>48428</v>
      </c>
      <c r="E141">
        <v>92</v>
      </c>
      <c r="F141">
        <v>3</v>
      </c>
      <c r="G141" s="2">
        <v>2123978358</v>
      </c>
      <c r="H141" s="2">
        <v>5670850</v>
      </c>
      <c r="I141" s="2">
        <v>735317</v>
      </c>
      <c r="L141">
        <v>0</v>
      </c>
      <c r="M141" t="str">
        <f t="shared" si="2"/>
        <v>After 2020</v>
      </c>
    </row>
    <row r="142" spans="1:13">
      <c r="A142" t="s">
        <v>271</v>
      </c>
      <c r="B142" t="s">
        <v>272</v>
      </c>
      <c r="C142" s="1">
        <v>44900</v>
      </c>
      <c r="D142" s="2">
        <v>631955547</v>
      </c>
      <c r="E142" s="2">
        <v>121823</v>
      </c>
      <c r="F142">
        <v>74</v>
      </c>
      <c r="G142" s="2">
        <v>305998382</v>
      </c>
      <c r="H142" s="2">
        <v>2647341</v>
      </c>
      <c r="I142" s="2">
        <v>3233505931</v>
      </c>
      <c r="J142">
        <v>145</v>
      </c>
      <c r="K142">
        <v>202</v>
      </c>
      <c r="L142">
        <v>1</v>
      </c>
      <c r="M142" t="str">
        <f t="shared" si="2"/>
        <v>After 2020</v>
      </c>
    </row>
    <row r="143" spans="1:13" hidden="1">
      <c r="A143" t="s">
        <v>273</v>
      </c>
      <c r="B143" t="s">
        <v>274</v>
      </c>
      <c r="C143" s="1">
        <v>45296</v>
      </c>
      <c r="E143">
        <v>1</v>
      </c>
      <c r="I143" s="2">
        <v>688302023</v>
      </c>
      <c r="L143">
        <v>1</v>
      </c>
      <c r="M143" t="str">
        <f t="shared" si="2"/>
        <v>After 2020</v>
      </c>
    </row>
    <row r="144" spans="1:13" hidden="1">
      <c r="A144" t="s">
        <v>275</v>
      </c>
      <c r="B144" t="s">
        <v>276</v>
      </c>
      <c r="C144" s="1">
        <v>45368</v>
      </c>
      <c r="D144" s="2">
        <v>94635338</v>
      </c>
      <c r="E144" s="2">
        <v>10537</v>
      </c>
      <c r="G144" s="2">
        <v>944314</v>
      </c>
      <c r="H144" s="2">
        <v>17943</v>
      </c>
      <c r="I144" s="2">
        <v>1542242100</v>
      </c>
      <c r="J144">
        <v>13</v>
      </c>
      <c r="K144">
        <v>2</v>
      </c>
      <c r="L144">
        <v>1</v>
      </c>
      <c r="M144" t="str">
        <f t="shared" si="2"/>
        <v>After 2020</v>
      </c>
    </row>
    <row r="145" spans="1:13">
      <c r="A145" t="s">
        <v>277</v>
      </c>
      <c r="B145" t="s">
        <v>106</v>
      </c>
      <c r="C145" s="1">
        <v>45387</v>
      </c>
      <c r="D145" s="2">
        <v>114574238</v>
      </c>
      <c r="E145" s="2">
        <v>10564</v>
      </c>
      <c r="F145">
        <v>84</v>
      </c>
      <c r="G145" s="2">
        <v>9134225</v>
      </c>
      <c r="H145" s="2">
        <v>124326</v>
      </c>
      <c r="I145" s="2">
        <v>79796400</v>
      </c>
      <c r="J145">
        <v>87</v>
      </c>
      <c r="K145">
        <v>159</v>
      </c>
      <c r="L145">
        <v>0</v>
      </c>
      <c r="M145" t="str">
        <f t="shared" si="2"/>
        <v>After 2020</v>
      </c>
    </row>
    <row r="146" spans="1:13" hidden="1">
      <c r="A146" t="s">
        <v>278</v>
      </c>
      <c r="B146" t="s">
        <v>279</v>
      </c>
      <c r="C146" s="1">
        <v>44971</v>
      </c>
      <c r="D146" s="2">
        <v>31867</v>
      </c>
      <c r="E146">
        <v>5</v>
      </c>
      <c r="F146">
        <v>1</v>
      </c>
      <c r="G146" s="2">
        <v>1538564650</v>
      </c>
      <c r="H146" s="2">
        <v>2066653</v>
      </c>
      <c r="L146">
        <v>0</v>
      </c>
      <c r="M146" t="str">
        <f t="shared" si="2"/>
        <v>After 2020</v>
      </c>
    </row>
    <row r="147" spans="1:13">
      <c r="A147" t="s">
        <v>280</v>
      </c>
      <c r="B147" t="s">
        <v>281</v>
      </c>
      <c r="C147" s="1">
        <v>44707</v>
      </c>
      <c r="D147" s="2">
        <v>1721045197</v>
      </c>
      <c r="E147" s="2">
        <v>156941</v>
      </c>
      <c r="F147">
        <v>81</v>
      </c>
      <c r="G147" s="2">
        <v>798827877</v>
      </c>
      <c r="H147" s="2">
        <v>3379928</v>
      </c>
      <c r="I147" s="2">
        <v>2596777974</v>
      </c>
      <c r="J147">
        <v>142</v>
      </c>
      <c r="K147" s="2">
        <v>1161</v>
      </c>
      <c r="L147">
        <v>0</v>
      </c>
      <c r="M147" t="str">
        <f t="shared" si="2"/>
        <v>After 2020</v>
      </c>
    </row>
    <row r="148" spans="1:13" hidden="1">
      <c r="A148" t="s">
        <v>282</v>
      </c>
      <c r="B148" t="s">
        <v>283</v>
      </c>
      <c r="C148" s="1">
        <v>45023</v>
      </c>
      <c r="D148" s="2">
        <v>8028757</v>
      </c>
      <c r="E148" s="2">
        <v>1972</v>
      </c>
      <c r="F148">
        <v>44</v>
      </c>
      <c r="G148" s="2">
        <v>48533758</v>
      </c>
      <c r="H148" s="2">
        <v>399664</v>
      </c>
      <c r="I148" s="2">
        <v>3985974550</v>
      </c>
      <c r="J148">
        <v>1</v>
      </c>
      <c r="L148">
        <v>0</v>
      </c>
      <c r="M148" t="str">
        <f t="shared" si="2"/>
        <v>After 2020</v>
      </c>
    </row>
    <row r="149" spans="1:13">
      <c r="A149" t="s">
        <v>284</v>
      </c>
      <c r="B149" t="s">
        <v>285</v>
      </c>
      <c r="C149" s="1">
        <v>44274</v>
      </c>
      <c r="D149" s="2">
        <v>1612286123</v>
      </c>
      <c r="E149" s="2">
        <v>282719</v>
      </c>
      <c r="F149">
        <v>74</v>
      </c>
      <c r="G149" s="2">
        <v>1019256266</v>
      </c>
      <c r="H149" s="2">
        <v>10280320</v>
      </c>
      <c r="I149" s="2">
        <v>4702037810</v>
      </c>
      <c r="J149">
        <v>348</v>
      </c>
      <c r="K149">
        <v>789</v>
      </c>
      <c r="L149">
        <v>1</v>
      </c>
      <c r="M149" t="str">
        <f t="shared" si="2"/>
        <v>After 2020</v>
      </c>
    </row>
    <row r="150" spans="1:13">
      <c r="A150" t="s">
        <v>286</v>
      </c>
      <c r="B150" t="s">
        <v>112</v>
      </c>
      <c r="C150" s="1">
        <v>43769</v>
      </c>
      <c r="D150" s="2">
        <v>2607121959</v>
      </c>
      <c r="E150" s="2">
        <v>270230</v>
      </c>
      <c r="F150">
        <v>78</v>
      </c>
      <c r="G150" s="2">
        <v>1201600884</v>
      </c>
      <c r="H150" s="2">
        <v>10239198</v>
      </c>
      <c r="I150" s="2">
        <v>3535661993</v>
      </c>
      <c r="J150">
        <v>581</v>
      </c>
      <c r="K150">
        <v>954</v>
      </c>
      <c r="L150">
        <v>0</v>
      </c>
      <c r="M150" t="str">
        <f t="shared" si="2"/>
        <v>2010-2020</v>
      </c>
    </row>
    <row r="151" spans="1:13">
      <c r="A151" t="s">
        <v>287</v>
      </c>
      <c r="B151" t="s">
        <v>288</v>
      </c>
      <c r="C151" s="1">
        <v>43224</v>
      </c>
      <c r="D151" s="2">
        <v>2548389305</v>
      </c>
      <c r="E151" s="2">
        <v>339306</v>
      </c>
      <c r="F151">
        <v>78</v>
      </c>
      <c r="G151" s="2">
        <v>987143411</v>
      </c>
      <c r="H151" s="2">
        <v>9384427</v>
      </c>
      <c r="I151" s="2">
        <v>338071383</v>
      </c>
      <c r="J151">
        <v>153</v>
      </c>
      <c r="K151">
        <v>132</v>
      </c>
      <c r="L151">
        <v>1</v>
      </c>
      <c r="M151" t="str">
        <f t="shared" si="2"/>
        <v>2010-2020</v>
      </c>
    </row>
    <row r="152" spans="1:13">
      <c r="A152" t="s">
        <v>289</v>
      </c>
      <c r="B152" t="s">
        <v>170</v>
      </c>
      <c r="C152" s="1">
        <v>44673</v>
      </c>
      <c r="D152" s="2">
        <v>1185929926</v>
      </c>
      <c r="E152" s="2">
        <v>103026</v>
      </c>
      <c r="F152">
        <v>76</v>
      </c>
      <c r="G152" s="2">
        <v>1229843060</v>
      </c>
      <c r="H152" s="2">
        <v>5870729</v>
      </c>
      <c r="I152" s="2">
        <v>2829294043</v>
      </c>
      <c r="J152">
        <v>115</v>
      </c>
      <c r="K152">
        <v>688</v>
      </c>
      <c r="L152">
        <v>0</v>
      </c>
      <c r="M152" t="str">
        <f t="shared" si="2"/>
        <v>After 2020</v>
      </c>
    </row>
    <row r="153" spans="1:13">
      <c r="A153" t="s">
        <v>290</v>
      </c>
      <c r="B153" t="s">
        <v>291</v>
      </c>
      <c r="C153" s="1">
        <v>44050</v>
      </c>
      <c r="D153" s="2">
        <v>1325725696</v>
      </c>
      <c r="E153" s="2">
        <v>171255</v>
      </c>
      <c r="F153">
        <v>72</v>
      </c>
      <c r="G153" s="2">
        <v>1329826741</v>
      </c>
      <c r="H153" s="2">
        <v>15965491</v>
      </c>
      <c r="I153" s="2">
        <v>9539547626</v>
      </c>
      <c r="J153">
        <v>222</v>
      </c>
      <c r="K153">
        <v>306</v>
      </c>
      <c r="L153">
        <v>1</v>
      </c>
      <c r="M153" t="str">
        <f t="shared" si="2"/>
        <v>2010-2020</v>
      </c>
    </row>
    <row r="154" spans="1:13">
      <c r="A154" t="s">
        <v>292</v>
      </c>
      <c r="B154" t="s">
        <v>293</v>
      </c>
      <c r="C154" s="1">
        <v>45408</v>
      </c>
      <c r="D154" s="2">
        <v>77757035</v>
      </c>
      <c r="E154" s="2">
        <v>3407</v>
      </c>
      <c r="F154">
        <v>81</v>
      </c>
      <c r="G154" s="2">
        <v>100148771</v>
      </c>
      <c r="H154" s="2">
        <v>2531168</v>
      </c>
      <c r="I154" s="2">
        <v>366905484</v>
      </c>
      <c r="J154">
        <v>27</v>
      </c>
      <c r="K154">
        <v>51</v>
      </c>
      <c r="L154">
        <v>0</v>
      </c>
      <c r="M154" t="str">
        <f t="shared" si="2"/>
        <v>After 2020</v>
      </c>
    </row>
    <row r="155" spans="1:13" hidden="1">
      <c r="A155" t="s">
        <v>294</v>
      </c>
      <c r="B155" t="s">
        <v>295</v>
      </c>
      <c r="C155" s="1">
        <v>45415</v>
      </c>
      <c r="D155" s="2">
        <v>72335127</v>
      </c>
      <c r="E155" s="2">
        <v>8696</v>
      </c>
      <c r="F155">
        <v>86</v>
      </c>
      <c r="G155" s="2">
        <v>41492122</v>
      </c>
      <c r="H155" s="2">
        <v>1034563</v>
      </c>
      <c r="J155">
        <v>38</v>
      </c>
      <c r="L155">
        <v>1</v>
      </c>
      <c r="M155" t="str">
        <f t="shared" si="2"/>
        <v>After 2020</v>
      </c>
    </row>
    <row r="156" spans="1:13" hidden="1">
      <c r="A156" t="s">
        <v>296</v>
      </c>
      <c r="B156" t="s">
        <v>297</v>
      </c>
      <c r="C156" s="1">
        <v>45452</v>
      </c>
      <c r="D156" s="2">
        <v>136237285</v>
      </c>
      <c r="E156">
        <v>2</v>
      </c>
      <c r="F156">
        <v>2</v>
      </c>
      <c r="L156">
        <v>0</v>
      </c>
      <c r="M156" t="str">
        <f t="shared" si="2"/>
        <v>After 2020</v>
      </c>
    </row>
    <row r="157" spans="1:13">
      <c r="A157" t="s">
        <v>298</v>
      </c>
      <c r="B157" t="s">
        <v>299</v>
      </c>
      <c r="C157" s="1">
        <v>45121</v>
      </c>
      <c r="D157" s="2">
        <v>1673557134</v>
      </c>
      <c r="E157" s="2">
        <v>54950</v>
      </c>
      <c r="F157">
        <v>80</v>
      </c>
      <c r="G157" s="2">
        <v>397523735</v>
      </c>
      <c r="H157" s="2">
        <v>10125293</v>
      </c>
      <c r="I157" s="2">
        <v>761760624</v>
      </c>
      <c r="J157">
        <v>86</v>
      </c>
      <c r="K157">
        <v>861</v>
      </c>
      <c r="L157">
        <v>1</v>
      </c>
      <c r="M157" t="str">
        <f t="shared" si="2"/>
        <v>After 2020</v>
      </c>
    </row>
    <row r="158" spans="1:13">
      <c r="A158" t="s">
        <v>300</v>
      </c>
      <c r="B158" t="s">
        <v>301</v>
      </c>
      <c r="C158" s="1">
        <v>44957</v>
      </c>
      <c r="D158" s="2">
        <v>922010059</v>
      </c>
      <c r="E158" s="2">
        <v>107189</v>
      </c>
      <c r="F158">
        <v>79</v>
      </c>
      <c r="G158" s="2">
        <v>141852059</v>
      </c>
      <c r="H158" s="2">
        <v>567295</v>
      </c>
      <c r="I158" s="2">
        <v>811685466</v>
      </c>
      <c r="J158">
        <v>106</v>
      </c>
      <c r="K158" s="2">
        <v>1846</v>
      </c>
      <c r="L158">
        <v>1</v>
      </c>
      <c r="M158" t="str">
        <f t="shared" si="2"/>
        <v>After 2020</v>
      </c>
    </row>
    <row r="159" spans="1:13" hidden="1">
      <c r="A159" t="s">
        <v>91</v>
      </c>
      <c r="B159" t="s">
        <v>92</v>
      </c>
      <c r="C159" s="1">
        <v>45373</v>
      </c>
      <c r="D159" s="2">
        <v>532012790</v>
      </c>
      <c r="E159" s="2">
        <v>22396</v>
      </c>
      <c r="F159">
        <v>85</v>
      </c>
      <c r="G159" s="2">
        <v>13119247</v>
      </c>
      <c r="H159" s="2">
        <v>218957</v>
      </c>
      <c r="J159">
        <v>235</v>
      </c>
      <c r="L159">
        <v>0</v>
      </c>
      <c r="M159" t="str">
        <f t="shared" si="2"/>
        <v>After 2020</v>
      </c>
    </row>
    <row r="160" spans="1:13">
      <c r="A160" t="s">
        <v>302</v>
      </c>
      <c r="B160" t="s">
        <v>123</v>
      </c>
      <c r="C160" s="1">
        <v>43831</v>
      </c>
      <c r="D160" s="2">
        <v>1754311538</v>
      </c>
      <c r="E160" s="2">
        <v>271758</v>
      </c>
      <c r="F160">
        <v>74</v>
      </c>
      <c r="G160" s="2">
        <v>958790883</v>
      </c>
      <c r="H160" s="2">
        <v>7686994</v>
      </c>
      <c r="I160" s="2">
        <v>2658904267</v>
      </c>
      <c r="J160">
        <v>454</v>
      </c>
      <c r="K160" s="2">
        <v>1035</v>
      </c>
      <c r="L160">
        <v>0</v>
      </c>
      <c r="M160" t="str">
        <f t="shared" si="2"/>
        <v>2010-2020</v>
      </c>
    </row>
    <row r="161" spans="1:13">
      <c r="A161" t="s">
        <v>303</v>
      </c>
      <c r="B161" t="s">
        <v>170</v>
      </c>
      <c r="C161" s="1">
        <v>45148</v>
      </c>
      <c r="D161" s="2">
        <v>850810162</v>
      </c>
      <c r="E161" s="2">
        <v>56104</v>
      </c>
      <c r="F161">
        <v>82</v>
      </c>
      <c r="G161" s="2">
        <v>258553384</v>
      </c>
      <c r="H161" s="2">
        <v>1174349</v>
      </c>
      <c r="I161" s="2">
        <v>717259721</v>
      </c>
      <c r="J161">
        <v>72</v>
      </c>
      <c r="K161">
        <v>4</v>
      </c>
      <c r="L161">
        <v>1</v>
      </c>
      <c r="M161" t="str">
        <f t="shared" si="2"/>
        <v>After 2020</v>
      </c>
    </row>
    <row r="162" spans="1:13">
      <c r="A162" t="s">
        <v>304</v>
      </c>
      <c r="B162" t="s">
        <v>305</v>
      </c>
      <c r="C162" s="1">
        <v>44260</v>
      </c>
      <c r="D162" s="2">
        <v>1312168384</v>
      </c>
      <c r="E162" s="2">
        <v>248793</v>
      </c>
      <c r="F162">
        <v>75</v>
      </c>
      <c r="G162" s="2">
        <v>993324548</v>
      </c>
      <c r="H162" s="2">
        <v>9537455</v>
      </c>
      <c r="I162" s="2">
        <v>3350704343</v>
      </c>
      <c r="J162">
        <v>308</v>
      </c>
      <c r="K162">
        <v>309</v>
      </c>
      <c r="L162">
        <v>0</v>
      </c>
      <c r="M162" t="str">
        <f t="shared" si="2"/>
        <v>After 2020</v>
      </c>
    </row>
    <row r="163" spans="1:13" hidden="1">
      <c r="A163" t="s">
        <v>306</v>
      </c>
      <c r="B163" t="s">
        <v>307</v>
      </c>
      <c r="C163" s="1">
        <v>44566</v>
      </c>
      <c r="D163" s="2">
        <v>548408</v>
      </c>
      <c r="E163">
        <v>130</v>
      </c>
      <c r="F163">
        <v>24</v>
      </c>
      <c r="G163" s="2">
        <v>1356336</v>
      </c>
      <c r="H163" s="2">
        <v>17701</v>
      </c>
      <c r="I163" s="2">
        <v>7041708832</v>
      </c>
      <c r="J163">
        <v>1</v>
      </c>
      <c r="L163">
        <v>0</v>
      </c>
      <c r="M163" t="str">
        <f t="shared" si="2"/>
        <v>After 2020</v>
      </c>
    </row>
    <row r="164" spans="1:13">
      <c r="A164" t="s">
        <v>308</v>
      </c>
      <c r="B164" t="s">
        <v>266</v>
      </c>
      <c r="C164" s="1">
        <v>44330</v>
      </c>
      <c r="D164" s="2">
        <v>2167768056</v>
      </c>
      <c r="E164" s="2">
        <v>309421</v>
      </c>
      <c r="F164">
        <v>79</v>
      </c>
      <c r="G164" s="2">
        <v>773591065</v>
      </c>
      <c r="H164" s="2">
        <v>11098007</v>
      </c>
      <c r="I164" s="2">
        <v>8186754429</v>
      </c>
      <c r="J164">
        <v>355</v>
      </c>
      <c r="K164" s="2">
        <v>1283</v>
      </c>
      <c r="L164">
        <v>1</v>
      </c>
      <c r="M164" t="str">
        <f t="shared" si="2"/>
        <v>After 2020</v>
      </c>
    </row>
    <row r="165" spans="1:13">
      <c r="A165" t="s">
        <v>309</v>
      </c>
      <c r="B165" t="s">
        <v>51</v>
      </c>
      <c r="C165" s="1">
        <v>43553</v>
      </c>
      <c r="D165" s="2">
        <v>2516804300</v>
      </c>
      <c r="E165" s="2">
        <v>296739</v>
      </c>
      <c r="F165">
        <v>76</v>
      </c>
      <c r="G165" s="2">
        <v>1779243626</v>
      </c>
      <c r="H165" s="2">
        <v>26239833</v>
      </c>
      <c r="I165" s="2">
        <v>1409756969</v>
      </c>
      <c r="J165">
        <v>432</v>
      </c>
      <c r="K165" s="2">
        <v>1024</v>
      </c>
      <c r="L165">
        <v>0</v>
      </c>
      <c r="M165" t="str">
        <f t="shared" si="2"/>
        <v>2010-2020</v>
      </c>
    </row>
    <row r="166" spans="1:13">
      <c r="A166" t="s">
        <v>310</v>
      </c>
      <c r="B166" t="s">
        <v>311</v>
      </c>
      <c r="C166" s="1">
        <v>43245</v>
      </c>
      <c r="D166" s="2">
        <v>2738293818</v>
      </c>
      <c r="E166" s="2">
        <v>251033</v>
      </c>
      <c r="F166">
        <v>74</v>
      </c>
      <c r="G166" s="2">
        <v>2372399124</v>
      </c>
      <c r="H166" s="2">
        <v>26919886</v>
      </c>
      <c r="I166" s="2">
        <v>1859977153</v>
      </c>
      <c r="J166">
        <v>380</v>
      </c>
      <c r="K166">
        <v>378</v>
      </c>
      <c r="L166">
        <v>0</v>
      </c>
      <c r="M166" t="str">
        <f t="shared" si="2"/>
        <v>2010-2020</v>
      </c>
    </row>
    <row r="167" spans="1:13">
      <c r="A167" t="s">
        <v>312</v>
      </c>
      <c r="B167" t="s">
        <v>313</v>
      </c>
      <c r="C167" s="1">
        <v>44770</v>
      </c>
      <c r="D167" s="2">
        <v>1003487432</v>
      </c>
      <c r="E167" s="2">
        <v>126402</v>
      </c>
      <c r="F167">
        <v>73</v>
      </c>
      <c r="G167" s="2">
        <v>621874255</v>
      </c>
      <c r="H167" s="2">
        <v>2859234</v>
      </c>
      <c r="I167" s="2">
        <v>6208638113</v>
      </c>
      <c r="J167">
        <v>152</v>
      </c>
      <c r="K167" s="2">
        <v>1077</v>
      </c>
      <c r="L167">
        <v>1</v>
      </c>
      <c r="M167" t="str">
        <f t="shared" si="2"/>
        <v>After 2020</v>
      </c>
    </row>
    <row r="168" spans="1:13">
      <c r="A168" t="s">
        <v>314</v>
      </c>
      <c r="B168" t="s">
        <v>315</v>
      </c>
      <c r="C168" s="1">
        <v>43938</v>
      </c>
      <c r="D168" s="2">
        <v>1638836101</v>
      </c>
      <c r="E168" s="2">
        <v>272933</v>
      </c>
      <c r="F168">
        <v>70</v>
      </c>
      <c r="G168" s="2">
        <v>1170441361</v>
      </c>
      <c r="H168" s="2">
        <v>13667470</v>
      </c>
      <c r="I168" s="2">
        <v>3869815694</v>
      </c>
      <c r="J168">
        <v>216</v>
      </c>
      <c r="K168">
        <v>62</v>
      </c>
      <c r="L168">
        <v>1</v>
      </c>
      <c r="M168" t="str">
        <f t="shared" si="2"/>
        <v>2010-2020</v>
      </c>
    </row>
    <row r="169" spans="1:13">
      <c r="A169" t="s">
        <v>316</v>
      </c>
      <c r="B169" t="s">
        <v>123</v>
      </c>
      <c r="C169" s="1">
        <v>45008</v>
      </c>
      <c r="D169" s="2">
        <v>372423476</v>
      </c>
      <c r="E169" s="2">
        <v>44730</v>
      </c>
      <c r="F169">
        <v>71</v>
      </c>
      <c r="G169" s="2">
        <v>131308671</v>
      </c>
      <c r="H169" s="2">
        <v>1074684</v>
      </c>
      <c r="I169" s="2">
        <v>830123390</v>
      </c>
      <c r="J169">
        <v>132</v>
      </c>
      <c r="K169">
        <v>287</v>
      </c>
      <c r="L169">
        <v>0</v>
      </c>
      <c r="M169" t="str">
        <f t="shared" si="2"/>
        <v>After 2020</v>
      </c>
    </row>
    <row r="170" spans="1:13">
      <c r="A170" t="s">
        <v>317</v>
      </c>
      <c r="B170" t="s">
        <v>318</v>
      </c>
      <c r="C170" s="1">
        <v>45162</v>
      </c>
      <c r="D170" s="2">
        <v>630373315</v>
      </c>
      <c r="E170" s="2">
        <v>70400</v>
      </c>
      <c r="F170">
        <v>84</v>
      </c>
      <c r="G170" s="2">
        <v>50938569</v>
      </c>
      <c r="H170" s="2">
        <v>246731</v>
      </c>
      <c r="I170" s="2">
        <v>586454750</v>
      </c>
      <c r="J170">
        <v>95</v>
      </c>
      <c r="K170">
        <v>35</v>
      </c>
      <c r="L170">
        <v>0</v>
      </c>
      <c r="M170" t="str">
        <f t="shared" si="2"/>
        <v>After 2020</v>
      </c>
    </row>
    <row r="171" spans="1:13">
      <c r="A171" t="s">
        <v>319</v>
      </c>
      <c r="B171" t="s">
        <v>47</v>
      </c>
      <c r="C171" s="1">
        <v>43707</v>
      </c>
      <c r="D171" s="2">
        <v>2481391466</v>
      </c>
      <c r="E171" s="2">
        <v>332437</v>
      </c>
      <c r="F171">
        <v>80</v>
      </c>
      <c r="G171" s="2">
        <v>1116323669</v>
      </c>
      <c r="H171" s="2">
        <v>8490012</v>
      </c>
      <c r="I171" s="2">
        <v>273522601</v>
      </c>
      <c r="J171">
        <v>355</v>
      </c>
      <c r="K171">
        <v>413</v>
      </c>
      <c r="L171">
        <v>0</v>
      </c>
      <c r="M171" t="str">
        <f t="shared" si="2"/>
        <v>2010-2020</v>
      </c>
    </row>
    <row r="172" spans="1:13">
      <c r="A172" t="s">
        <v>320</v>
      </c>
      <c r="B172" t="s">
        <v>163</v>
      </c>
      <c r="C172" s="1">
        <v>45141</v>
      </c>
      <c r="D172" s="2">
        <v>474590289</v>
      </c>
      <c r="E172" s="2">
        <v>24891</v>
      </c>
      <c r="F172">
        <v>78</v>
      </c>
      <c r="G172" s="2">
        <v>577930708</v>
      </c>
      <c r="H172" s="2">
        <v>1569516</v>
      </c>
      <c r="I172" s="2">
        <v>509287649</v>
      </c>
      <c r="J172">
        <v>27</v>
      </c>
      <c r="K172">
        <v>215</v>
      </c>
      <c r="L172">
        <v>0</v>
      </c>
      <c r="M172" t="str">
        <f t="shared" si="2"/>
        <v>After 2020</v>
      </c>
    </row>
    <row r="173" spans="1:13">
      <c r="A173" t="s">
        <v>321</v>
      </c>
      <c r="B173" t="s">
        <v>322</v>
      </c>
      <c r="C173" s="1">
        <v>44665</v>
      </c>
      <c r="D173" s="2">
        <v>847025688</v>
      </c>
      <c r="E173" s="2">
        <v>104052</v>
      </c>
      <c r="F173">
        <v>66</v>
      </c>
      <c r="G173" s="2">
        <v>106024874</v>
      </c>
      <c r="H173" s="2">
        <v>1080393</v>
      </c>
      <c r="I173" s="2">
        <v>15665483220</v>
      </c>
      <c r="J173">
        <v>215</v>
      </c>
      <c r="K173" s="2">
        <v>2826</v>
      </c>
      <c r="L173">
        <v>1</v>
      </c>
      <c r="M173" t="str">
        <f t="shared" si="2"/>
        <v>After 2020</v>
      </c>
    </row>
    <row r="174" spans="1:13">
      <c r="A174" t="s">
        <v>323</v>
      </c>
      <c r="B174" t="s">
        <v>324</v>
      </c>
      <c r="C174" s="1">
        <v>42580</v>
      </c>
      <c r="D174" s="2">
        <v>2880536961</v>
      </c>
      <c r="E174" s="2">
        <v>285381</v>
      </c>
      <c r="F174">
        <v>80</v>
      </c>
      <c r="G174" s="2">
        <v>4086121880</v>
      </c>
      <c r="H174" s="2">
        <v>22091228</v>
      </c>
      <c r="I174" s="2">
        <v>514053404</v>
      </c>
      <c r="J174">
        <v>385</v>
      </c>
      <c r="K174">
        <v>467</v>
      </c>
      <c r="L174">
        <v>0</v>
      </c>
      <c r="M174" t="str">
        <f t="shared" si="2"/>
        <v>2010-2020</v>
      </c>
    </row>
    <row r="175" spans="1:13">
      <c r="A175" t="s">
        <v>325</v>
      </c>
      <c r="B175" t="s">
        <v>326</v>
      </c>
      <c r="C175" s="1">
        <v>45016</v>
      </c>
      <c r="D175" s="2">
        <v>440364356</v>
      </c>
      <c r="E175" s="2">
        <v>26107</v>
      </c>
      <c r="F175">
        <v>70</v>
      </c>
      <c r="G175" s="2">
        <v>525156884</v>
      </c>
      <c r="H175" s="2">
        <v>10820829</v>
      </c>
      <c r="I175" s="2">
        <v>6724997940</v>
      </c>
      <c r="J175">
        <v>33</v>
      </c>
      <c r="K175">
        <v>92</v>
      </c>
      <c r="L175">
        <v>0</v>
      </c>
      <c r="M175" t="str">
        <f t="shared" si="2"/>
        <v>After 2020</v>
      </c>
    </row>
    <row r="176" spans="1:13">
      <c r="A176" t="s">
        <v>327</v>
      </c>
      <c r="B176" t="s">
        <v>141</v>
      </c>
      <c r="C176" s="1">
        <v>45212</v>
      </c>
      <c r="D176" s="2">
        <v>689181455</v>
      </c>
      <c r="E176" s="2">
        <v>61138</v>
      </c>
      <c r="F176">
        <v>83</v>
      </c>
      <c r="G176" s="2">
        <v>183381482</v>
      </c>
      <c r="H176" s="2">
        <v>738123</v>
      </c>
      <c r="I176" s="2">
        <v>487440417</v>
      </c>
      <c r="J176">
        <v>67</v>
      </c>
      <c r="K176">
        <v>175</v>
      </c>
      <c r="L176">
        <v>1</v>
      </c>
      <c r="M176" t="str">
        <f t="shared" si="2"/>
        <v>After 2020</v>
      </c>
    </row>
    <row r="177" spans="1:13" hidden="1">
      <c r="A177" t="s">
        <v>328</v>
      </c>
      <c r="B177" t="s">
        <v>295</v>
      </c>
      <c r="C177" s="1">
        <v>45205</v>
      </c>
      <c r="D177" s="2">
        <v>372248119</v>
      </c>
      <c r="E177" s="2">
        <v>68037</v>
      </c>
      <c r="G177" s="2">
        <v>86580734</v>
      </c>
      <c r="H177" s="2">
        <v>1106306</v>
      </c>
      <c r="I177" s="2">
        <v>128182068</v>
      </c>
      <c r="J177">
        <v>53</v>
      </c>
      <c r="K177">
        <v>31</v>
      </c>
      <c r="L177">
        <v>1</v>
      </c>
      <c r="M177" t="str">
        <f t="shared" si="2"/>
        <v>After 2020</v>
      </c>
    </row>
    <row r="178" spans="1:13">
      <c r="A178" t="s">
        <v>329</v>
      </c>
      <c r="B178" t="s">
        <v>330</v>
      </c>
      <c r="C178" s="1">
        <v>42950</v>
      </c>
      <c r="D178" s="2">
        <v>2072182782</v>
      </c>
      <c r="E178" s="2">
        <v>194332</v>
      </c>
      <c r="F178">
        <v>75</v>
      </c>
      <c r="G178" s="2">
        <v>3952909529</v>
      </c>
      <c r="H178" s="2">
        <v>32333846</v>
      </c>
      <c r="I178" s="2">
        <v>546650805</v>
      </c>
      <c r="J178">
        <v>342</v>
      </c>
      <c r="K178">
        <v>563</v>
      </c>
      <c r="L178">
        <v>0</v>
      </c>
      <c r="M178" t="str">
        <f t="shared" si="2"/>
        <v>2010-2020</v>
      </c>
    </row>
    <row r="179" spans="1:13">
      <c r="A179" t="s">
        <v>331</v>
      </c>
      <c r="B179" t="s">
        <v>332</v>
      </c>
      <c r="C179" s="1">
        <v>45261</v>
      </c>
      <c r="D179" s="2">
        <v>606124553</v>
      </c>
      <c r="E179" s="2">
        <v>40628</v>
      </c>
      <c r="F179">
        <v>86</v>
      </c>
      <c r="G179" s="2">
        <v>166363445</v>
      </c>
      <c r="H179" s="2">
        <v>1019744</v>
      </c>
      <c r="I179" s="2">
        <v>29601244</v>
      </c>
      <c r="J179">
        <v>80</v>
      </c>
      <c r="K179">
        <v>170</v>
      </c>
      <c r="L179">
        <v>0</v>
      </c>
      <c r="M179" t="str">
        <f t="shared" si="2"/>
        <v>After 2020</v>
      </c>
    </row>
    <row r="180" spans="1:13">
      <c r="A180" t="s">
        <v>333</v>
      </c>
      <c r="B180" t="s">
        <v>47</v>
      </c>
      <c r="C180" s="1">
        <v>44715</v>
      </c>
      <c r="D180" s="2">
        <v>827950825</v>
      </c>
      <c r="E180" s="2">
        <v>118965</v>
      </c>
      <c r="F180">
        <v>73</v>
      </c>
      <c r="G180" s="2">
        <v>299001099</v>
      </c>
      <c r="H180" s="2">
        <v>2751490</v>
      </c>
      <c r="I180" s="2">
        <v>1359837461</v>
      </c>
      <c r="J180">
        <v>83</v>
      </c>
      <c r="K180" s="2">
        <v>2175</v>
      </c>
      <c r="L180">
        <v>1</v>
      </c>
      <c r="M180" t="str">
        <f t="shared" si="2"/>
        <v>After 2020</v>
      </c>
    </row>
    <row r="181" spans="1:13">
      <c r="A181" t="s">
        <v>334</v>
      </c>
      <c r="B181" t="s">
        <v>233</v>
      </c>
      <c r="C181" s="1">
        <v>44631</v>
      </c>
      <c r="D181" s="2">
        <v>1227475431</v>
      </c>
      <c r="E181" s="2">
        <v>180053</v>
      </c>
      <c r="F181">
        <v>78</v>
      </c>
      <c r="G181" s="2">
        <v>584854654</v>
      </c>
      <c r="H181" s="2">
        <v>6691488</v>
      </c>
      <c r="I181" s="2">
        <v>2255843288</v>
      </c>
      <c r="J181">
        <v>94</v>
      </c>
      <c r="K181" s="2">
        <v>1789</v>
      </c>
      <c r="L181">
        <v>0</v>
      </c>
      <c r="M181" t="str">
        <f t="shared" si="2"/>
        <v>After 2020</v>
      </c>
    </row>
    <row r="182" spans="1:13" hidden="1">
      <c r="A182" t="s">
        <v>335</v>
      </c>
      <c r="B182" t="s">
        <v>336</v>
      </c>
      <c r="C182" s="1">
        <v>45155</v>
      </c>
      <c r="D182" s="2">
        <v>571366508</v>
      </c>
      <c r="E182" s="2">
        <v>32236</v>
      </c>
      <c r="F182">
        <v>79</v>
      </c>
      <c r="G182" s="2">
        <v>475200526</v>
      </c>
      <c r="H182" s="2">
        <v>1369288</v>
      </c>
      <c r="J182">
        <v>50</v>
      </c>
      <c r="K182">
        <v>423</v>
      </c>
      <c r="L182">
        <v>1</v>
      </c>
      <c r="M182" t="str">
        <f t="shared" si="2"/>
        <v>After 2020</v>
      </c>
    </row>
    <row r="183" spans="1:13" hidden="1">
      <c r="A183" t="s">
        <v>337</v>
      </c>
      <c r="B183" t="s">
        <v>338</v>
      </c>
      <c r="C183" s="1">
        <v>45316</v>
      </c>
      <c r="D183" s="2">
        <v>92932220</v>
      </c>
      <c r="E183" s="2">
        <v>8847</v>
      </c>
      <c r="G183" s="2">
        <v>42581931</v>
      </c>
      <c r="H183" s="2">
        <v>513055</v>
      </c>
      <c r="J183">
        <v>73</v>
      </c>
      <c r="K183">
        <v>18</v>
      </c>
      <c r="L183">
        <v>0</v>
      </c>
      <c r="M183" t="str">
        <f t="shared" si="2"/>
        <v>After 2020</v>
      </c>
    </row>
    <row r="184" spans="1:13">
      <c r="A184" t="s">
        <v>339</v>
      </c>
      <c r="B184" t="s">
        <v>340</v>
      </c>
      <c r="C184" s="1">
        <v>44757</v>
      </c>
      <c r="D184" s="2">
        <v>1126986320</v>
      </c>
      <c r="E184" s="2">
        <v>200887</v>
      </c>
      <c r="F184">
        <v>73</v>
      </c>
      <c r="G184" s="2">
        <v>293553015</v>
      </c>
      <c r="H184" s="2">
        <v>5388022</v>
      </c>
      <c r="I184" s="2">
        <v>2305840359</v>
      </c>
      <c r="J184">
        <v>77</v>
      </c>
      <c r="K184">
        <v>719</v>
      </c>
      <c r="L184">
        <v>0</v>
      </c>
      <c r="M184" t="str">
        <f t="shared" si="2"/>
        <v>After 2020</v>
      </c>
    </row>
    <row r="185" spans="1:13">
      <c r="A185" t="s">
        <v>341</v>
      </c>
      <c r="B185" t="s">
        <v>112</v>
      </c>
      <c r="C185" s="1">
        <v>43917</v>
      </c>
      <c r="D185" s="2">
        <v>2074721986</v>
      </c>
      <c r="E185" s="2">
        <v>255296</v>
      </c>
      <c r="F185">
        <v>77</v>
      </c>
      <c r="G185" s="2">
        <v>1665434424</v>
      </c>
      <c r="H185" s="2">
        <v>15432964</v>
      </c>
      <c r="I185" s="2">
        <v>2649555956</v>
      </c>
      <c r="J185">
        <v>388</v>
      </c>
      <c r="K185">
        <v>659</v>
      </c>
      <c r="L185">
        <v>0</v>
      </c>
      <c r="M185" t="str">
        <f t="shared" si="2"/>
        <v>2010-2020</v>
      </c>
    </row>
    <row r="186" spans="1:13">
      <c r="A186" t="s">
        <v>342</v>
      </c>
      <c r="B186" t="s">
        <v>343</v>
      </c>
      <c r="C186" s="1">
        <v>45366</v>
      </c>
      <c r="D186" s="2">
        <v>89362910</v>
      </c>
      <c r="E186" s="2">
        <v>7377</v>
      </c>
      <c r="F186">
        <v>84</v>
      </c>
      <c r="G186" s="2">
        <v>37676729</v>
      </c>
      <c r="H186" s="2">
        <v>525264</v>
      </c>
      <c r="I186" s="2">
        <v>476545000</v>
      </c>
      <c r="J186">
        <v>52</v>
      </c>
      <c r="K186">
        <v>976</v>
      </c>
      <c r="L186">
        <v>1</v>
      </c>
      <c r="M186" t="str">
        <f t="shared" si="2"/>
        <v>After 2020</v>
      </c>
    </row>
    <row r="187" spans="1:13" hidden="1">
      <c r="A187" t="s">
        <v>344</v>
      </c>
      <c r="B187" t="s">
        <v>345</v>
      </c>
      <c r="C187" s="1">
        <v>45217</v>
      </c>
      <c r="D187" s="2">
        <v>26674909</v>
      </c>
      <c r="E187" s="2">
        <v>2673</v>
      </c>
      <c r="F187">
        <v>19</v>
      </c>
      <c r="G187" s="2">
        <v>7863539</v>
      </c>
      <c r="H187" s="2">
        <v>84565</v>
      </c>
      <c r="I187" s="2">
        <v>709276580</v>
      </c>
      <c r="J187">
        <v>36</v>
      </c>
      <c r="L187">
        <v>0</v>
      </c>
      <c r="M187" t="str">
        <f t="shared" si="2"/>
        <v>After 2020</v>
      </c>
    </row>
    <row r="188" spans="1:13" hidden="1">
      <c r="A188" t="s">
        <v>346</v>
      </c>
      <c r="B188" t="s">
        <v>295</v>
      </c>
      <c r="C188" s="1">
        <v>45205</v>
      </c>
      <c r="D188" s="2">
        <v>406875019</v>
      </c>
      <c r="E188" s="2">
        <v>85930</v>
      </c>
      <c r="G188" s="2">
        <v>39850191</v>
      </c>
      <c r="H188" s="2">
        <v>427973</v>
      </c>
      <c r="I188" s="2">
        <v>22689637</v>
      </c>
      <c r="J188">
        <v>29</v>
      </c>
      <c r="K188">
        <v>109</v>
      </c>
      <c r="L188">
        <v>1</v>
      </c>
      <c r="M188" t="str">
        <f t="shared" si="2"/>
        <v>After 2020</v>
      </c>
    </row>
    <row r="189" spans="1:13">
      <c r="A189" t="s">
        <v>347</v>
      </c>
      <c r="B189" t="s">
        <v>141</v>
      </c>
      <c r="C189" s="1">
        <v>44687</v>
      </c>
      <c r="D189" s="2">
        <v>1421763497</v>
      </c>
      <c r="E189" s="2">
        <v>152592</v>
      </c>
      <c r="F189">
        <v>78</v>
      </c>
      <c r="G189" s="2">
        <v>945857087</v>
      </c>
      <c r="H189" s="2">
        <v>5587691</v>
      </c>
      <c r="I189" s="2">
        <v>225142753</v>
      </c>
      <c r="J189">
        <v>91</v>
      </c>
      <c r="K189">
        <v>191</v>
      </c>
      <c r="L189">
        <v>0</v>
      </c>
      <c r="M189" t="str">
        <f t="shared" si="2"/>
        <v>After 2020</v>
      </c>
    </row>
    <row r="190" spans="1:13">
      <c r="A190" t="s">
        <v>348</v>
      </c>
      <c r="B190" t="s">
        <v>53</v>
      </c>
      <c r="C190" s="1">
        <v>43840</v>
      </c>
      <c r="D190" s="2">
        <v>1237874594</v>
      </c>
      <c r="E190" s="2">
        <v>276882</v>
      </c>
      <c r="F190">
        <v>67</v>
      </c>
      <c r="G190" s="2">
        <v>2430804498</v>
      </c>
      <c r="H190" s="2">
        <v>12334565</v>
      </c>
      <c r="I190" s="2">
        <v>964755757</v>
      </c>
      <c r="J190">
        <v>187</v>
      </c>
      <c r="K190">
        <v>47</v>
      </c>
      <c r="L190">
        <v>1</v>
      </c>
      <c r="M190" t="str">
        <f t="shared" si="2"/>
        <v>2010-2020</v>
      </c>
    </row>
    <row r="191" spans="1:13">
      <c r="A191" t="s">
        <v>349</v>
      </c>
      <c r="B191" t="s">
        <v>350</v>
      </c>
      <c r="C191" s="1">
        <v>44846</v>
      </c>
      <c r="D191" s="2">
        <v>804925777</v>
      </c>
      <c r="E191" s="2">
        <v>128247</v>
      </c>
      <c r="F191">
        <v>75</v>
      </c>
      <c r="G191" s="2">
        <v>175393116</v>
      </c>
      <c r="H191" s="2">
        <v>1729347</v>
      </c>
      <c r="I191" s="2">
        <v>3209982240</v>
      </c>
      <c r="J191">
        <v>138</v>
      </c>
      <c r="K191">
        <v>65</v>
      </c>
      <c r="L191">
        <v>1</v>
      </c>
      <c r="M191" t="str">
        <f t="shared" si="2"/>
        <v>After 2020</v>
      </c>
    </row>
    <row r="192" spans="1:13">
      <c r="A192" t="s">
        <v>351</v>
      </c>
      <c r="B192" t="s">
        <v>352</v>
      </c>
      <c r="C192" s="1">
        <v>45422</v>
      </c>
      <c r="D192" s="2">
        <v>106599323</v>
      </c>
      <c r="E192" s="2">
        <v>9406</v>
      </c>
      <c r="F192">
        <v>87</v>
      </c>
      <c r="G192" s="2">
        <v>10331471</v>
      </c>
      <c r="H192" s="2">
        <v>167936</v>
      </c>
      <c r="I192" s="2">
        <v>4700000</v>
      </c>
      <c r="J192">
        <v>120</v>
      </c>
      <c r="K192">
        <v>14</v>
      </c>
      <c r="L192">
        <v>0</v>
      </c>
      <c r="M192" t="str">
        <f t="shared" si="2"/>
        <v>After 2020</v>
      </c>
    </row>
    <row r="193" spans="1:13">
      <c r="A193" t="s">
        <v>353</v>
      </c>
      <c r="B193" t="s">
        <v>295</v>
      </c>
      <c r="C193" s="1">
        <v>44729</v>
      </c>
      <c r="D193" s="2">
        <v>971473231</v>
      </c>
      <c r="E193" s="2">
        <v>239671</v>
      </c>
      <c r="F193">
        <v>78</v>
      </c>
      <c r="G193" s="2">
        <v>198796965</v>
      </c>
      <c r="H193" s="2">
        <v>2003253</v>
      </c>
      <c r="I193" s="2">
        <v>926300276</v>
      </c>
      <c r="J193">
        <v>110</v>
      </c>
      <c r="K193">
        <v>641</v>
      </c>
      <c r="L193">
        <v>1</v>
      </c>
      <c r="M193" t="str">
        <f t="shared" si="2"/>
        <v>After 2020</v>
      </c>
    </row>
    <row r="194" spans="1:13">
      <c r="A194" t="s">
        <v>354</v>
      </c>
      <c r="B194" t="s">
        <v>355</v>
      </c>
      <c r="C194" s="1">
        <v>44015</v>
      </c>
      <c r="D194" s="2">
        <v>1125681368</v>
      </c>
      <c r="E194" s="2">
        <v>251023</v>
      </c>
      <c r="F194">
        <v>72</v>
      </c>
      <c r="G194" s="2">
        <v>306628096</v>
      </c>
      <c r="H194" s="2">
        <v>3322075</v>
      </c>
      <c r="I194" s="2">
        <v>2775640343</v>
      </c>
      <c r="J194">
        <v>119</v>
      </c>
      <c r="K194">
        <v>744</v>
      </c>
      <c r="L194">
        <v>1</v>
      </c>
      <c r="M194" t="str">
        <f t="shared" si="2"/>
        <v>2010-2020</v>
      </c>
    </row>
    <row r="195" spans="1:13">
      <c r="A195" t="s">
        <v>356</v>
      </c>
      <c r="B195" t="s">
        <v>357</v>
      </c>
      <c r="C195" s="1">
        <v>43728</v>
      </c>
      <c r="D195" s="2">
        <v>2011072164</v>
      </c>
      <c r="E195" s="2">
        <v>222804</v>
      </c>
      <c r="F195">
        <v>77</v>
      </c>
      <c r="G195" s="2">
        <v>1290292327</v>
      </c>
      <c r="H195" s="2">
        <v>11720744</v>
      </c>
      <c r="I195" s="2">
        <v>1458416059</v>
      </c>
      <c r="J195">
        <v>268</v>
      </c>
      <c r="K195">
        <v>403</v>
      </c>
      <c r="L195">
        <v>0</v>
      </c>
      <c r="M195" t="str">
        <f t="shared" ref="M195:M258" si="3">IF(YEAR(C195)&lt;2010,"Before 2010",IF(YEAR(C195)&lt;=2020,"2010-2020","After 2020"))</f>
        <v>2010-2020</v>
      </c>
    </row>
    <row r="196" spans="1:13">
      <c r="A196" t="s">
        <v>358</v>
      </c>
      <c r="B196" t="s">
        <v>332</v>
      </c>
      <c r="C196" s="1">
        <v>45016</v>
      </c>
      <c r="D196" s="2">
        <v>872148396</v>
      </c>
      <c r="E196" s="2">
        <v>90726</v>
      </c>
      <c r="F196">
        <v>78</v>
      </c>
      <c r="G196" s="2">
        <v>477047694</v>
      </c>
      <c r="H196" s="2">
        <v>1887642</v>
      </c>
      <c r="I196" s="2">
        <v>1113541743</v>
      </c>
      <c r="J196">
        <v>94</v>
      </c>
      <c r="K196">
        <v>186</v>
      </c>
      <c r="L196">
        <v>1</v>
      </c>
      <c r="M196" t="str">
        <f t="shared" si="3"/>
        <v>After 2020</v>
      </c>
    </row>
    <row r="197" spans="1:13" hidden="1">
      <c r="A197" t="s">
        <v>359</v>
      </c>
      <c r="B197" t="s">
        <v>360</v>
      </c>
      <c r="C197" s="1">
        <v>45310</v>
      </c>
      <c r="D197" s="2">
        <v>222354971</v>
      </c>
      <c r="E197" s="2">
        <v>17551</v>
      </c>
      <c r="F197">
        <v>83</v>
      </c>
      <c r="G197" s="2">
        <v>45439562</v>
      </c>
      <c r="H197" s="2">
        <v>522558</v>
      </c>
      <c r="J197">
        <v>111</v>
      </c>
      <c r="K197">
        <v>278</v>
      </c>
      <c r="L197">
        <v>0</v>
      </c>
      <c r="M197" t="str">
        <f t="shared" si="3"/>
        <v>After 2020</v>
      </c>
    </row>
    <row r="198" spans="1:13">
      <c r="A198" t="s">
        <v>361</v>
      </c>
      <c r="B198" t="s">
        <v>362</v>
      </c>
      <c r="C198" s="1">
        <v>45335</v>
      </c>
      <c r="D198" s="2">
        <v>207093873</v>
      </c>
      <c r="E198" s="2">
        <v>23181</v>
      </c>
      <c r="F198">
        <v>87</v>
      </c>
      <c r="G198" s="2">
        <v>19787472</v>
      </c>
      <c r="H198" s="2">
        <v>254004</v>
      </c>
      <c r="I198" s="2">
        <v>298300000</v>
      </c>
      <c r="J198">
        <v>61</v>
      </c>
      <c r="K198">
        <v>577</v>
      </c>
      <c r="L198">
        <v>1</v>
      </c>
      <c r="M198" t="str">
        <f t="shared" si="3"/>
        <v>After 2020</v>
      </c>
    </row>
    <row r="199" spans="1:13" hidden="1">
      <c r="A199" t="s">
        <v>363</v>
      </c>
      <c r="B199" t="s">
        <v>364</v>
      </c>
      <c r="C199" s="1">
        <v>45142</v>
      </c>
      <c r="D199" s="2">
        <v>361517395</v>
      </c>
      <c r="E199" s="2">
        <v>119783</v>
      </c>
      <c r="F199">
        <v>80</v>
      </c>
      <c r="G199" s="2">
        <v>37192341</v>
      </c>
      <c r="H199" s="2">
        <v>491577</v>
      </c>
      <c r="I199" s="2">
        <v>35999853</v>
      </c>
      <c r="J199">
        <v>56</v>
      </c>
      <c r="L199">
        <v>0</v>
      </c>
      <c r="M199" t="str">
        <f t="shared" si="3"/>
        <v>After 2020</v>
      </c>
    </row>
    <row r="200" spans="1:13" hidden="1">
      <c r="A200" t="s">
        <v>365</v>
      </c>
      <c r="B200" t="s">
        <v>81</v>
      </c>
      <c r="C200" s="1">
        <v>45303</v>
      </c>
      <c r="D200" s="2">
        <v>416813996</v>
      </c>
      <c r="E200" s="2">
        <v>22468</v>
      </c>
      <c r="G200" s="2">
        <v>115105080</v>
      </c>
      <c r="H200" s="2">
        <v>2893111</v>
      </c>
      <c r="I200" s="2">
        <v>10072539</v>
      </c>
      <c r="J200">
        <v>106</v>
      </c>
      <c r="K200">
        <v>114</v>
      </c>
      <c r="L200">
        <v>1</v>
      </c>
      <c r="M200" t="str">
        <f t="shared" si="3"/>
        <v>After 2020</v>
      </c>
    </row>
    <row r="201" spans="1:13">
      <c r="A201" t="s">
        <v>366</v>
      </c>
      <c r="B201" t="s">
        <v>367</v>
      </c>
      <c r="C201" s="1">
        <v>43377</v>
      </c>
      <c r="D201" s="2">
        <v>2042792456</v>
      </c>
      <c r="E201" s="2">
        <v>198888</v>
      </c>
      <c r="F201">
        <v>75</v>
      </c>
      <c r="G201" s="2">
        <v>2018089906</v>
      </c>
      <c r="H201" s="2">
        <v>20528541</v>
      </c>
      <c r="I201" s="2">
        <v>2216715741</v>
      </c>
      <c r="J201">
        <v>180</v>
      </c>
      <c r="K201">
        <v>300</v>
      </c>
      <c r="L201">
        <v>1</v>
      </c>
      <c r="M201" t="str">
        <f t="shared" si="3"/>
        <v>2010-2020</v>
      </c>
    </row>
    <row r="202" spans="1:13" hidden="1">
      <c r="A202" t="s">
        <v>368</v>
      </c>
      <c r="B202" t="s">
        <v>19</v>
      </c>
      <c r="C202" s="1">
        <v>45415</v>
      </c>
      <c r="D202" s="2">
        <v>65520394</v>
      </c>
      <c r="E202" s="2">
        <v>8933</v>
      </c>
      <c r="G202" s="2">
        <v>36834647</v>
      </c>
      <c r="H202" s="2">
        <v>1700363</v>
      </c>
      <c r="I202" s="2">
        <v>7700000</v>
      </c>
      <c r="J202">
        <v>13</v>
      </c>
      <c r="L202">
        <v>1</v>
      </c>
      <c r="M202" t="str">
        <f t="shared" si="3"/>
        <v>After 2020</v>
      </c>
    </row>
    <row r="203" spans="1:13" hidden="1">
      <c r="A203" t="s">
        <v>369</v>
      </c>
      <c r="B203" t="s">
        <v>295</v>
      </c>
      <c r="C203" s="1">
        <v>45205</v>
      </c>
      <c r="D203" s="2">
        <v>328526298</v>
      </c>
      <c r="E203" s="2">
        <v>72252</v>
      </c>
      <c r="G203" s="2">
        <v>61769035</v>
      </c>
      <c r="H203" s="2">
        <v>1228629</v>
      </c>
      <c r="I203" s="2">
        <v>2571188</v>
      </c>
      <c r="J203">
        <v>54</v>
      </c>
      <c r="K203">
        <v>16</v>
      </c>
      <c r="L203">
        <v>1</v>
      </c>
      <c r="M203" t="str">
        <f t="shared" si="3"/>
        <v>After 2020</v>
      </c>
    </row>
    <row r="204" spans="1:13">
      <c r="A204" t="s">
        <v>370</v>
      </c>
      <c r="B204" t="s">
        <v>371</v>
      </c>
      <c r="C204" s="1">
        <v>43370</v>
      </c>
      <c r="D204" s="2">
        <v>2447973078</v>
      </c>
      <c r="E204" s="2">
        <v>221822</v>
      </c>
      <c r="F204">
        <v>78</v>
      </c>
      <c r="G204" s="2">
        <v>2732311956</v>
      </c>
      <c r="H204" s="2">
        <v>15274815</v>
      </c>
      <c r="I204" s="2">
        <v>168789459</v>
      </c>
      <c r="J204">
        <v>261</v>
      </c>
      <c r="K204">
        <v>135</v>
      </c>
      <c r="L204">
        <v>0</v>
      </c>
      <c r="M204" t="str">
        <f t="shared" si="3"/>
        <v>2010-2020</v>
      </c>
    </row>
    <row r="205" spans="1:13">
      <c r="A205" t="s">
        <v>372</v>
      </c>
      <c r="B205" t="s">
        <v>233</v>
      </c>
      <c r="C205" s="1">
        <v>42852</v>
      </c>
      <c r="D205" s="2">
        <v>2384768901</v>
      </c>
      <c r="E205" s="2">
        <v>244951</v>
      </c>
      <c r="F205">
        <v>79</v>
      </c>
      <c r="G205" s="2">
        <v>2707166590</v>
      </c>
      <c r="H205" s="2">
        <v>16780231</v>
      </c>
      <c r="I205" s="2">
        <v>906537912</v>
      </c>
      <c r="J205">
        <v>225</v>
      </c>
      <c r="K205">
        <v>509</v>
      </c>
      <c r="L205">
        <v>0</v>
      </c>
      <c r="M205" t="str">
        <f t="shared" si="3"/>
        <v>2010-2020</v>
      </c>
    </row>
    <row r="206" spans="1:13">
      <c r="A206" t="s">
        <v>373</v>
      </c>
      <c r="B206" t="s">
        <v>374</v>
      </c>
      <c r="C206" s="1">
        <v>44820</v>
      </c>
      <c r="D206" s="2">
        <v>371886608</v>
      </c>
      <c r="E206" s="2">
        <v>98009</v>
      </c>
      <c r="F206">
        <v>67</v>
      </c>
      <c r="G206" s="2">
        <v>361174452</v>
      </c>
      <c r="H206" s="2">
        <v>1904397</v>
      </c>
      <c r="I206" s="2">
        <v>1454848289</v>
      </c>
      <c r="J206">
        <v>162</v>
      </c>
      <c r="K206">
        <v>230</v>
      </c>
      <c r="L206">
        <v>0</v>
      </c>
      <c r="M206" t="str">
        <f t="shared" si="3"/>
        <v>After 2020</v>
      </c>
    </row>
    <row r="207" spans="1:13">
      <c r="A207" t="s">
        <v>375</v>
      </c>
      <c r="B207" t="s">
        <v>376</v>
      </c>
      <c r="C207" s="1">
        <v>44421</v>
      </c>
      <c r="D207" s="2">
        <v>1128273165</v>
      </c>
      <c r="E207" s="2">
        <v>193857</v>
      </c>
      <c r="F207">
        <v>70</v>
      </c>
      <c r="G207" s="2">
        <v>499895662</v>
      </c>
      <c r="H207" s="2">
        <v>6801671</v>
      </c>
      <c r="I207" s="2">
        <v>12414681151</v>
      </c>
      <c r="J207">
        <v>209</v>
      </c>
      <c r="K207" s="2">
        <v>1509</v>
      </c>
      <c r="L207">
        <v>1</v>
      </c>
      <c r="M207" t="str">
        <f t="shared" si="3"/>
        <v>After 2020</v>
      </c>
    </row>
    <row r="208" spans="1:13" hidden="1">
      <c r="A208" t="s">
        <v>377</v>
      </c>
      <c r="B208" t="s">
        <v>378</v>
      </c>
      <c r="C208" s="1">
        <v>44684</v>
      </c>
      <c r="D208" s="2">
        <v>86516910</v>
      </c>
      <c r="E208" s="2">
        <v>30835</v>
      </c>
      <c r="F208">
        <v>57</v>
      </c>
      <c r="G208" s="2">
        <v>266679537</v>
      </c>
      <c r="H208" s="2">
        <v>1536035</v>
      </c>
      <c r="I208" s="2">
        <v>1872751535</v>
      </c>
      <c r="J208">
        <v>51</v>
      </c>
      <c r="L208">
        <v>0</v>
      </c>
      <c r="M208" t="str">
        <f t="shared" si="3"/>
        <v>After 2020</v>
      </c>
    </row>
    <row r="209" spans="1:13">
      <c r="A209" t="s">
        <v>379</v>
      </c>
      <c r="B209" t="s">
        <v>380</v>
      </c>
      <c r="C209" s="1">
        <v>44741</v>
      </c>
      <c r="D209" s="2">
        <v>1087938471</v>
      </c>
      <c r="E209" s="2">
        <v>220515</v>
      </c>
      <c r="F209">
        <v>73</v>
      </c>
      <c r="G209" s="2">
        <v>147472695</v>
      </c>
      <c r="H209" s="2">
        <v>2050299</v>
      </c>
      <c r="I209" s="2">
        <v>2783442788</v>
      </c>
      <c r="J209">
        <v>132</v>
      </c>
      <c r="K209" s="2">
        <v>1461</v>
      </c>
      <c r="L209">
        <v>1</v>
      </c>
      <c r="M209" t="str">
        <f t="shared" si="3"/>
        <v>After 2020</v>
      </c>
    </row>
    <row r="210" spans="1:13">
      <c r="A210" t="s">
        <v>381</v>
      </c>
      <c r="B210" t="s">
        <v>382</v>
      </c>
      <c r="C210" s="1">
        <v>44449</v>
      </c>
      <c r="D210" s="2">
        <v>1189335848</v>
      </c>
      <c r="E210" s="2">
        <v>103236</v>
      </c>
      <c r="F210">
        <v>73</v>
      </c>
      <c r="G210" s="2">
        <v>1323718887</v>
      </c>
      <c r="H210" s="2">
        <v>20328622</v>
      </c>
      <c r="I210" s="2">
        <v>12516703531</v>
      </c>
      <c r="J210">
        <v>54</v>
      </c>
      <c r="K210">
        <v>461</v>
      </c>
      <c r="L210">
        <v>1</v>
      </c>
      <c r="M210" t="str">
        <f t="shared" si="3"/>
        <v>After 2020</v>
      </c>
    </row>
    <row r="211" spans="1:13">
      <c r="A211" t="s">
        <v>383</v>
      </c>
      <c r="B211" t="s">
        <v>384</v>
      </c>
      <c r="C211" s="1">
        <v>45114</v>
      </c>
      <c r="D211" s="2">
        <v>721002940</v>
      </c>
      <c r="E211" s="2">
        <v>84161</v>
      </c>
      <c r="F211">
        <v>79</v>
      </c>
      <c r="G211" s="2">
        <v>266411536</v>
      </c>
      <c r="H211" s="2">
        <v>1343262</v>
      </c>
      <c r="I211" s="2">
        <v>752868970</v>
      </c>
      <c r="J211">
        <v>47</v>
      </c>
      <c r="K211">
        <v>44</v>
      </c>
      <c r="L211">
        <v>0</v>
      </c>
      <c r="M211" t="str">
        <f t="shared" si="3"/>
        <v>After 2020</v>
      </c>
    </row>
    <row r="212" spans="1:13">
      <c r="A212" t="s">
        <v>385</v>
      </c>
      <c r="B212" t="s">
        <v>200</v>
      </c>
      <c r="C212" s="1">
        <v>45099</v>
      </c>
      <c r="D212" s="2">
        <v>684204777</v>
      </c>
      <c r="E212" s="2">
        <v>48370</v>
      </c>
      <c r="F212">
        <v>78</v>
      </c>
      <c r="G212" s="2">
        <v>362779953</v>
      </c>
      <c r="H212" s="2">
        <v>1617493</v>
      </c>
      <c r="I212" s="2">
        <v>1207597707</v>
      </c>
      <c r="J212">
        <v>51</v>
      </c>
      <c r="K212">
        <v>27</v>
      </c>
      <c r="L212">
        <v>1</v>
      </c>
      <c r="M212" t="str">
        <f t="shared" si="3"/>
        <v>After 2020</v>
      </c>
    </row>
    <row r="213" spans="1:13">
      <c r="A213" t="s">
        <v>386</v>
      </c>
      <c r="B213" t="s">
        <v>68</v>
      </c>
      <c r="C213" s="1">
        <v>44372</v>
      </c>
      <c r="D213" s="2">
        <v>1606950381</v>
      </c>
      <c r="E213" s="2">
        <v>217443</v>
      </c>
      <c r="F213">
        <v>78</v>
      </c>
      <c r="G213" s="2">
        <v>641326002</v>
      </c>
      <c r="H213" s="2">
        <v>7454749</v>
      </c>
      <c r="I213" s="2">
        <v>5944657895</v>
      </c>
      <c r="J213">
        <v>217</v>
      </c>
      <c r="K213" s="2">
        <v>1849</v>
      </c>
      <c r="L213">
        <v>1</v>
      </c>
      <c r="M213" t="str">
        <f t="shared" si="3"/>
        <v>After 2020</v>
      </c>
    </row>
    <row r="214" spans="1:13">
      <c r="A214" t="s">
        <v>387</v>
      </c>
      <c r="B214" t="s">
        <v>72</v>
      </c>
      <c r="C214" s="1">
        <v>44771</v>
      </c>
      <c r="D214" s="2">
        <v>795960535</v>
      </c>
      <c r="E214" s="2">
        <v>100204</v>
      </c>
      <c r="F214">
        <v>73</v>
      </c>
      <c r="G214" s="2">
        <v>176996169</v>
      </c>
      <c r="H214" s="2">
        <v>1606296</v>
      </c>
      <c r="I214" s="2">
        <v>11215597325</v>
      </c>
      <c r="J214">
        <v>182</v>
      </c>
      <c r="K214">
        <v>818</v>
      </c>
      <c r="L214">
        <v>1</v>
      </c>
      <c r="M214" t="str">
        <f t="shared" si="3"/>
        <v>After 2020</v>
      </c>
    </row>
    <row r="215" spans="1:13" hidden="1">
      <c r="A215" t="s">
        <v>388</v>
      </c>
      <c r="B215" t="s">
        <v>389</v>
      </c>
      <c r="C215" s="1">
        <v>45440</v>
      </c>
      <c r="D215" s="2">
        <v>8078265</v>
      </c>
      <c r="E215">
        <v>207</v>
      </c>
      <c r="F215">
        <v>68</v>
      </c>
      <c r="G215" s="2">
        <v>44927750</v>
      </c>
      <c r="H215" s="2">
        <v>931230</v>
      </c>
      <c r="J215">
        <v>10</v>
      </c>
      <c r="L215">
        <v>0</v>
      </c>
      <c r="M215" t="str">
        <f t="shared" si="3"/>
        <v>After 2020</v>
      </c>
    </row>
    <row r="216" spans="1:13">
      <c r="A216" t="s">
        <v>390</v>
      </c>
      <c r="B216" t="s">
        <v>391</v>
      </c>
      <c r="C216" s="1">
        <v>44007</v>
      </c>
      <c r="D216" s="2">
        <v>1033109188</v>
      </c>
      <c r="E216" s="2">
        <v>82170</v>
      </c>
      <c r="F216">
        <v>68</v>
      </c>
      <c r="G216" s="2">
        <v>1584676582</v>
      </c>
      <c r="H216" s="2">
        <v>29210301</v>
      </c>
      <c r="I216" s="2">
        <v>7988463856</v>
      </c>
      <c r="J216">
        <v>96</v>
      </c>
      <c r="K216">
        <v>37</v>
      </c>
      <c r="L216">
        <v>0</v>
      </c>
      <c r="M216" t="str">
        <f t="shared" si="3"/>
        <v>2010-2020</v>
      </c>
    </row>
    <row r="217" spans="1:13" hidden="1">
      <c r="A217" t="s">
        <v>392</v>
      </c>
      <c r="B217" t="s">
        <v>393</v>
      </c>
      <c r="C217" s="1">
        <v>44792</v>
      </c>
      <c r="D217" s="2">
        <v>1165982</v>
      </c>
      <c r="E217" s="2">
        <v>1176</v>
      </c>
      <c r="F217">
        <v>28</v>
      </c>
      <c r="G217" s="2">
        <v>1704936540</v>
      </c>
      <c r="H217" s="2">
        <v>3631067</v>
      </c>
      <c r="I217" s="2">
        <v>7758599</v>
      </c>
      <c r="L217">
        <v>0</v>
      </c>
      <c r="M217" t="str">
        <f t="shared" si="3"/>
        <v>After 2020</v>
      </c>
    </row>
    <row r="218" spans="1:13">
      <c r="A218" t="s">
        <v>394</v>
      </c>
      <c r="B218" t="s">
        <v>395</v>
      </c>
      <c r="C218" s="1">
        <v>45394</v>
      </c>
      <c r="D218" s="2">
        <v>31612906</v>
      </c>
      <c r="E218" s="2">
        <v>3887</v>
      </c>
      <c r="F218">
        <v>76</v>
      </c>
      <c r="G218" s="2">
        <v>6277949</v>
      </c>
      <c r="H218" s="2">
        <v>171470</v>
      </c>
      <c r="I218" s="2">
        <v>1051026401</v>
      </c>
      <c r="J218">
        <v>38</v>
      </c>
      <c r="K218">
        <v>13</v>
      </c>
      <c r="L218">
        <v>0</v>
      </c>
      <c r="M218" t="str">
        <f t="shared" si="3"/>
        <v>After 2020</v>
      </c>
    </row>
    <row r="219" spans="1:13">
      <c r="A219" t="s">
        <v>396</v>
      </c>
      <c r="B219" t="s">
        <v>129</v>
      </c>
      <c r="C219" s="1">
        <v>44897</v>
      </c>
      <c r="D219" s="2">
        <v>706356280</v>
      </c>
      <c r="E219" s="2">
        <v>166277</v>
      </c>
      <c r="F219">
        <v>77</v>
      </c>
      <c r="G219" s="2">
        <v>172653099</v>
      </c>
      <c r="H219" s="2">
        <v>1750863</v>
      </c>
      <c r="I219" s="2">
        <v>108461504</v>
      </c>
      <c r="J219">
        <v>56</v>
      </c>
      <c r="K219">
        <v>331</v>
      </c>
      <c r="L219">
        <v>1</v>
      </c>
      <c r="M219" t="str">
        <f t="shared" si="3"/>
        <v>After 2020</v>
      </c>
    </row>
    <row r="220" spans="1:13">
      <c r="A220" t="s">
        <v>397</v>
      </c>
      <c r="B220" t="s">
        <v>398</v>
      </c>
      <c r="C220" s="1">
        <v>42426</v>
      </c>
      <c r="D220" s="2">
        <v>1181348550</v>
      </c>
      <c r="E220" s="2">
        <v>170002</v>
      </c>
      <c r="F220">
        <v>62</v>
      </c>
      <c r="G220" s="2">
        <v>2277330940</v>
      </c>
      <c r="H220" s="2">
        <v>22334292</v>
      </c>
      <c r="I220" s="2">
        <v>283835852</v>
      </c>
      <c r="J220">
        <v>245</v>
      </c>
      <c r="K220">
        <v>113</v>
      </c>
      <c r="L220">
        <v>1</v>
      </c>
      <c r="M220" t="str">
        <f t="shared" si="3"/>
        <v>2010-2020</v>
      </c>
    </row>
    <row r="221" spans="1:13" hidden="1">
      <c r="A221" t="s">
        <v>399</v>
      </c>
      <c r="B221" t="s">
        <v>295</v>
      </c>
      <c r="C221" s="1">
        <v>45401</v>
      </c>
      <c r="D221" s="2">
        <v>107762230</v>
      </c>
      <c r="E221" s="2">
        <v>14601</v>
      </c>
      <c r="G221" s="2">
        <v>14792036</v>
      </c>
      <c r="H221" s="2">
        <v>301396</v>
      </c>
      <c r="J221">
        <v>42</v>
      </c>
      <c r="K221">
        <v>6</v>
      </c>
      <c r="L221">
        <v>1</v>
      </c>
      <c r="M221" t="str">
        <f t="shared" si="3"/>
        <v>After 2020</v>
      </c>
    </row>
    <row r="222" spans="1:13" hidden="1">
      <c r="A222" t="s">
        <v>400</v>
      </c>
      <c r="B222" t="s">
        <v>401</v>
      </c>
      <c r="C222" s="1">
        <v>44982</v>
      </c>
      <c r="D222" s="2">
        <v>518846340</v>
      </c>
      <c r="E222" s="2">
        <v>83033</v>
      </c>
      <c r="F222">
        <v>77</v>
      </c>
      <c r="G222" s="2">
        <v>348331280</v>
      </c>
      <c r="H222" s="2">
        <v>3205077</v>
      </c>
      <c r="I222" s="2">
        <v>718955243</v>
      </c>
      <c r="J222">
        <v>113</v>
      </c>
      <c r="L222">
        <v>0</v>
      </c>
      <c r="M222" t="str">
        <f t="shared" si="3"/>
        <v>After 2020</v>
      </c>
    </row>
    <row r="223" spans="1:13">
      <c r="A223" t="s">
        <v>402</v>
      </c>
      <c r="B223" t="s">
        <v>68</v>
      </c>
      <c r="C223" s="1">
        <v>44295</v>
      </c>
      <c r="D223" s="2">
        <v>1823871908</v>
      </c>
      <c r="E223" s="2">
        <v>262313</v>
      </c>
      <c r="F223">
        <v>76</v>
      </c>
      <c r="G223" s="2">
        <v>307855103</v>
      </c>
      <c r="H223" s="2">
        <v>2540592</v>
      </c>
      <c r="I223" s="2">
        <v>8035914098</v>
      </c>
      <c r="J223">
        <v>470</v>
      </c>
      <c r="K223">
        <v>650</v>
      </c>
      <c r="L223">
        <v>1</v>
      </c>
      <c r="M223" t="str">
        <f t="shared" si="3"/>
        <v>After 2020</v>
      </c>
    </row>
    <row r="224" spans="1:13">
      <c r="A224" t="s">
        <v>403</v>
      </c>
      <c r="B224" t="s">
        <v>404</v>
      </c>
      <c r="C224" s="1">
        <v>45002</v>
      </c>
      <c r="D224" s="2">
        <v>102772879</v>
      </c>
      <c r="E224" s="2">
        <v>29487</v>
      </c>
      <c r="F224">
        <v>61</v>
      </c>
      <c r="G224" s="2">
        <v>65934972</v>
      </c>
      <c r="H224" s="2">
        <v>760669</v>
      </c>
      <c r="I224" s="2">
        <v>847338969</v>
      </c>
      <c r="J224">
        <v>29</v>
      </c>
      <c r="K224">
        <v>125</v>
      </c>
      <c r="L224">
        <v>1</v>
      </c>
      <c r="M224" t="str">
        <f t="shared" si="3"/>
        <v>After 2020</v>
      </c>
    </row>
    <row r="225" spans="1:13" hidden="1">
      <c r="A225" t="s">
        <v>34</v>
      </c>
      <c r="B225" t="s">
        <v>35</v>
      </c>
      <c r="C225" s="1">
        <v>45281</v>
      </c>
      <c r="D225" s="2">
        <v>4674619</v>
      </c>
      <c r="E225" s="2">
        <v>1841</v>
      </c>
      <c r="G225" s="2">
        <v>108313521</v>
      </c>
      <c r="H225" s="2">
        <v>990782</v>
      </c>
      <c r="I225" s="2">
        <v>391444977</v>
      </c>
      <c r="L225">
        <v>0</v>
      </c>
      <c r="M225" t="str">
        <f t="shared" si="3"/>
        <v>After 2020</v>
      </c>
    </row>
    <row r="226" spans="1:13">
      <c r="A226" t="s">
        <v>405</v>
      </c>
      <c r="B226" t="s">
        <v>112</v>
      </c>
      <c r="C226" s="1">
        <v>45393</v>
      </c>
      <c r="D226" s="2">
        <v>108501771</v>
      </c>
      <c r="E226" s="2">
        <v>7430</v>
      </c>
      <c r="F226">
        <v>12</v>
      </c>
      <c r="G226" s="2">
        <v>3947610</v>
      </c>
      <c r="H226" s="2">
        <v>60459</v>
      </c>
      <c r="I226" s="2">
        <v>38200</v>
      </c>
      <c r="J226">
        <v>113</v>
      </c>
      <c r="K226">
        <v>66</v>
      </c>
      <c r="L226">
        <v>1</v>
      </c>
      <c r="M226" t="str">
        <f t="shared" si="3"/>
        <v>After 2020</v>
      </c>
    </row>
    <row r="227" spans="1:13">
      <c r="A227" t="s">
        <v>406</v>
      </c>
      <c r="B227" t="s">
        <v>266</v>
      </c>
      <c r="C227" s="1">
        <v>44204</v>
      </c>
      <c r="D227" s="2">
        <v>2184754018</v>
      </c>
      <c r="E227" s="2">
        <v>250778</v>
      </c>
      <c r="F227">
        <v>79</v>
      </c>
      <c r="G227" s="2">
        <v>984811734</v>
      </c>
      <c r="H227" s="2">
        <v>18682671</v>
      </c>
      <c r="I227" s="2">
        <v>3781894216</v>
      </c>
      <c r="J227">
        <v>347</v>
      </c>
      <c r="K227">
        <v>272</v>
      </c>
      <c r="L227">
        <v>1</v>
      </c>
      <c r="M227" t="str">
        <f t="shared" si="3"/>
        <v>After 2020</v>
      </c>
    </row>
    <row r="228" spans="1:13">
      <c r="A228" t="s">
        <v>407</v>
      </c>
      <c r="B228" t="s">
        <v>24</v>
      </c>
      <c r="C228" s="1">
        <v>45156</v>
      </c>
      <c r="D228" s="2">
        <v>205468104</v>
      </c>
      <c r="E228" s="2">
        <v>30639</v>
      </c>
      <c r="F228">
        <v>69</v>
      </c>
      <c r="G228" s="2">
        <v>61624959</v>
      </c>
      <c r="H228" s="2">
        <v>1364492</v>
      </c>
      <c r="I228" s="2">
        <v>503074793</v>
      </c>
      <c r="J228">
        <v>97</v>
      </c>
      <c r="K228">
        <v>266</v>
      </c>
      <c r="L228">
        <v>0</v>
      </c>
      <c r="M228" t="str">
        <f t="shared" si="3"/>
        <v>After 2020</v>
      </c>
    </row>
    <row r="229" spans="1:13">
      <c r="A229" t="s">
        <v>408</v>
      </c>
      <c r="B229" t="s">
        <v>409</v>
      </c>
      <c r="C229" s="1">
        <v>44981</v>
      </c>
      <c r="D229" s="2">
        <v>861388470</v>
      </c>
      <c r="E229" s="2">
        <v>103040</v>
      </c>
      <c r="F229">
        <v>48</v>
      </c>
      <c r="G229" s="2">
        <v>15219067</v>
      </c>
      <c r="H229" s="2">
        <v>176594</v>
      </c>
      <c r="I229" s="2">
        <v>4388576830</v>
      </c>
      <c r="J229">
        <v>110</v>
      </c>
      <c r="K229">
        <v>624</v>
      </c>
      <c r="L229">
        <v>0</v>
      </c>
      <c r="M229" t="str">
        <f t="shared" si="3"/>
        <v>After 2020</v>
      </c>
    </row>
    <row r="230" spans="1:13" hidden="1">
      <c r="A230" t="s">
        <v>410</v>
      </c>
      <c r="B230" t="s">
        <v>411</v>
      </c>
      <c r="C230" s="1">
        <v>45436</v>
      </c>
      <c r="D230" s="2">
        <v>33595707</v>
      </c>
      <c r="E230" s="2">
        <v>1940</v>
      </c>
      <c r="F230">
        <v>79</v>
      </c>
      <c r="G230" s="2">
        <v>40327759</v>
      </c>
      <c r="H230" s="2">
        <v>965652</v>
      </c>
      <c r="J230">
        <v>58</v>
      </c>
      <c r="K230">
        <v>2</v>
      </c>
      <c r="L230">
        <v>0</v>
      </c>
      <c r="M230" t="str">
        <f t="shared" si="3"/>
        <v>After 2020</v>
      </c>
    </row>
    <row r="231" spans="1:13">
      <c r="A231" t="s">
        <v>412</v>
      </c>
      <c r="B231" t="s">
        <v>413</v>
      </c>
      <c r="C231" s="1">
        <v>44895</v>
      </c>
      <c r="D231" s="2">
        <v>465588517</v>
      </c>
      <c r="E231" s="2">
        <v>91658</v>
      </c>
      <c r="F231">
        <v>67</v>
      </c>
      <c r="G231" s="2">
        <v>109781672</v>
      </c>
      <c r="H231" s="2">
        <v>1706148</v>
      </c>
      <c r="I231" s="2">
        <v>4784803362</v>
      </c>
      <c r="J231">
        <v>110</v>
      </c>
      <c r="K231" s="2">
        <v>7098</v>
      </c>
      <c r="L231">
        <v>1</v>
      </c>
      <c r="M231" t="str">
        <f t="shared" si="3"/>
        <v>After 2020</v>
      </c>
    </row>
    <row r="232" spans="1:13">
      <c r="A232" t="s">
        <v>414</v>
      </c>
      <c r="B232" t="s">
        <v>47</v>
      </c>
      <c r="C232" s="1">
        <v>42993</v>
      </c>
      <c r="D232" s="2">
        <v>2960046642</v>
      </c>
      <c r="E232" s="2">
        <v>352745</v>
      </c>
      <c r="F232">
        <v>77</v>
      </c>
      <c r="G232" s="2">
        <v>2391850868</v>
      </c>
      <c r="H232" s="2">
        <v>23334015</v>
      </c>
      <c r="I232" s="2">
        <v>456931528</v>
      </c>
      <c r="J232">
        <v>235</v>
      </c>
      <c r="K232">
        <v>393</v>
      </c>
      <c r="L232">
        <v>1</v>
      </c>
      <c r="M232" t="str">
        <f t="shared" si="3"/>
        <v>2010-2020</v>
      </c>
    </row>
    <row r="233" spans="1:13" hidden="1">
      <c r="A233" t="s">
        <v>415</v>
      </c>
      <c r="B233" t="s">
        <v>416</v>
      </c>
      <c r="C233" s="1">
        <v>44996</v>
      </c>
      <c r="D233" s="2">
        <v>11648</v>
      </c>
      <c r="E233">
        <v>6</v>
      </c>
      <c r="G233" s="2">
        <v>1175875850</v>
      </c>
      <c r="H233" s="2">
        <v>1505556</v>
      </c>
      <c r="L233">
        <v>1</v>
      </c>
      <c r="M233" t="str">
        <f t="shared" si="3"/>
        <v>After 2020</v>
      </c>
    </row>
    <row r="234" spans="1:13">
      <c r="A234" t="s">
        <v>417</v>
      </c>
      <c r="B234" t="s">
        <v>418</v>
      </c>
      <c r="C234" s="1">
        <v>43489</v>
      </c>
      <c r="D234" s="2">
        <v>1353028938</v>
      </c>
      <c r="E234" s="2">
        <v>160122</v>
      </c>
      <c r="F234">
        <v>73</v>
      </c>
      <c r="G234" s="2">
        <v>3207187334</v>
      </c>
      <c r="H234" s="2">
        <v>16913257</v>
      </c>
      <c r="I234" s="2">
        <v>319615777</v>
      </c>
      <c r="J234">
        <v>184</v>
      </c>
      <c r="K234">
        <v>363</v>
      </c>
      <c r="L234">
        <v>0</v>
      </c>
      <c r="M234" t="str">
        <f t="shared" si="3"/>
        <v>2010-2020</v>
      </c>
    </row>
    <row r="235" spans="1:13">
      <c r="A235" t="s">
        <v>419</v>
      </c>
      <c r="B235" t="s">
        <v>420</v>
      </c>
      <c r="C235" s="1">
        <v>44762</v>
      </c>
      <c r="D235" s="2">
        <v>1042311849</v>
      </c>
      <c r="E235" s="2">
        <v>154178</v>
      </c>
      <c r="F235">
        <v>80</v>
      </c>
      <c r="G235" s="2">
        <v>256736243</v>
      </c>
      <c r="H235" s="2">
        <v>2649848</v>
      </c>
      <c r="I235" s="2">
        <v>3656967030</v>
      </c>
      <c r="J235">
        <v>79</v>
      </c>
      <c r="K235">
        <v>111</v>
      </c>
      <c r="L235">
        <v>0</v>
      </c>
      <c r="M235" t="str">
        <f t="shared" si="3"/>
        <v>After 2020</v>
      </c>
    </row>
    <row r="236" spans="1:13">
      <c r="A236" t="s">
        <v>421</v>
      </c>
      <c r="B236" t="s">
        <v>422</v>
      </c>
      <c r="C236" s="1">
        <v>44974</v>
      </c>
      <c r="D236" s="2">
        <v>186579651</v>
      </c>
      <c r="E236" s="2">
        <v>45668</v>
      </c>
      <c r="F236">
        <v>62</v>
      </c>
      <c r="G236" s="2">
        <v>231699320</v>
      </c>
      <c r="H236" s="2">
        <v>1670867</v>
      </c>
      <c r="I236" s="2">
        <v>117325107</v>
      </c>
      <c r="J236">
        <v>43</v>
      </c>
      <c r="K236">
        <v>717</v>
      </c>
      <c r="L236">
        <v>0</v>
      </c>
      <c r="M236" t="str">
        <f t="shared" si="3"/>
        <v>After 2020</v>
      </c>
    </row>
    <row r="237" spans="1:13">
      <c r="A237" t="s">
        <v>423</v>
      </c>
      <c r="B237" t="s">
        <v>424</v>
      </c>
      <c r="C237" s="1">
        <v>45360</v>
      </c>
      <c r="D237" s="2">
        <v>158131138</v>
      </c>
      <c r="E237" s="2">
        <v>5423</v>
      </c>
      <c r="F237">
        <v>85</v>
      </c>
      <c r="G237" s="2">
        <v>135893150</v>
      </c>
      <c r="H237" s="2">
        <v>889014</v>
      </c>
      <c r="I237" s="2">
        <v>147200</v>
      </c>
      <c r="J237">
        <v>34</v>
      </c>
      <c r="K237">
        <v>3</v>
      </c>
      <c r="L237">
        <v>0</v>
      </c>
      <c r="M237" t="str">
        <f t="shared" si="3"/>
        <v>After 2020</v>
      </c>
    </row>
    <row r="238" spans="1:13" hidden="1">
      <c r="A238" t="s">
        <v>425</v>
      </c>
      <c r="B238" t="s">
        <v>426</v>
      </c>
      <c r="C238" s="1">
        <v>45448</v>
      </c>
      <c r="D238" s="2">
        <v>186123398</v>
      </c>
      <c r="E238">
        <v>52</v>
      </c>
      <c r="L238">
        <v>0</v>
      </c>
      <c r="M238" t="str">
        <f t="shared" si="3"/>
        <v>After 2020</v>
      </c>
    </row>
    <row r="239" spans="1:13">
      <c r="A239" t="s">
        <v>427</v>
      </c>
      <c r="B239" t="s">
        <v>161</v>
      </c>
      <c r="C239" s="1">
        <v>44281</v>
      </c>
      <c r="D239" s="2">
        <v>1902241314</v>
      </c>
      <c r="E239" s="2">
        <v>316054</v>
      </c>
      <c r="F239">
        <v>70</v>
      </c>
      <c r="G239" s="2">
        <v>274582854</v>
      </c>
      <c r="H239" s="2">
        <v>3603644</v>
      </c>
      <c r="I239" s="2">
        <v>7655286423</v>
      </c>
      <c r="J239">
        <v>310</v>
      </c>
      <c r="K239" s="2">
        <v>2026</v>
      </c>
      <c r="L239">
        <v>1</v>
      </c>
      <c r="M239" t="str">
        <f t="shared" si="3"/>
        <v>After 2020</v>
      </c>
    </row>
    <row r="240" spans="1:13" hidden="1">
      <c r="A240" t="s">
        <v>428</v>
      </c>
      <c r="B240" t="s">
        <v>429</v>
      </c>
      <c r="C240" s="1">
        <v>44988</v>
      </c>
      <c r="D240" s="2">
        <v>42761</v>
      </c>
      <c r="E240">
        <v>80</v>
      </c>
      <c r="F240">
        <v>16</v>
      </c>
      <c r="G240" s="2">
        <v>1138846819</v>
      </c>
      <c r="H240" s="2">
        <v>2113492</v>
      </c>
      <c r="L240">
        <v>0</v>
      </c>
      <c r="M240" t="str">
        <f t="shared" si="3"/>
        <v>After 2020</v>
      </c>
    </row>
    <row r="241" spans="1:13" hidden="1">
      <c r="A241" t="s">
        <v>430</v>
      </c>
      <c r="B241" t="s">
        <v>61</v>
      </c>
      <c r="C241" s="1">
        <v>45225</v>
      </c>
      <c r="D241" s="2">
        <v>406821432</v>
      </c>
      <c r="E241" s="2">
        <v>20404</v>
      </c>
      <c r="G241" s="2">
        <v>23505530</v>
      </c>
      <c r="H241" s="2">
        <v>266969</v>
      </c>
      <c r="I241" s="2">
        <v>113073762</v>
      </c>
      <c r="J241">
        <v>38</v>
      </c>
      <c r="K241">
        <v>20</v>
      </c>
      <c r="L241">
        <v>0</v>
      </c>
      <c r="M241" t="str">
        <f t="shared" si="3"/>
        <v>After 2020</v>
      </c>
    </row>
    <row r="242" spans="1:13">
      <c r="A242" t="s">
        <v>431</v>
      </c>
      <c r="B242" t="s">
        <v>432</v>
      </c>
      <c r="C242" s="1">
        <v>44826</v>
      </c>
      <c r="D242" s="2">
        <v>665716137</v>
      </c>
      <c r="E242" s="2">
        <v>97057</v>
      </c>
      <c r="F242">
        <v>80</v>
      </c>
      <c r="G242" s="2">
        <v>358206246</v>
      </c>
      <c r="H242" s="2">
        <v>2896698</v>
      </c>
      <c r="I242" s="2">
        <v>2653383273</v>
      </c>
      <c r="J242">
        <v>33</v>
      </c>
      <c r="K242">
        <v>119</v>
      </c>
      <c r="L242">
        <v>0</v>
      </c>
      <c r="M242" t="str">
        <f t="shared" si="3"/>
        <v>After 2020</v>
      </c>
    </row>
    <row r="243" spans="1:13">
      <c r="A243" t="s">
        <v>433</v>
      </c>
      <c r="B243" t="s">
        <v>434</v>
      </c>
      <c r="C243" s="1">
        <v>44722</v>
      </c>
      <c r="D243" s="2">
        <v>1262308912</v>
      </c>
      <c r="E243" s="2">
        <v>234936</v>
      </c>
      <c r="F243">
        <v>74</v>
      </c>
      <c r="G243" s="2">
        <v>66246839</v>
      </c>
      <c r="H243" s="2">
        <v>2067331</v>
      </c>
      <c r="I243" s="2">
        <v>8988453878</v>
      </c>
      <c r="J243">
        <v>97</v>
      </c>
      <c r="K243">
        <v>620</v>
      </c>
      <c r="L243">
        <v>0</v>
      </c>
      <c r="M243" t="str">
        <f t="shared" si="3"/>
        <v>After 2020</v>
      </c>
    </row>
    <row r="244" spans="1:13">
      <c r="A244" t="s">
        <v>435</v>
      </c>
      <c r="B244" t="s">
        <v>66</v>
      </c>
      <c r="C244" s="1">
        <v>43786</v>
      </c>
      <c r="D244" s="2">
        <v>2708151499</v>
      </c>
      <c r="E244" s="2">
        <v>298135</v>
      </c>
      <c r="F244">
        <v>82</v>
      </c>
      <c r="G244" s="2">
        <v>872052223</v>
      </c>
      <c r="H244" s="2">
        <v>11269126</v>
      </c>
      <c r="I244" s="2">
        <v>2738127473</v>
      </c>
      <c r="J244">
        <v>554</v>
      </c>
      <c r="K244">
        <v>914</v>
      </c>
      <c r="L244">
        <v>0</v>
      </c>
      <c r="M244" t="str">
        <f t="shared" si="3"/>
        <v>2010-2020</v>
      </c>
    </row>
    <row r="245" spans="1:13" hidden="1">
      <c r="A245" t="s">
        <v>436</v>
      </c>
      <c r="B245" t="s">
        <v>195</v>
      </c>
      <c r="C245" s="1">
        <v>45374</v>
      </c>
      <c r="D245" s="2">
        <v>172164034</v>
      </c>
      <c r="E245" s="2">
        <v>5517</v>
      </c>
      <c r="F245">
        <v>82</v>
      </c>
      <c r="G245" s="2">
        <v>117450205</v>
      </c>
      <c r="H245" s="2">
        <v>1103003</v>
      </c>
      <c r="J245">
        <v>11</v>
      </c>
      <c r="L245">
        <v>0</v>
      </c>
      <c r="M245" t="str">
        <f t="shared" si="3"/>
        <v>After 2020</v>
      </c>
    </row>
    <row r="246" spans="1:13">
      <c r="A246" t="s">
        <v>437</v>
      </c>
      <c r="B246" t="s">
        <v>438</v>
      </c>
      <c r="C246" s="1">
        <v>45287</v>
      </c>
      <c r="D246" s="2">
        <v>298853393</v>
      </c>
      <c r="E246" s="2">
        <v>50137</v>
      </c>
      <c r="F246">
        <v>70</v>
      </c>
      <c r="G246" s="2">
        <v>112961806</v>
      </c>
      <c r="H246" s="2">
        <v>2336117</v>
      </c>
      <c r="I246" s="2">
        <v>928812348</v>
      </c>
      <c r="J246">
        <v>63</v>
      </c>
      <c r="K246">
        <v>6</v>
      </c>
      <c r="L246">
        <v>1</v>
      </c>
      <c r="M246" t="str">
        <f t="shared" si="3"/>
        <v>After 2020</v>
      </c>
    </row>
    <row r="247" spans="1:13">
      <c r="A247" t="s">
        <v>439</v>
      </c>
      <c r="B247" t="s">
        <v>141</v>
      </c>
      <c r="C247" s="1">
        <v>45064</v>
      </c>
      <c r="D247" s="2">
        <v>717849037</v>
      </c>
      <c r="E247" s="2">
        <v>98440</v>
      </c>
      <c r="F247">
        <v>72</v>
      </c>
      <c r="G247" s="2">
        <v>217687654</v>
      </c>
      <c r="H247" s="2">
        <v>1929598</v>
      </c>
      <c r="I247" s="2">
        <v>808518802</v>
      </c>
      <c r="J247">
        <v>126</v>
      </c>
      <c r="K247">
        <v>125</v>
      </c>
      <c r="L247">
        <v>1</v>
      </c>
      <c r="M247" t="str">
        <f t="shared" si="3"/>
        <v>After 2020</v>
      </c>
    </row>
    <row r="248" spans="1:13">
      <c r="A248" t="s">
        <v>440</v>
      </c>
      <c r="B248" t="s">
        <v>441</v>
      </c>
      <c r="C248" s="1">
        <v>44915</v>
      </c>
      <c r="D248" s="2">
        <v>837576264</v>
      </c>
      <c r="E248" s="2">
        <v>102545</v>
      </c>
      <c r="F248">
        <v>70</v>
      </c>
      <c r="G248" s="2">
        <v>472335529</v>
      </c>
      <c r="H248" s="2">
        <v>1511715</v>
      </c>
      <c r="I248" s="2">
        <v>631781362</v>
      </c>
      <c r="J248">
        <v>60</v>
      </c>
      <c r="K248">
        <v>29</v>
      </c>
      <c r="L248">
        <v>1</v>
      </c>
      <c r="M248" t="str">
        <f t="shared" si="3"/>
        <v>After 2020</v>
      </c>
    </row>
    <row r="249" spans="1:13">
      <c r="A249" t="s">
        <v>442</v>
      </c>
      <c r="B249" t="s">
        <v>161</v>
      </c>
      <c r="C249" s="1">
        <v>44456</v>
      </c>
      <c r="D249" s="2">
        <v>1062095453</v>
      </c>
      <c r="E249" s="2">
        <v>165197</v>
      </c>
      <c r="F249">
        <v>72</v>
      </c>
      <c r="G249" s="2">
        <v>194928107</v>
      </c>
      <c r="H249" s="2">
        <v>3281325</v>
      </c>
      <c r="I249" s="2">
        <v>3501946982</v>
      </c>
      <c r="J249">
        <v>156</v>
      </c>
      <c r="K249" s="2">
        <v>2344</v>
      </c>
      <c r="L249">
        <v>1</v>
      </c>
      <c r="M249" t="str">
        <f t="shared" si="3"/>
        <v>After 2020</v>
      </c>
    </row>
    <row r="250" spans="1:13">
      <c r="A250" t="s">
        <v>443</v>
      </c>
      <c r="B250" t="s">
        <v>444</v>
      </c>
      <c r="C250" s="1">
        <v>44336</v>
      </c>
      <c r="D250" s="2">
        <v>1339352060</v>
      </c>
      <c r="E250" s="2">
        <v>188874</v>
      </c>
      <c r="F250">
        <v>75</v>
      </c>
      <c r="G250" s="2">
        <v>873449363</v>
      </c>
      <c r="H250" s="2">
        <v>6108611</v>
      </c>
      <c r="I250" s="2">
        <v>4445597088</v>
      </c>
      <c r="J250">
        <v>208</v>
      </c>
      <c r="K250">
        <v>295</v>
      </c>
      <c r="L250">
        <v>1</v>
      </c>
      <c r="M250" t="str">
        <f t="shared" si="3"/>
        <v>After 2020</v>
      </c>
    </row>
    <row r="251" spans="1:13">
      <c r="A251" t="s">
        <v>445</v>
      </c>
      <c r="B251" t="s">
        <v>47</v>
      </c>
      <c r="C251" s="1">
        <v>45030</v>
      </c>
      <c r="D251" s="2">
        <v>503574147</v>
      </c>
      <c r="E251" s="2">
        <v>79679</v>
      </c>
      <c r="F251">
        <v>75</v>
      </c>
      <c r="G251" s="2">
        <v>90349145</v>
      </c>
      <c r="H251" s="2">
        <v>902237</v>
      </c>
      <c r="I251" s="2">
        <v>134469226</v>
      </c>
      <c r="J251">
        <v>94</v>
      </c>
      <c r="K251">
        <v>678</v>
      </c>
      <c r="L251">
        <v>1</v>
      </c>
      <c r="M251" t="str">
        <f t="shared" si="3"/>
        <v>After 2020</v>
      </c>
    </row>
    <row r="252" spans="1:13">
      <c r="A252" t="s">
        <v>446</v>
      </c>
      <c r="B252" t="s">
        <v>447</v>
      </c>
      <c r="C252" s="1">
        <v>42005</v>
      </c>
      <c r="D252" s="2">
        <v>1891920348</v>
      </c>
      <c r="E252" s="2">
        <v>159571</v>
      </c>
      <c r="F252">
        <v>78</v>
      </c>
      <c r="G252" s="2">
        <v>6335989683</v>
      </c>
      <c r="H252" s="2">
        <v>43663933</v>
      </c>
      <c r="I252" s="2">
        <v>3455170110</v>
      </c>
      <c r="J252">
        <v>137</v>
      </c>
      <c r="K252">
        <v>5</v>
      </c>
      <c r="L252">
        <v>0</v>
      </c>
      <c r="M252" t="str">
        <f t="shared" si="3"/>
        <v>2010-2020</v>
      </c>
    </row>
    <row r="253" spans="1:13">
      <c r="A253" t="s">
        <v>448</v>
      </c>
      <c r="B253" t="s">
        <v>449</v>
      </c>
      <c r="C253" s="1">
        <v>43355</v>
      </c>
      <c r="D253" s="2">
        <v>1486929795</v>
      </c>
      <c r="E253" s="2">
        <v>266128</v>
      </c>
      <c r="F253">
        <v>76</v>
      </c>
      <c r="G253" s="2">
        <v>637733433</v>
      </c>
      <c r="H253" s="2">
        <v>4719266</v>
      </c>
      <c r="I253" s="2">
        <v>523849646</v>
      </c>
      <c r="J253">
        <v>147</v>
      </c>
      <c r="K253">
        <v>581</v>
      </c>
      <c r="L253">
        <v>1</v>
      </c>
      <c r="M253" t="str">
        <f t="shared" si="3"/>
        <v>2010-2020</v>
      </c>
    </row>
    <row r="254" spans="1:13" hidden="1">
      <c r="A254" t="s">
        <v>450</v>
      </c>
      <c r="B254" t="s">
        <v>451</v>
      </c>
      <c r="C254" s="1">
        <v>45446</v>
      </c>
      <c r="D254" s="2">
        <v>1534062</v>
      </c>
      <c r="E254">
        <v>193</v>
      </c>
      <c r="G254" s="2">
        <v>28023956</v>
      </c>
      <c r="H254" s="2">
        <v>185464</v>
      </c>
      <c r="J254">
        <v>5</v>
      </c>
      <c r="L254">
        <v>0</v>
      </c>
      <c r="M254" t="str">
        <f t="shared" si="3"/>
        <v>After 2020</v>
      </c>
    </row>
    <row r="255" spans="1:13">
      <c r="A255" t="s">
        <v>452</v>
      </c>
      <c r="B255" t="s">
        <v>453</v>
      </c>
      <c r="C255" s="1">
        <v>40867</v>
      </c>
      <c r="D255" s="2">
        <v>1993030264</v>
      </c>
      <c r="E255" s="2">
        <v>256764</v>
      </c>
      <c r="F255">
        <v>77</v>
      </c>
      <c r="G255" s="2">
        <v>5644117304</v>
      </c>
      <c r="H255" s="2">
        <v>24960395</v>
      </c>
      <c r="I255" s="2">
        <v>1268235679</v>
      </c>
      <c r="J255">
        <v>507</v>
      </c>
      <c r="K255">
        <v>366</v>
      </c>
      <c r="L255">
        <v>1</v>
      </c>
      <c r="M255" t="str">
        <f t="shared" si="3"/>
        <v>2010-2020</v>
      </c>
    </row>
    <row r="256" spans="1:13" hidden="1">
      <c r="A256" t="s">
        <v>454</v>
      </c>
      <c r="B256" t="s">
        <v>455</v>
      </c>
      <c r="C256" s="1">
        <v>44987</v>
      </c>
      <c r="E256">
        <v>44</v>
      </c>
      <c r="F256">
        <v>3</v>
      </c>
      <c r="G256" s="2">
        <v>1131058312</v>
      </c>
      <c r="H256" s="2">
        <v>2367298</v>
      </c>
      <c r="L256">
        <v>0</v>
      </c>
      <c r="M256" t="str">
        <f t="shared" si="3"/>
        <v>After 2020</v>
      </c>
    </row>
    <row r="257" spans="1:13">
      <c r="A257" t="s">
        <v>456</v>
      </c>
      <c r="B257" t="s">
        <v>457</v>
      </c>
      <c r="C257" s="1">
        <v>43707</v>
      </c>
      <c r="D257" s="2">
        <v>853451422</v>
      </c>
      <c r="E257" s="2">
        <v>172458</v>
      </c>
      <c r="F257">
        <v>71</v>
      </c>
      <c r="G257" s="2">
        <v>1132006963</v>
      </c>
      <c r="H257" s="2">
        <v>25943716</v>
      </c>
      <c r="I257" s="2">
        <v>23933379729</v>
      </c>
      <c r="J257">
        <v>77</v>
      </c>
      <c r="K257" s="2">
        <v>2726</v>
      </c>
      <c r="L257">
        <v>1</v>
      </c>
      <c r="M257" t="str">
        <f t="shared" si="3"/>
        <v>2010-2020</v>
      </c>
    </row>
    <row r="258" spans="1:13" hidden="1">
      <c r="A258" t="s">
        <v>458</v>
      </c>
      <c r="B258" t="s">
        <v>459</v>
      </c>
      <c r="C258" s="1">
        <v>42916</v>
      </c>
      <c r="D258" s="2">
        <v>1478442472</v>
      </c>
      <c r="E258" s="2">
        <v>189504</v>
      </c>
      <c r="F258">
        <v>69</v>
      </c>
      <c r="G258" s="2">
        <v>3859031931</v>
      </c>
      <c r="H258" s="2">
        <v>22147063</v>
      </c>
      <c r="I258" s="2">
        <v>1018060369</v>
      </c>
      <c r="J258">
        <v>291</v>
      </c>
      <c r="L258">
        <v>0</v>
      </c>
      <c r="M258" t="str">
        <f t="shared" si="3"/>
        <v>2010-2020</v>
      </c>
    </row>
    <row r="259" spans="1:13">
      <c r="A259" t="s">
        <v>460</v>
      </c>
      <c r="B259" t="s">
        <v>66</v>
      </c>
      <c r="C259" s="1">
        <v>44701</v>
      </c>
      <c r="D259" s="2">
        <v>959639297</v>
      </c>
      <c r="E259" s="2">
        <v>108806</v>
      </c>
      <c r="F259">
        <v>76</v>
      </c>
      <c r="G259" s="2">
        <v>151113156</v>
      </c>
      <c r="H259" s="2">
        <v>2809492</v>
      </c>
      <c r="I259" s="2">
        <v>580526441</v>
      </c>
      <c r="J259">
        <v>153</v>
      </c>
      <c r="K259" s="2">
        <v>2290</v>
      </c>
      <c r="L259">
        <v>0</v>
      </c>
      <c r="M259" t="str">
        <f t="shared" ref="M259:M322" si="4">IF(YEAR(C259)&lt;2010,"Before 2010",IF(YEAR(C259)&lt;=2020,"2010-2020","After 2020"))</f>
        <v>After 2020</v>
      </c>
    </row>
    <row r="260" spans="1:13">
      <c r="A260" t="s">
        <v>461</v>
      </c>
      <c r="B260" t="s">
        <v>462</v>
      </c>
      <c r="C260" s="1">
        <v>44778</v>
      </c>
      <c r="D260" s="2">
        <v>631378937</v>
      </c>
      <c r="E260" s="2">
        <v>165883</v>
      </c>
      <c r="F260">
        <v>51</v>
      </c>
      <c r="G260" s="2">
        <v>32628348</v>
      </c>
      <c r="H260" s="2">
        <v>615240</v>
      </c>
      <c r="I260" s="2">
        <v>5776425361</v>
      </c>
      <c r="J260">
        <v>75</v>
      </c>
      <c r="K260">
        <v>1</v>
      </c>
      <c r="L260">
        <v>1</v>
      </c>
      <c r="M260" t="str">
        <f t="shared" si="4"/>
        <v>After 2020</v>
      </c>
    </row>
    <row r="261" spans="1:13">
      <c r="A261" t="s">
        <v>463</v>
      </c>
      <c r="B261" t="s">
        <v>464</v>
      </c>
      <c r="C261" s="1">
        <v>44840</v>
      </c>
      <c r="D261" s="2">
        <v>69931412</v>
      </c>
      <c r="E261" s="2">
        <v>13220</v>
      </c>
      <c r="F261">
        <v>61</v>
      </c>
      <c r="G261" s="2">
        <v>63786141</v>
      </c>
      <c r="H261" s="2">
        <v>759332</v>
      </c>
      <c r="I261" s="2">
        <v>6778569349</v>
      </c>
      <c r="J261">
        <v>4</v>
      </c>
      <c r="K261">
        <v>29</v>
      </c>
      <c r="L261">
        <v>0</v>
      </c>
      <c r="M261" t="str">
        <f t="shared" si="4"/>
        <v>After 2020</v>
      </c>
    </row>
    <row r="262" spans="1:13" hidden="1">
      <c r="A262" t="s">
        <v>465</v>
      </c>
      <c r="B262" t="s">
        <v>466</v>
      </c>
      <c r="C262" s="1">
        <v>44124</v>
      </c>
      <c r="D262" s="2">
        <v>2300838</v>
      </c>
      <c r="E262">
        <v>543</v>
      </c>
      <c r="F262">
        <v>35</v>
      </c>
      <c r="G262" s="2">
        <v>3060919074</v>
      </c>
      <c r="H262" s="2">
        <v>6319360</v>
      </c>
      <c r="I262" s="2">
        <v>4527607</v>
      </c>
      <c r="L262">
        <v>0</v>
      </c>
      <c r="M262" t="str">
        <f t="shared" si="4"/>
        <v>2010-2020</v>
      </c>
    </row>
    <row r="263" spans="1:13">
      <c r="A263" t="s">
        <v>467</v>
      </c>
      <c r="B263" t="s">
        <v>141</v>
      </c>
      <c r="C263" s="1">
        <v>43831</v>
      </c>
      <c r="D263" s="2">
        <v>1977947460</v>
      </c>
      <c r="E263" s="2">
        <v>245685</v>
      </c>
      <c r="F263">
        <v>72</v>
      </c>
      <c r="G263" s="2">
        <v>1861597184</v>
      </c>
      <c r="H263" s="2">
        <v>10999677</v>
      </c>
      <c r="I263" s="2">
        <v>21573356</v>
      </c>
      <c r="J263">
        <v>265</v>
      </c>
      <c r="K263">
        <v>241</v>
      </c>
      <c r="L263">
        <v>1</v>
      </c>
      <c r="M263" t="str">
        <f t="shared" si="4"/>
        <v>2010-2020</v>
      </c>
    </row>
    <row r="264" spans="1:13">
      <c r="A264" t="s">
        <v>468</v>
      </c>
      <c r="B264" t="s">
        <v>127</v>
      </c>
      <c r="C264" s="1">
        <v>42635</v>
      </c>
      <c r="D264" s="2">
        <v>3291262413</v>
      </c>
      <c r="E264" s="2">
        <v>366133</v>
      </c>
      <c r="F264">
        <v>84</v>
      </c>
      <c r="G264" s="2">
        <v>2829990867</v>
      </c>
      <c r="H264" s="2">
        <v>14968547</v>
      </c>
      <c r="I264" s="2">
        <v>375498232</v>
      </c>
      <c r="J264">
        <v>341</v>
      </c>
      <c r="K264">
        <v>148</v>
      </c>
      <c r="L264">
        <v>1</v>
      </c>
      <c r="M264" t="str">
        <f t="shared" si="4"/>
        <v>2010-2020</v>
      </c>
    </row>
    <row r="265" spans="1:13">
      <c r="A265" t="s">
        <v>469</v>
      </c>
      <c r="B265" t="s">
        <v>285</v>
      </c>
      <c r="C265" s="1">
        <v>42300</v>
      </c>
      <c r="D265" s="2">
        <v>2089476497</v>
      </c>
      <c r="E265" s="2">
        <v>179545</v>
      </c>
      <c r="F265">
        <v>78</v>
      </c>
      <c r="G265" s="2">
        <v>4467507940</v>
      </c>
      <c r="H265" s="2">
        <v>22464625</v>
      </c>
      <c r="I265" s="2">
        <v>376376728</v>
      </c>
      <c r="J265">
        <v>401</v>
      </c>
      <c r="K265">
        <v>402</v>
      </c>
      <c r="L265">
        <v>0</v>
      </c>
      <c r="M265" t="str">
        <f t="shared" si="4"/>
        <v>2010-2020</v>
      </c>
    </row>
    <row r="266" spans="1:13">
      <c r="A266" t="s">
        <v>470</v>
      </c>
      <c r="B266" t="s">
        <v>471</v>
      </c>
      <c r="C266" s="1">
        <v>44239</v>
      </c>
      <c r="D266" s="2">
        <v>777064903</v>
      </c>
      <c r="E266" s="2">
        <v>213153</v>
      </c>
      <c r="F266">
        <v>71</v>
      </c>
      <c r="G266" s="2">
        <v>482028631</v>
      </c>
      <c r="H266" s="2">
        <v>5431785</v>
      </c>
      <c r="I266" s="2">
        <v>1411545704</v>
      </c>
      <c r="J266">
        <v>118</v>
      </c>
      <c r="K266">
        <v>117</v>
      </c>
      <c r="L266">
        <v>1</v>
      </c>
      <c r="M266" t="str">
        <f t="shared" si="4"/>
        <v>After 2020</v>
      </c>
    </row>
    <row r="267" spans="1:13">
      <c r="A267" t="s">
        <v>472</v>
      </c>
      <c r="B267" t="s">
        <v>391</v>
      </c>
      <c r="C267" s="1">
        <v>44792</v>
      </c>
      <c r="D267" s="2">
        <v>736469450</v>
      </c>
      <c r="E267" s="2">
        <v>48251</v>
      </c>
      <c r="F267">
        <v>68</v>
      </c>
      <c r="G267" s="2">
        <v>868589823</v>
      </c>
      <c r="H267" s="2">
        <v>16834955</v>
      </c>
      <c r="I267" s="2">
        <v>5828265172</v>
      </c>
      <c r="J267">
        <v>43</v>
      </c>
      <c r="K267">
        <v>406</v>
      </c>
      <c r="L267">
        <v>0</v>
      </c>
      <c r="M267" t="str">
        <f t="shared" si="4"/>
        <v>After 2020</v>
      </c>
    </row>
    <row r="268" spans="1:13">
      <c r="A268" t="s">
        <v>473</v>
      </c>
      <c r="B268" t="s">
        <v>61</v>
      </c>
      <c r="C268" s="1">
        <v>45400</v>
      </c>
      <c r="D268" s="2">
        <v>250430303</v>
      </c>
      <c r="E268" s="2">
        <v>7079</v>
      </c>
      <c r="F268">
        <v>84</v>
      </c>
      <c r="G268" s="2">
        <v>16747466</v>
      </c>
      <c r="H268" s="2">
        <v>251549</v>
      </c>
      <c r="I268" s="2">
        <v>411722900</v>
      </c>
      <c r="J268">
        <v>72</v>
      </c>
      <c r="K268">
        <v>2</v>
      </c>
      <c r="L268">
        <v>1</v>
      </c>
      <c r="M268" t="str">
        <f t="shared" si="4"/>
        <v>After 2020</v>
      </c>
    </row>
    <row r="269" spans="1:13">
      <c r="A269" t="s">
        <v>474</v>
      </c>
      <c r="B269" t="s">
        <v>475</v>
      </c>
      <c r="C269" s="1">
        <v>43505</v>
      </c>
      <c r="D269" s="2">
        <v>1656385770</v>
      </c>
      <c r="E269" s="2">
        <v>283938</v>
      </c>
      <c r="F269">
        <v>74</v>
      </c>
      <c r="G269" s="2">
        <v>1135382823</v>
      </c>
      <c r="H269" s="2">
        <v>15066754</v>
      </c>
      <c r="I269" s="2">
        <v>5007036875</v>
      </c>
      <c r="J269">
        <v>219</v>
      </c>
      <c r="K269">
        <v>305</v>
      </c>
      <c r="L269">
        <v>0</v>
      </c>
      <c r="M269" t="str">
        <f t="shared" si="4"/>
        <v>2010-2020</v>
      </c>
    </row>
    <row r="270" spans="1:13">
      <c r="A270" t="s">
        <v>476</v>
      </c>
      <c r="B270" t="s">
        <v>129</v>
      </c>
      <c r="C270" s="1">
        <v>44897</v>
      </c>
      <c r="D270" s="2">
        <v>682837690</v>
      </c>
      <c r="E270" s="2">
        <v>155771</v>
      </c>
      <c r="F270">
        <v>80</v>
      </c>
      <c r="G270" s="2">
        <v>191823612</v>
      </c>
      <c r="H270" s="2">
        <v>1853827</v>
      </c>
      <c r="I270" s="2">
        <v>185584934</v>
      </c>
      <c r="J270">
        <v>56</v>
      </c>
      <c r="K270">
        <v>48</v>
      </c>
      <c r="L270">
        <v>1</v>
      </c>
      <c r="M270" t="str">
        <f t="shared" si="4"/>
        <v>After 2020</v>
      </c>
    </row>
    <row r="271" spans="1:13">
      <c r="A271" t="s">
        <v>477</v>
      </c>
      <c r="B271" t="s">
        <v>236</v>
      </c>
      <c r="C271" s="1">
        <v>45134</v>
      </c>
      <c r="D271" s="2">
        <v>347647880</v>
      </c>
      <c r="E271" s="2">
        <v>106908</v>
      </c>
      <c r="F271">
        <v>74</v>
      </c>
      <c r="G271" s="2">
        <v>30685665</v>
      </c>
      <c r="H271" s="2">
        <v>405870</v>
      </c>
      <c r="I271" s="2">
        <v>53065653</v>
      </c>
      <c r="J271">
        <v>57</v>
      </c>
      <c r="K271">
        <v>13</v>
      </c>
      <c r="L271">
        <v>1</v>
      </c>
      <c r="M271" t="str">
        <f t="shared" si="4"/>
        <v>After 2020</v>
      </c>
    </row>
    <row r="272" spans="1:13" hidden="1">
      <c r="A272" t="s">
        <v>478</v>
      </c>
      <c r="B272" t="s">
        <v>479</v>
      </c>
      <c r="C272" s="1">
        <v>45188</v>
      </c>
      <c r="G272" s="2">
        <v>4534591</v>
      </c>
      <c r="H272" s="2">
        <v>47967</v>
      </c>
      <c r="L272">
        <v>0</v>
      </c>
      <c r="M272" t="str">
        <f t="shared" si="4"/>
        <v>After 2020</v>
      </c>
    </row>
    <row r="273" spans="1:13">
      <c r="A273" t="s">
        <v>480</v>
      </c>
      <c r="B273" t="s">
        <v>141</v>
      </c>
      <c r="C273" s="1">
        <v>44687</v>
      </c>
      <c r="D273" s="2">
        <v>1108031580</v>
      </c>
      <c r="E273" s="2">
        <v>121256</v>
      </c>
      <c r="F273">
        <v>77</v>
      </c>
      <c r="G273" s="2">
        <v>765780154</v>
      </c>
      <c r="H273" s="2">
        <v>4700638</v>
      </c>
      <c r="I273" s="2">
        <v>940630746</v>
      </c>
      <c r="J273">
        <v>104</v>
      </c>
      <c r="K273">
        <v>113</v>
      </c>
      <c r="L273">
        <v>1</v>
      </c>
      <c r="M273" t="str">
        <f t="shared" si="4"/>
        <v>After 2020</v>
      </c>
    </row>
    <row r="274" spans="1:13" hidden="1">
      <c r="A274" t="s">
        <v>481</v>
      </c>
      <c r="B274" t="s">
        <v>324</v>
      </c>
      <c r="C274" s="1">
        <v>42788</v>
      </c>
      <c r="D274" s="2">
        <v>2596644721</v>
      </c>
      <c r="E274" s="2">
        <v>278237</v>
      </c>
      <c r="F274">
        <v>82</v>
      </c>
      <c r="G274" s="2">
        <v>2822804239</v>
      </c>
      <c r="H274" s="2">
        <v>15242846</v>
      </c>
      <c r="I274" s="2">
        <v>631258708</v>
      </c>
      <c r="J274">
        <v>315</v>
      </c>
      <c r="L274">
        <v>0</v>
      </c>
      <c r="M274" t="str">
        <f t="shared" si="4"/>
        <v>2010-2020</v>
      </c>
    </row>
    <row r="275" spans="1:13">
      <c r="A275" t="s">
        <v>482</v>
      </c>
      <c r="B275" t="s">
        <v>81</v>
      </c>
      <c r="C275" s="1">
        <v>43483</v>
      </c>
      <c r="D275" s="2">
        <v>2262490403</v>
      </c>
      <c r="E275" s="2">
        <v>179865</v>
      </c>
      <c r="F275">
        <v>77</v>
      </c>
      <c r="G275" s="2">
        <v>1903198886</v>
      </c>
      <c r="H275" s="2">
        <v>22206277</v>
      </c>
      <c r="I275" s="2">
        <v>2620954252</v>
      </c>
      <c r="J275">
        <v>220</v>
      </c>
      <c r="K275">
        <v>945</v>
      </c>
      <c r="L275">
        <v>1</v>
      </c>
      <c r="M275" t="str">
        <f t="shared" si="4"/>
        <v>2010-2020</v>
      </c>
    </row>
    <row r="276" spans="1:13">
      <c r="A276" t="s">
        <v>483</v>
      </c>
      <c r="B276" t="s">
        <v>484</v>
      </c>
      <c r="C276" s="1">
        <v>44981</v>
      </c>
      <c r="D276" s="2">
        <v>701558859</v>
      </c>
      <c r="E276" s="2">
        <v>110539</v>
      </c>
      <c r="F276">
        <v>74</v>
      </c>
      <c r="G276" s="2">
        <v>209195939</v>
      </c>
      <c r="H276" s="2">
        <v>2284142</v>
      </c>
      <c r="I276" s="2">
        <v>1114531877</v>
      </c>
      <c r="J276">
        <v>67</v>
      </c>
      <c r="K276">
        <v>126</v>
      </c>
      <c r="L276">
        <v>0</v>
      </c>
      <c r="M276" t="str">
        <f t="shared" si="4"/>
        <v>After 2020</v>
      </c>
    </row>
    <row r="277" spans="1:13">
      <c r="A277" t="s">
        <v>485</v>
      </c>
      <c r="B277" t="s">
        <v>165</v>
      </c>
      <c r="C277" s="1">
        <v>43993</v>
      </c>
      <c r="D277" s="2">
        <v>1118038333</v>
      </c>
      <c r="E277" s="2">
        <v>142905</v>
      </c>
      <c r="F277">
        <v>67</v>
      </c>
      <c r="G277" s="2">
        <v>481447573</v>
      </c>
      <c r="H277" s="2">
        <v>3636839</v>
      </c>
      <c r="I277" s="2">
        <v>4530095073</v>
      </c>
      <c r="J277">
        <v>198</v>
      </c>
      <c r="K277">
        <v>200</v>
      </c>
      <c r="L277">
        <v>1</v>
      </c>
      <c r="M277" t="str">
        <f t="shared" si="4"/>
        <v>2010-2020</v>
      </c>
    </row>
    <row r="278" spans="1:13" hidden="1">
      <c r="A278" t="s">
        <v>486</v>
      </c>
      <c r="B278" t="s">
        <v>487</v>
      </c>
      <c r="C278" s="1">
        <v>45373</v>
      </c>
      <c r="D278" s="2">
        <v>58157068</v>
      </c>
      <c r="E278">
        <v>30</v>
      </c>
      <c r="J278">
        <v>1</v>
      </c>
      <c r="L278">
        <v>0</v>
      </c>
      <c r="M278" t="str">
        <f t="shared" si="4"/>
        <v>After 2020</v>
      </c>
    </row>
    <row r="279" spans="1:13">
      <c r="A279" t="s">
        <v>488</v>
      </c>
      <c r="B279" t="s">
        <v>295</v>
      </c>
      <c r="C279" s="1">
        <v>43120</v>
      </c>
      <c r="D279" s="2">
        <v>2529948475</v>
      </c>
      <c r="E279" s="2">
        <v>313741</v>
      </c>
      <c r="F279">
        <v>77</v>
      </c>
      <c r="G279" s="2">
        <v>2040639375</v>
      </c>
      <c r="H279" s="2">
        <v>19912225</v>
      </c>
      <c r="I279" s="2">
        <v>634177218</v>
      </c>
      <c r="J279">
        <v>226</v>
      </c>
      <c r="K279">
        <v>442</v>
      </c>
      <c r="L279">
        <v>1</v>
      </c>
      <c r="M279" t="str">
        <f t="shared" si="4"/>
        <v>2010-2020</v>
      </c>
    </row>
    <row r="280" spans="1:13">
      <c r="A280" t="s">
        <v>489</v>
      </c>
      <c r="B280" t="s">
        <v>490</v>
      </c>
      <c r="C280" s="1">
        <v>44526</v>
      </c>
      <c r="D280" s="2">
        <v>879708559</v>
      </c>
      <c r="E280" s="2">
        <v>44652</v>
      </c>
      <c r="F280">
        <v>12</v>
      </c>
      <c r="G280" s="2">
        <v>74610328</v>
      </c>
      <c r="H280" s="2">
        <v>807333</v>
      </c>
      <c r="I280" s="2">
        <v>22086963233</v>
      </c>
      <c r="J280">
        <v>2</v>
      </c>
      <c r="K280" s="2">
        <v>1073</v>
      </c>
      <c r="L280">
        <v>0</v>
      </c>
      <c r="M280" t="str">
        <f t="shared" si="4"/>
        <v>After 2020</v>
      </c>
    </row>
    <row r="281" spans="1:13">
      <c r="A281" t="s">
        <v>491</v>
      </c>
      <c r="B281" t="s">
        <v>195</v>
      </c>
      <c r="C281" s="1">
        <v>45157</v>
      </c>
      <c r="D281" s="2">
        <v>521116293</v>
      </c>
      <c r="E281" s="2">
        <v>24734</v>
      </c>
      <c r="F281">
        <v>81</v>
      </c>
      <c r="G281" s="2">
        <v>427625497</v>
      </c>
      <c r="H281" s="2">
        <v>2560068</v>
      </c>
      <c r="I281" s="2">
        <v>107781205</v>
      </c>
      <c r="J281">
        <v>18</v>
      </c>
      <c r="K281">
        <v>82</v>
      </c>
      <c r="L281">
        <v>1</v>
      </c>
      <c r="M281" t="str">
        <f t="shared" si="4"/>
        <v>After 2020</v>
      </c>
    </row>
    <row r="282" spans="1:13" hidden="1">
      <c r="A282" t="s">
        <v>492</v>
      </c>
      <c r="B282" t="s">
        <v>236</v>
      </c>
      <c r="C282" s="1">
        <v>45135</v>
      </c>
      <c r="D282" s="2">
        <v>403132906</v>
      </c>
      <c r="E282" s="2">
        <v>103255</v>
      </c>
      <c r="F282">
        <v>78</v>
      </c>
      <c r="G282" s="2">
        <v>42319491</v>
      </c>
      <c r="H282" s="2">
        <v>564712</v>
      </c>
      <c r="I282" s="2">
        <v>139973656</v>
      </c>
      <c r="J282">
        <v>37</v>
      </c>
      <c r="L282">
        <v>1</v>
      </c>
      <c r="M282" t="str">
        <f t="shared" si="4"/>
        <v>After 2020</v>
      </c>
    </row>
    <row r="283" spans="1:13" hidden="1">
      <c r="A283" t="s">
        <v>493</v>
      </c>
      <c r="B283" t="s">
        <v>494</v>
      </c>
      <c r="C283" s="1">
        <v>45443</v>
      </c>
      <c r="D283" s="2">
        <v>10135326</v>
      </c>
      <c r="E283">
        <v>678</v>
      </c>
      <c r="F283">
        <v>31</v>
      </c>
      <c r="G283" s="2">
        <v>29271837</v>
      </c>
      <c r="H283" s="2">
        <v>586888</v>
      </c>
      <c r="J283">
        <v>13</v>
      </c>
      <c r="L283">
        <v>0</v>
      </c>
      <c r="M283" t="str">
        <f t="shared" si="4"/>
        <v>After 2020</v>
      </c>
    </row>
    <row r="284" spans="1:13">
      <c r="A284" t="s">
        <v>495</v>
      </c>
      <c r="B284" t="s">
        <v>116</v>
      </c>
      <c r="C284" s="1">
        <v>42842</v>
      </c>
      <c r="D284" s="2">
        <v>1713294983</v>
      </c>
      <c r="E284" s="2">
        <v>134700</v>
      </c>
      <c r="F284">
        <v>65</v>
      </c>
      <c r="G284" s="2">
        <v>2920155266</v>
      </c>
      <c r="H284" s="2">
        <v>17308189</v>
      </c>
      <c r="I284" s="2">
        <v>607999568</v>
      </c>
      <c r="J284">
        <v>268</v>
      </c>
      <c r="K284">
        <v>57</v>
      </c>
      <c r="L284">
        <v>0</v>
      </c>
      <c r="M284" t="str">
        <f t="shared" si="4"/>
        <v>2010-2020</v>
      </c>
    </row>
    <row r="285" spans="1:13">
      <c r="A285" t="s">
        <v>496</v>
      </c>
      <c r="B285" t="s">
        <v>285</v>
      </c>
      <c r="C285" s="1">
        <v>44274</v>
      </c>
      <c r="D285" s="2">
        <v>1586830204</v>
      </c>
      <c r="E285" s="2">
        <v>151923</v>
      </c>
      <c r="F285">
        <v>80</v>
      </c>
      <c r="G285" s="2">
        <v>476319277</v>
      </c>
      <c r="H285" s="2">
        <v>4622504</v>
      </c>
      <c r="I285" s="2">
        <v>1180485094</v>
      </c>
      <c r="J285">
        <v>119</v>
      </c>
      <c r="K285" s="2">
        <v>3180</v>
      </c>
      <c r="L285">
        <v>0</v>
      </c>
      <c r="M285" t="str">
        <f t="shared" si="4"/>
        <v>After 2020</v>
      </c>
    </row>
    <row r="286" spans="1:13">
      <c r="A286" t="s">
        <v>497</v>
      </c>
      <c r="B286" t="s">
        <v>355</v>
      </c>
      <c r="C286" s="1">
        <v>43672</v>
      </c>
      <c r="D286" s="2">
        <v>1070422470</v>
      </c>
      <c r="E286" s="2">
        <v>294539</v>
      </c>
      <c r="F286">
        <v>72</v>
      </c>
      <c r="G286" s="2">
        <v>909072115</v>
      </c>
      <c r="H286" s="2">
        <v>7522969</v>
      </c>
      <c r="I286" s="2">
        <v>1077344517</v>
      </c>
      <c r="J286">
        <v>132</v>
      </c>
      <c r="K286">
        <v>53</v>
      </c>
      <c r="L286">
        <v>1</v>
      </c>
      <c r="M286" t="str">
        <f t="shared" si="4"/>
        <v>2010-2020</v>
      </c>
    </row>
    <row r="287" spans="1:13" hidden="1">
      <c r="A287" t="s">
        <v>498</v>
      </c>
      <c r="B287" t="s">
        <v>79</v>
      </c>
      <c r="C287" s="1">
        <v>44834</v>
      </c>
      <c r="D287" s="2">
        <v>720822868</v>
      </c>
      <c r="E287">
        <v>13</v>
      </c>
      <c r="F287">
        <v>17</v>
      </c>
      <c r="L287">
        <v>0</v>
      </c>
      <c r="M287" t="str">
        <f t="shared" si="4"/>
        <v>After 2020</v>
      </c>
    </row>
    <row r="288" spans="1:13" hidden="1">
      <c r="A288" t="s">
        <v>499</v>
      </c>
      <c r="B288" t="s">
        <v>500</v>
      </c>
      <c r="C288" s="1">
        <v>45407</v>
      </c>
      <c r="D288" s="2">
        <v>858979483</v>
      </c>
      <c r="E288">
        <v>1</v>
      </c>
      <c r="L288">
        <v>0</v>
      </c>
      <c r="M288" t="str">
        <f t="shared" si="4"/>
        <v>After 2020</v>
      </c>
    </row>
    <row r="289" spans="1:13">
      <c r="A289" t="s">
        <v>501</v>
      </c>
      <c r="B289" t="s">
        <v>502</v>
      </c>
      <c r="C289" s="1">
        <v>44582</v>
      </c>
      <c r="D289" s="2">
        <v>839405565</v>
      </c>
      <c r="E289" s="2">
        <v>107431</v>
      </c>
      <c r="F289">
        <v>75</v>
      </c>
      <c r="G289" s="2">
        <v>662287768</v>
      </c>
      <c r="H289" s="2">
        <v>4695932</v>
      </c>
      <c r="I289" s="2">
        <v>4817726878</v>
      </c>
      <c r="J289">
        <v>41</v>
      </c>
      <c r="K289">
        <v>601</v>
      </c>
      <c r="L289">
        <v>1</v>
      </c>
      <c r="M289" t="str">
        <f t="shared" si="4"/>
        <v>After 2020</v>
      </c>
    </row>
    <row r="290" spans="1:13">
      <c r="A290" t="s">
        <v>503</v>
      </c>
      <c r="B290" t="s">
        <v>504</v>
      </c>
      <c r="C290" s="1">
        <v>43161</v>
      </c>
      <c r="D290" s="2">
        <v>2218531106</v>
      </c>
      <c r="E290" s="2">
        <v>263801</v>
      </c>
      <c r="F290">
        <v>75</v>
      </c>
      <c r="G290" s="2">
        <v>1800863873</v>
      </c>
      <c r="H290" s="2">
        <v>26301389</v>
      </c>
      <c r="I290" s="2">
        <v>435340082</v>
      </c>
      <c r="J290">
        <v>77</v>
      </c>
      <c r="K290">
        <v>107</v>
      </c>
      <c r="L290">
        <v>1</v>
      </c>
      <c r="M290" t="str">
        <f t="shared" si="4"/>
        <v>2010-2020</v>
      </c>
    </row>
    <row r="291" spans="1:13">
      <c r="A291" t="s">
        <v>505</v>
      </c>
      <c r="B291" t="s">
        <v>506</v>
      </c>
      <c r="C291" s="1">
        <v>45036</v>
      </c>
      <c r="D291" s="2">
        <v>598006591</v>
      </c>
      <c r="E291" s="2">
        <v>35842</v>
      </c>
      <c r="F291">
        <v>80</v>
      </c>
      <c r="G291" s="2">
        <v>415255950</v>
      </c>
      <c r="H291" s="2">
        <v>1480134</v>
      </c>
      <c r="I291" s="2">
        <v>1108602382</v>
      </c>
      <c r="J291">
        <v>32</v>
      </c>
      <c r="K291">
        <v>172</v>
      </c>
      <c r="L291">
        <v>0</v>
      </c>
      <c r="M291" t="str">
        <f t="shared" si="4"/>
        <v>After 2020</v>
      </c>
    </row>
    <row r="292" spans="1:13">
      <c r="A292" t="s">
        <v>507</v>
      </c>
      <c r="B292" t="s">
        <v>141</v>
      </c>
      <c r="C292" s="1">
        <v>44687</v>
      </c>
      <c r="D292" s="2">
        <v>1293773697</v>
      </c>
      <c r="E292" s="2">
        <v>115332</v>
      </c>
      <c r="F292">
        <v>77</v>
      </c>
      <c r="G292" s="2">
        <v>501908214</v>
      </c>
      <c r="H292" s="2">
        <v>2730759</v>
      </c>
      <c r="I292" s="2">
        <v>6046489956</v>
      </c>
      <c r="J292">
        <v>50</v>
      </c>
      <c r="K292">
        <v>48</v>
      </c>
      <c r="L292">
        <v>1</v>
      </c>
      <c r="M292" t="str">
        <f t="shared" si="4"/>
        <v>After 2020</v>
      </c>
    </row>
    <row r="293" spans="1:13" hidden="1">
      <c r="A293" t="s">
        <v>508</v>
      </c>
      <c r="B293" t="s">
        <v>509</v>
      </c>
      <c r="C293" s="1">
        <v>43213</v>
      </c>
      <c r="E293">
        <v>273</v>
      </c>
      <c r="G293" s="2">
        <v>5004189392</v>
      </c>
      <c r="H293" s="2">
        <v>20218394</v>
      </c>
      <c r="L293">
        <v>0</v>
      </c>
      <c r="M293" t="str">
        <f t="shared" si="4"/>
        <v>2010-2020</v>
      </c>
    </row>
    <row r="294" spans="1:13" hidden="1">
      <c r="A294" t="s">
        <v>510</v>
      </c>
      <c r="B294" t="s">
        <v>511</v>
      </c>
      <c r="C294" s="1">
        <v>45239</v>
      </c>
      <c r="D294" s="2">
        <v>95536146</v>
      </c>
      <c r="E294" s="2">
        <v>8900</v>
      </c>
      <c r="G294" s="2">
        <v>143810663</v>
      </c>
      <c r="H294" s="2">
        <v>1507763</v>
      </c>
      <c r="I294" s="2">
        <v>711024077</v>
      </c>
      <c r="J294">
        <v>16</v>
      </c>
      <c r="L294">
        <v>0</v>
      </c>
      <c r="M294" t="str">
        <f t="shared" si="4"/>
        <v>After 2020</v>
      </c>
    </row>
    <row r="295" spans="1:13">
      <c r="A295" t="s">
        <v>512</v>
      </c>
      <c r="B295" t="s">
        <v>32</v>
      </c>
      <c r="C295" s="1">
        <v>45373</v>
      </c>
      <c r="D295" s="2">
        <v>202667139</v>
      </c>
      <c r="E295" s="2">
        <v>11945</v>
      </c>
      <c r="F295">
        <v>85</v>
      </c>
      <c r="G295" s="2">
        <v>25188125</v>
      </c>
      <c r="H295" s="2">
        <v>291189</v>
      </c>
      <c r="I295" s="2">
        <v>3500000</v>
      </c>
      <c r="J295">
        <v>56</v>
      </c>
      <c r="K295">
        <v>326</v>
      </c>
      <c r="L295">
        <v>0</v>
      </c>
      <c r="M295" t="str">
        <f t="shared" si="4"/>
        <v>After 2020</v>
      </c>
    </row>
    <row r="296" spans="1:13">
      <c r="A296" t="s">
        <v>513</v>
      </c>
      <c r="B296" t="s">
        <v>141</v>
      </c>
      <c r="C296" s="1">
        <v>44351</v>
      </c>
      <c r="D296" s="2">
        <v>1398634184</v>
      </c>
      <c r="E296" s="2">
        <v>177082</v>
      </c>
      <c r="F296">
        <v>71</v>
      </c>
      <c r="G296" s="2">
        <v>1084871745</v>
      </c>
      <c r="H296" s="2">
        <v>7894095</v>
      </c>
      <c r="I296" s="2">
        <v>2877719483</v>
      </c>
      <c r="J296">
        <v>145</v>
      </c>
      <c r="K296">
        <v>145</v>
      </c>
      <c r="L296">
        <v>1</v>
      </c>
      <c r="M296" t="str">
        <f t="shared" si="4"/>
        <v>After 2020</v>
      </c>
    </row>
    <row r="297" spans="1:13">
      <c r="A297" t="s">
        <v>514</v>
      </c>
      <c r="B297" t="s">
        <v>515</v>
      </c>
      <c r="C297" s="1">
        <v>42537</v>
      </c>
      <c r="D297" s="2">
        <v>1777196966</v>
      </c>
      <c r="E297" s="2">
        <v>241108</v>
      </c>
      <c r="F297">
        <v>78</v>
      </c>
      <c r="G297" s="2">
        <v>2624180055</v>
      </c>
      <c r="H297" s="2">
        <v>21763865</v>
      </c>
      <c r="I297" s="2">
        <v>1024805500</v>
      </c>
      <c r="J297">
        <v>125</v>
      </c>
      <c r="K297">
        <v>322</v>
      </c>
      <c r="L297">
        <v>0</v>
      </c>
      <c r="M297" t="str">
        <f t="shared" si="4"/>
        <v>2010-2020</v>
      </c>
    </row>
    <row r="298" spans="1:13">
      <c r="A298" t="s">
        <v>516</v>
      </c>
      <c r="B298" t="s">
        <v>517</v>
      </c>
      <c r="C298" s="1">
        <v>44063</v>
      </c>
      <c r="D298" s="2">
        <v>775664145</v>
      </c>
      <c r="E298" s="2">
        <v>213464</v>
      </c>
      <c r="F298">
        <v>61</v>
      </c>
      <c r="G298" s="2">
        <v>810607861</v>
      </c>
      <c r="H298" s="2">
        <v>8889460</v>
      </c>
      <c r="I298" s="2">
        <v>4864435271</v>
      </c>
      <c r="J298">
        <v>158</v>
      </c>
      <c r="K298">
        <v>533</v>
      </c>
      <c r="L298">
        <v>1</v>
      </c>
      <c r="M298" t="str">
        <f t="shared" si="4"/>
        <v>2010-2020</v>
      </c>
    </row>
    <row r="299" spans="1:13">
      <c r="A299" t="s">
        <v>518</v>
      </c>
      <c r="B299" t="s">
        <v>411</v>
      </c>
      <c r="C299" s="1">
        <v>45114</v>
      </c>
      <c r="D299" s="2">
        <v>547471596</v>
      </c>
      <c r="E299" s="2">
        <v>48103</v>
      </c>
      <c r="F299">
        <v>77</v>
      </c>
      <c r="G299" s="2">
        <v>202977396</v>
      </c>
      <c r="H299" s="2">
        <v>2705714</v>
      </c>
      <c r="I299" s="2">
        <v>1998080214</v>
      </c>
      <c r="J299">
        <v>56</v>
      </c>
      <c r="K299">
        <v>258</v>
      </c>
      <c r="L299">
        <v>0</v>
      </c>
      <c r="M299" t="str">
        <f t="shared" si="4"/>
        <v>After 2020</v>
      </c>
    </row>
    <row r="300" spans="1:13">
      <c r="A300" t="s">
        <v>519</v>
      </c>
      <c r="B300" t="s">
        <v>520</v>
      </c>
      <c r="C300" s="1">
        <v>43328</v>
      </c>
      <c r="D300" s="2">
        <v>2143821605</v>
      </c>
      <c r="E300" s="2">
        <v>220298</v>
      </c>
      <c r="F300">
        <v>16</v>
      </c>
      <c r="G300" s="2">
        <v>1512765689</v>
      </c>
      <c r="H300" s="2">
        <v>18732541</v>
      </c>
      <c r="I300" s="2">
        <v>809336882</v>
      </c>
      <c r="J300">
        <v>209</v>
      </c>
      <c r="K300">
        <v>293</v>
      </c>
      <c r="L300">
        <v>0</v>
      </c>
      <c r="M300" t="str">
        <f t="shared" si="4"/>
        <v>2010-2020</v>
      </c>
    </row>
    <row r="301" spans="1:13">
      <c r="A301" t="s">
        <v>521</v>
      </c>
      <c r="B301" t="s">
        <v>522</v>
      </c>
      <c r="C301" s="1">
        <v>45217</v>
      </c>
      <c r="D301" s="2">
        <v>462284590</v>
      </c>
      <c r="E301" s="2">
        <v>31617</v>
      </c>
      <c r="F301">
        <v>84</v>
      </c>
      <c r="G301" s="2">
        <v>110545167</v>
      </c>
      <c r="H301" s="2">
        <v>325395</v>
      </c>
      <c r="I301" s="2">
        <v>1947539058</v>
      </c>
      <c r="J301">
        <v>41</v>
      </c>
      <c r="K301">
        <v>721</v>
      </c>
      <c r="L301">
        <v>1</v>
      </c>
      <c r="M301" t="str">
        <f t="shared" si="4"/>
        <v>After 2020</v>
      </c>
    </row>
    <row r="302" spans="1:13">
      <c r="A302" t="s">
        <v>523</v>
      </c>
      <c r="B302" t="s">
        <v>106</v>
      </c>
      <c r="C302" s="1">
        <v>45023</v>
      </c>
      <c r="D302" s="2">
        <v>509231024</v>
      </c>
      <c r="E302" s="2">
        <v>69486</v>
      </c>
      <c r="F302">
        <v>79</v>
      </c>
      <c r="G302" s="2">
        <v>40223001</v>
      </c>
      <c r="H302" s="2">
        <v>328421</v>
      </c>
      <c r="I302">
        <v>312</v>
      </c>
      <c r="J302">
        <v>145</v>
      </c>
      <c r="K302">
        <v>425</v>
      </c>
      <c r="L302">
        <v>0</v>
      </c>
      <c r="M302" t="str">
        <f t="shared" si="4"/>
        <v>After 2020</v>
      </c>
    </row>
    <row r="303" spans="1:13">
      <c r="A303" t="s">
        <v>524</v>
      </c>
      <c r="B303" t="s">
        <v>252</v>
      </c>
      <c r="C303" s="1">
        <v>44337</v>
      </c>
      <c r="D303" s="2">
        <v>1257974135</v>
      </c>
      <c r="E303" s="2">
        <v>90160</v>
      </c>
      <c r="F303">
        <v>70</v>
      </c>
      <c r="G303" s="2">
        <v>1175755478</v>
      </c>
      <c r="H303" s="2">
        <v>27744989</v>
      </c>
      <c r="I303" s="2">
        <v>8120632702</v>
      </c>
      <c r="J303">
        <v>221</v>
      </c>
      <c r="K303">
        <v>545</v>
      </c>
      <c r="L303">
        <v>0</v>
      </c>
      <c r="M303" t="str">
        <f t="shared" si="4"/>
        <v>After 2020</v>
      </c>
    </row>
    <row r="304" spans="1:13" hidden="1">
      <c r="A304" t="s">
        <v>525</v>
      </c>
      <c r="B304" t="s">
        <v>53</v>
      </c>
      <c r="C304" s="1">
        <v>45373</v>
      </c>
      <c r="D304" s="2">
        <v>124945674</v>
      </c>
      <c r="E304" s="2">
        <v>21581</v>
      </c>
      <c r="G304" s="2">
        <v>11346227</v>
      </c>
      <c r="H304" s="2">
        <v>139956</v>
      </c>
      <c r="J304">
        <v>24</v>
      </c>
      <c r="L304">
        <v>1</v>
      </c>
      <c r="M304" t="str">
        <f t="shared" si="4"/>
        <v>After 2020</v>
      </c>
    </row>
    <row r="305" spans="1:13">
      <c r="A305" t="s">
        <v>526</v>
      </c>
      <c r="B305" t="s">
        <v>527</v>
      </c>
      <c r="C305" s="1">
        <v>43378</v>
      </c>
      <c r="D305" s="2">
        <v>1153753974</v>
      </c>
      <c r="E305" s="2">
        <v>118846</v>
      </c>
      <c r="F305">
        <v>67</v>
      </c>
      <c r="G305" s="2">
        <v>2890512374</v>
      </c>
      <c r="H305" s="2">
        <v>13572964</v>
      </c>
      <c r="I305" s="2">
        <v>124640416</v>
      </c>
      <c r="J305">
        <v>152</v>
      </c>
      <c r="K305">
        <v>7</v>
      </c>
      <c r="L305">
        <v>0</v>
      </c>
      <c r="M305" t="str">
        <f t="shared" si="4"/>
        <v>2010-2020</v>
      </c>
    </row>
    <row r="306" spans="1:13">
      <c r="A306" t="s">
        <v>528</v>
      </c>
      <c r="B306" t="s">
        <v>338</v>
      </c>
      <c r="C306" s="1">
        <v>42496</v>
      </c>
      <c r="D306" s="2">
        <v>1733302434</v>
      </c>
      <c r="E306" s="2">
        <v>191065</v>
      </c>
      <c r="F306">
        <v>72</v>
      </c>
      <c r="G306" s="2">
        <v>2322229374</v>
      </c>
      <c r="H306" s="2">
        <v>9042088</v>
      </c>
      <c r="I306" s="2">
        <v>153590873</v>
      </c>
      <c r="J306">
        <v>459</v>
      </c>
      <c r="K306">
        <v>576</v>
      </c>
      <c r="L306">
        <v>0</v>
      </c>
      <c r="M306" t="str">
        <f t="shared" si="4"/>
        <v>2010-2020</v>
      </c>
    </row>
    <row r="307" spans="1:13">
      <c r="A307" t="s">
        <v>529</v>
      </c>
      <c r="B307" t="s">
        <v>68</v>
      </c>
      <c r="C307" s="1">
        <v>43776</v>
      </c>
      <c r="D307" s="2">
        <v>1199270601</v>
      </c>
      <c r="E307" s="2">
        <v>161574</v>
      </c>
      <c r="F307">
        <v>69</v>
      </c>
      <c r="G307" s="2">
        <v>879051516</v>
      </c>
      <c r="H307" s="2">
        <v>10069968</v>
      </c>
      <c r="I307" s="2">
        <v>5494376938</v>
      </c>
      <c r="J307">
        <v>295</v>
      </c>
      <c r="K307">
        <v>531</v>
      </c>
      <c r="L307">
        <v>1</v>
      </c>
      <c r="M307" t="str">
        <f t="shared" si="4"/>
        <v>2010-2020</v>
      </c>
    </row>
    <row r="308" spans="1:13">
      <c r="A308" t="s">
        <v>530</v>
      </c>
      <c r="B308" t="s">
        <v>531</v>
      </c>
      <c r="C308" s="1">
        <v>43607</v>
      </c>
      <c r="D308" s="2">
        <v>1355971796</v>
      </c>
      <c r="E308" s="2">
        <v>198992</v>
      </c>
      <c r="F308">
        <v>77</v>
      </c>
      <c r="G308" s="2">
        <v>749040183</v>
      </c>
      <c r="H308" s="2">
        <v>8156272</v>
      </c>
      <c r="I308" s="2">
        <v>532109309</v>
      </c>
      <c r="J308">
        <v>99</v>
      </c>
      <c r="K308">
        <v>154</v>
      </c>
      <c r="L308">
        <v>1</v>
      </c>
      <c r="M308" t="str">
        <f t="shared" si="4"/>
        <v>2010-2020</v>
      </c>
    </row>
    <row r="309" spans="1:13">
      <c r="A309" t="s">
        <v>532</v>
      </c>
      <c r="B309" t="s">
        <v>420</v>
      </c>
      <c r="C309" s="1">
        <v>44762</v>
      </c>
      <c r="D309" s="2">
        <v>1136504636</v>
      </c>
      <c r="E309" s="2">
        <v>152157</v>
      </c>
      <c r="F309">
        <v>81</v>
      </c>
      <c r="G309" s="2">
        <v>154143867</v>
      </c>
      <c r="H309" s="2">
        <v>2307573</v>
      </c>
      <c r="I309" s="2">
        <v>1306972284</v>
      </c>
      <c r="J309">
        <v>65</v>
      </c>
      <c r="K309">
        <v>43</v>
      </c>
      <c r="L309">
        <v>0</v>
      </c>
      <c r="M309" t="str">
        <f t="shared" si="4"/>
        <v>After 2020</v>
      </c>
    </row>
    <row r="310" spans="1:13">
      <c r="A310" t="s">
        <v>533</v>
      </c>
      <c r="B310" t="s">
        <v>318</v>
      </c>
      <c r="C310" s="1">
        <v>45436</v>
      </c>
      <c r="D310" s="2">
        <v>60240739</v>
      </c>
      <c r="E310" s="2">
        <v>4611</v>
      </c>
      <c r="F310">
        <v>84</v>
      </c>
      <c r="G310" s="2">
        <v>3322959</v>
      </c>
      <c r="H310" s="2">
        <v>65840</v>
      </c>
      <c r="I310" s="2">
        <v>843600</v>
      </c>
      <c r="J310">
        <v>82</v>
      </c>
      <c r="K310">
        <v>1</v>
      </c>
      <c r="L310">
        <v>0</v>
      </c>
      <c r="M310" t="str">
        <f t="shared" si="4"/>
        <v>After 2020</v>
      </c>
    </row>
    <row r="311" spans="1:13">
      <c r="A311" t="s">
        <v>534</v>
      </c>
      <c r="B311" t="s">
        <v>535</v>
      </c>
      <c r="C311" s="1">
        <v>42664</v>
      </c>
      <c r="D311" s="2">
        <v>1528107667</v>
      </c>
      <c r="E311" s="2">
        <v>170648</v>
      </c>
      <c r="F311">
        <v>73</v>
      </c>
      <c r="G311" s="2">
        <v>3187869227</v>
      </c>
      <c r="H311" s="2">
        <v>16180445</v>
      </c>
      <c r="I311" s="2">
        <v>595697842</v>
      </c>
      <c r="J311">
        <v>188</v>
      </c>
      <c r="K311">
        <v>83</v>
      </c>
      <c r="L311">
        <v>1</v>
      </c>
      <c r="M311" t="str">
        <f t="shared" si="4"/>
        <v>2010-2020</v>
      </c>
    </row>
    <row r="312" spans="1:13" hidden="1">
      <c r="A312" t="s">
        <v>38</v>
      </c>
      <c r="B312" t="s">
        <v>39</v>
      </c>
      <c r="C312" s="1">
        <v>45245</v>
      </c>
      <c r="D312" s="2">
        <v>1627429837</v>
      </c>
      <c r="E312">
        <v>12</v>
      </c>
      <c r="L312">
        <v>1</v>
      </c>
      <c r="M312" t="str">
        <f t="shared" si="4"/>
        <v>After 2020</v>
      </c>
    </row>
    <row r="313" spans="1:13" hidden="1">
      <c r="A313" t="s">
        <v>536</v>
      </c>
      <c r="C313" s="1">
        <v>45437</v>
      </c>
      <c r="L313">
        <v>0</v>
      </c>
      <c r="M313" t="str">
        <f t="shared" si="4"/>
        <v>After 2020</v>
      </c>
    </row>
    <row r="314" spans="1:13" hidden="1">
      <c r="A314" t="s">
        <v>537</v>
      </c>
      <c r="B314" t="s">
        <v>538</v>
      </c>
      <c r="C314" s="1">
        <v>45149</v>
      </c>
      <c r="D314" s="2">
        <v>214598468</v>
      </c>
      <c r="E314" s="2">
        <v>66613</v>
      </c>
      <c r="F314">
        <v>74</v>
      </c>
      <c r="G314" s="2">
        <v>145094088</v>
      </c>
      <c r="H314" s="2">
        <v>2568642</v>
      </c>
      <c r="I314" s="2">
        <v>35469076</v>
      </c>
      <c r="J314">
        <v>21</v>
      </c>
      <c r="L314">
        <v>1</v>
      </c>
      <c r="M314" t="str">
        <f t="shared" si="4"/>
        <v>After 2020</v>
      </c>
    </row>
    <row r="315" spans="1:13">
      <c r="A315" t="s">
        <v>539</v>
      </c>
      <c r="B315" t="s">
        <v>313</v>
      </c>
      <c r="C315" s="1">
        <v>45009</v>
      </c>
      <c r="D315" s="2">
        <v>647201484</v>
      </c>
      <c r="E315" s="2">
        <v>81393</v>
      </c>
      <c r="F315">
        <v>74</v>
      </c>
      <c r="G315" s="2">
        <v>186060248</v>
      </c>
      <c r="H315" s="2">
        <v>1524559</v>
      </c>
      <c r="I315" s="2">
        <v>1792090770</v>
      </c>
      <c r="J315">
        <v>117</v>
      </c>
      <c r="K315">
        <v>277</v>
      </c>
      <c r="L315">
        <v>0</v>
      </c>
      <c r="M315" t="str">
        <f t="shared" si="4"/>
        <v>After 2020</v>
      </c>
    </row>
    <row r="316" spans="1:13" hidden="1">
      <c r="A316" t="s">
        <v>540</v>
      </c>
      <c r="B316" t="s">
        <v>541</v>
      </c>
      <c r="C316" s="1">
        <v>45422</v>
      </c>
      <c r="D316" s="2">
        <v>51198446</v>
      </c>
      <c r="E316" s="2">
        <v>3022</v>
      </c>
      <c r="F316">
        <v>80</v>
      </c>
      <c r="G316" s="2">
        <v>14990394</v>
      </c>
      <c r="H316" s="2">
        <v>244589</v>
      </c>
      <c r="J316">
        <v>8</v>
      </c>
      <c r="L316">
        <v>0</v>
      </c>
      <c r="M316" t="str">
        <f t="shared" si="4"/>
        <v>After 2020</v>
      </c>
    </row>
    <row r="317" spans="1:13">
      <c r="A317" t="s">
        <v>542</v>
      </c>
      <c r="B317" t="s">
        <v>506</v>
      </c>
      <c r="C317" s="1">
        <v>44904</v>
      </c>
      <c r="D317" s="2">
        <v>684853927</v>
      </c>
      <c r="E317" s="2">
        <v>42893</v>
      </c>
      <c r="F317">
        <v>73</v>
      </c>
      <c r="G317" s="2">
        <v>547937715</v>
      </c>
      <c r="H317" s="2">
        <v>1638787</v>
      </c>
      <c r="I317" s="2">
        <v>1162186778</v>
      </c>
      <c r="J317">
        <v>45</v>
      </c>
      <c r="K317">
        <v>358</v>
      </c>
      <c r="L317">
        <v>1</v>
      </c>
      <c r="M317" t="str">
        <f t="shared" si="4"/>
        <v>After 2020</v>
      </c>
    </row>
    <row r="318" spans="1:13" hidden="1">
      <c r="A318" t="s">
        <v>543</v>
      </c>
      <c r="B318" t="s">
        <v>544</v>
      </c>
      <c r="C318" s="1">
        <v>45457</v>
      </c>
      <c r="E318">
        <v>5</v>
      </c>
      <c r="J318">
        <v>1</v>
      </c>
      <c r="L318">
        <v>0</v>
      </c>
      <c r="M318" t="str">
        <f t="shared" si="4"/>
        <v>After 2020</v>
      </c>
    </row>
    <row r="319" spans="1:13">
      <c r="A319" t="s">
        <v>545</v>
      </c>
      <c r="B319" t="s">
        <v>546</v>
      </c>
      <c r="C319" s="1">
        <v>44851</v>
      </c>
      <c r="D319" s="2">
        <v>665519026</v>
      </c>
      <c r="E319" s="2">
        <v>152193</v>
      </c>
      <c r="F319">
        <v>68</v>
      </c>
      <c r="G319" s="2">
        <v>187947945</v>
      </c>
      <c r="H319" s="2">
        <v>2379515</v>
      </c>
      <c r="I319" s="2">
        <v>5516142056</v>
      </c>
      <c r="J319">
        <v>73</v>
      </c>
      <c r="K319" s="2">
        <v>5729</v>
      </c>
      <c r="L319">
        <v>1</v>
      </c>
      <c r="M319" t="str">
        <f t="shared" si="4"/>
        <v>After 2020</v>
      </c>
    </row>
    <row r="320" spans="1:13">
      <c r="A320" t="s">
        <v>547</v>
      </c>
      <c r="B320" t="s">
        <v>355</v>
      </c>
      <c r="C320" s="1">
        <v>44015</v>
      </c>
      <c r="D320" s="2">
        <v>785016247</v>
      </c>
      <c r="E320" s="2">
        <v>210669</v>
      </c>
      <c r="F320">
        <v>70</v>
      </c>
      <c r="G320" s="2">
        <v>654629596</v>
      </c>
      <c r="H320" s="2">
        <v>5578060</v>
      </c>
      <c r="I320" s="2">
        <v>976662212</v>
      </c>
      <c r="J320">
        <v>100</v>
      </c>
      <c r="K320">
        <v>25</v>
      </c>
      <c r="L320">
        <v>1</v>
      </c>
      <c r="M320" t="str">
        <f t="shared" si="4"/>
        <v>2010-2020</v>
      </c>
    </row>
    <row r="321" spans="1:13" hidden="1">
      <c r="A321" t="s">
        <v>548</v>
      </c>
      <c r="B321" t="s">
        <v>504</v>
      </c>
      <c r="C321" s="1">
        <v>42972</v>
      </c>
      <c r="D321" s="2">
        <v>1615274494</v>
      </c>
      <c r="E321" s="2">
        <v>203617</v>
      </c>
      <c r="F321">
        <v>79</v>
      </c>
      <c r="G321" s="2">
        <v>515463883</v>
      </c>
      <c r="H321" s="2">
        <v>6471385</v>
      </c>
      <c r="I321" s="2">
        <v>100843174</v>
      </c>
      <c r="J321">
        <v>37</v>
      </c>
      <c r="L321">
        <v>1</v>
      </c>
      <c r="M321" t="str">
        <f t="shared" si="4"/>
        <v>2010-2020</v>
      </c>
    </row>
    <row r="322" spans="1:13">
      <c r="A322" t="s">
        <v>549</v>
      </c>
      <c r="B322" t="s">
        <v>295</v>
      </c>
      <c r="C322" s="1">
        <v>44869</v>
      </c>
      <c r="D322" s="2">
        <v>812274757</v>
      </c>
      <c r="E322" s="2">
        <v>185579</v>
      </c>
      <c r="F322">
        <v>73</v>
      </c>
      <c r="G322" s="2">
        <v>86053276</v>
      </c>
      <c r="H322" s="2">
        <v>651228</v>
      </c>
      <c r="I322" s="2">
        <v>1834709832</v>
      </c>
      <c r="J322">
        <v>116</v>
      </c>
      <c r="K322">
        <v>128</v>
      </c>
      <c r="L322">
        <v>1</v>
      </c>
      <c r="M322" t="str">
        <f t="shared" si="4"/>
        <v>After 2020</v>
      </c>
    </row>
    <row r="323" spans="1:13">
      <c r="A323" t="s">
        <v>550</v>
      </c>
      <c r="B323" t="s">
        <v>299</v>
      </c>
      <c r="C323" s="1">
        <v>45233</v>
      </c>
      <c r="D323" s="2">
        <v>675865902</v>
      </c>
      <c r="E323" s="2">
        <v>23181</v>
      </c>
      <c r="F323">
        <v>85</v>
      </c>
      <c r="G323" s="2">
        <v>130563278</v>
      </c>
      <c r="H323" s="2">
        <v>4183405</v>
      </c>
      <c r="I323" s="2">
        <v>628043802</v>
      </c>
      <c r="J323">
        <v>37</v>
      </c>
      <c r="K323">
        <v>25</v>
      </c>
      <c r="L323">
        <v>0</v>
      </c>
      <c r="M323" t="str">
        <f t="shared" ref="M323:M386" si="5">IF(YEAR(C323)&lt;2010,"Before 2010",IF(YEAR(C323)&lt;=2020,"2010-2020","After 2020"))</f>
        <v>After 2020</v>
      </c>
    </row>
    <row r="324" spans="1:13">
      <c r="A324" t="s">
        <v>551</v>
      </c>
      <c r="B324" t="s">
        <v>47</v>
      </c>
      <c r="C324" s="1">
        <v>42678</v>
      </c>
      <c r="D324" s="2">
        <v>1984802459</v>
      </c>
      <c r="E324" s="2">
        <v>246374</v>
      </c>
      <c r="F324">
        <v>75</v>
      </c>
      <c r="G324" s="2">
        <v>1790918527</v>
      </c>
      <c r="H324" s="2">
        <v>11063672</v>
      </c>
      <c r="I324" s="2">
        <v>811673866</v>
      </c>
      <c r="J324">
        <v>143</v>
      </c>
      <c r="K324">
        <v>57</v>
      </c>
      <c r="L324">
        <v>1</v>
      </c>
      <c r="M324" t="str">
        <f t="shared" si="5"/>
        <v>2010-2020</v>
      </c>
    </row>
    <row r="325" spans="1:13">
      <c r="A325" t="s">
        <v>552</v>
      </c>
      <c r="B325" t="s">
        <v>553</v>
      </c>
      <c r="C325" s="1">
        <v>44428</v>
      </c>
      <c r="D325" s="2">
        <v>805019111</v>
      </c>
      <c r="E325" s="2">
        <v>238887</v>
      </c>
      <c r="F325">
        <v>73</v>
      </c>
      <c r="G325" s="2">
        <v>117678524</v>
      </c>
      <c r="H325" s="2">
        <v>1540284</v>
      </c>
      <c r="I325" s="2">
        <v>10369065597</v>
      </c>
      <c r="J325">
        <v>192</v>
      </c>
      <c r="K325" s="2">
        <v>2822</v>
      </c>
      <c r="L325">
        <v>0</v>
      </c>
      <c r="M325" t="str">
        <f t="shared" si="5"/>
        <v>After 2020</v>
      </c>
    </row>
    <row r="326" spans="1:13">
      <c r="A326" t="s">
        <v>554</v>
      </c>
      <c r="B326" t="s">
        <v>170</v>
      </c>
      <c r="C326" s="1">
        <v>43776</v>
      </c>
      <c r="D326" s="2">
        <v>1497511486</v>
      </c>
      <c r="E326" s="2">
        <v>157185</v>
      </c>
      <c r="F326">
        <v>68</v>
      </c>
      <c r="G326" s="2">
        <v>1816772749</v>
      </c>
      <c r="H326" s="2">
        <v>12498062</v>
      </c>
      <c r="I326" s="2">
        <v>414336041</v>
      </c>
      <c r="J326">
        <v>232</v>
      </c>
      <c r="K326">
        <v>111</v>
      </c>
      <c r="L326">
        <v>0</v>
      </c>
      <c r="M326" t="str">
        <f t="shared" si="5"/>
        <v>2010-2020</v>
      </c>
    </row>
    <row r="327" spans="1:13">
      <c r="A327" t="s">
        <v>555</v>
      </c>
      <c r="B327" t="s">
        <v>355</v>
      </c>
      <c r="C327" s="1">
        <v>44015</v>
      </c>
      <c r="D327" s="2">
        <v>1119350842</v>
      </c>
      <c r="E327" s="2">
        <v>272485</v>
      </c>
      <c r="F327">
        <v>71</v>
      </c>
      <c r="G327" s="2">
        <v>767399825</v>
      </c>
      <c r="H327" s="2">
        <v>6283245</v>
      </c>
      <c r="I327" s="2">
        <v>1505078331</v>
      </c>
      <c r="J327">
        <v>206</v>
      </c>
      <c r="K327">
        <v>234</v>
      </c>
      <c r="L327">
        <v>1</v>
      </c>
      <c r="M327" t="str">
        <f t="shared" si="5"/>
        <v>2010-2020</v>
      </c>
    </row>
    <row r="328" spans="1:13">
      <c r="A328" t="s">
        <v>556</v>
      </c>
      <c r="B328" t="s">
        <v>557</v>
      </c>
      <c r="C328" s="1">
        <v>45142</v>
      </c>
      <c r="D328" s="2">
        <v>53825007</v>
      </c>
      <c r="E328" s="2">
        <v>14742</v>
      </c>
      <c r="F328">
        <v>59</v>
      </c>
      <c r="G328" s="2">
        <v>83224436</v>
      </c>
      <c r="H328" s="2">
        <v>607267</v>
      </c>
      <c r="I328" s="2">
        <v>89022964</v>
      </c>
      <c r="J328">
        <v>22</v>
      </c>
      <c r="K328">
        <v>33</v>
      </c>
      <c r="L328">
        <v>1</v>
      </c>
      <c r="M328" t="str">
        <f t="shared" si="5"/>
        <v>After 2020</v>
      </c>
    </row>
    <row r="329" spans="1:13">
      <c r="A329" t="s">
        <v>558</v>
      </c>
      <c r="B329" t="s">
        <v>559</v>
      </c>
      <c r="C329" s="1">
        <v>45247</v>
      </c>
      <c r="D329" s="2">
        <v>273023490</v>
      </c>
      <c r="E329" s="2">
        <v>17900</v>
      </c>
      <c r="F329">
        <v>87</v>
      </c>
      <c r="G329" s="2">
        <v>28916868</v>
      </c>
      <c r="H329" s="2">
        <v>303426</v>
      </c>
      <c r="I329" s="2">
        <v>2850135008</v>
      </c>
      <c r="J329">
        <v>99</v>
      </c>
      <c r="K329">
        <v>449</v>
      </c>
      <c r="L329">
        <v>1</v>
      </c>
      <c r="M329" t="str">
        <f t="shared" si="5"/>
        <v>After 2020</v>
      </c>
    </row>
    <row r="330" spans="1:13">
      <c r="A330" t="s">
        <v>560</v>
      </c>
      <c r="B330" t="s">
        <v>295</v>
      </c>
      <c r="C330" s="1">
        <v>45023</v>
      </c>
      <c r="D330" s="2">
        <v>337858357</v>
      </c>
      <c r="E330" s="2">
        <v>96709</v>
      </c>
      <c r="F330">
        <v>69</v>
      </c>
      <c r="G330" s="2">
        <v>40938953</v>
      </c>
      <c r="H330" s="2">
        <v>336819</v>
      </c>
      <c r="I330" s="2">
        <v>192701225</v>
      </c>
      <c r="J330">
        <v>89</v>
      </c>
      <c r="K330">
        <v>162</v>
      </c>
      <c r="L330">
        <v>1</v>
      </c>
      <c r="M330" t="str">
        <f t="shared" si="5"/>
        <v>After 2020</v>
      </c>
    </row>
    <row r="331" spans="1:13">
      <c r="A331" t="s">
        <v>561</v>
      </c>
      <c r="B331" t="s">
        <v>200</v>
      </c>
      <c r="C331" s="1">
        <v>45105</v>
      </c>
      <c r="D331" s="2">
        <v>390182196</v>
      </c>
      <c r="E331" s="2">
        <v>36912</v>
      </c>
      <c r="F331">
        <v>74</v>
      </c>
      <c r="G331" s="2">
        <v>253468644</v>
      </c>
      <c r="H331" s="2">
        <v>1103093</v>
      </c>
      <c r="I331" s="2">
        <v>1391833232</v>
      </c>
      <c r="J331">
        <v>44</v>
      </c>
      <c r="K331">
        <v>71</v>
      </c>
      <c r="L331">
        <v>1</v>
      </c>
      <c r="M331" t="str">
        <f t="shared" si="5"/>
        <v>After 2020</v>
      </c>
    </row>
    <row r="332" spans="1:13">
      <c r="A332" t="s">
        <v>562</v>
      </c>
      <c r="B332" t="s">
        <v>123</v>
      </c>
      <c r="C332" s="1">
        <v>43831</v>
      </c>
      <c r="D332" s="2">
        <v>1568058093</v>
      </c>
      <c r="E332" s="2">
        <v>188855</v>
      </c>
      <c r="F332">
        <v>77</v>
      </c>
      <c r="G332" s="2">
        <v>683237554</v>
      </c>
      <c r="H332" s="2">
        <v>4641763</v>
      </c>
      <c r="I332" s="2">
        <v>1292107474</v>
      </c>
      <c r="J332">
        <v>263</v>
      </c>
      <c r="K332" s="2">
        <v>1773</v>
      </c>
      <c r="L332">
        <v>0</v>
      </c>
      <c r="M332" t="str">
        <f t="shared" si="5"/>
        <v>2010-2020</v>
      </c>
    </row>
    <row r="333" spans="1:13" hidden="1">
      <c r="A333" t="s">
        <v>563</v>
      </c>
      <c r="B333" t="s">
        <v>564</v>
      </c>
      <c r="C333" s="1">
        <v>45268</v>
      </c>
      <c r="D333" s="2">
        <v>24933240</v>
      </c>
      <c r="E333" s="2">
        <v>4241</v>
      </c>
      <c r="G333" s="2">
        <v>79219504</v>
      </c>
      <c r="H333" s="2">
        <v>463646</v>
      </c>
      <c r="I333" s="2">
        <v>687729852</v>
      </c>
      <c r="J333">
        <v>10</v>
      </c>
      <c r="L333">
        <v>0</v>
      </c>
      <c r="M333" t="str">
        <f t="shared" si="5"/>
        <v>After 2020</v>
      </c>
    </row>
    <row r="334" spans="1:13">
      <c r="A334" t="s">
        <v>565</v>
      </c>
      <c r="B334" t="s">
        <v>566</v>
      </c>
      <c r="C334" s="1">
        <v>44118</v>
      </c>
      <c r="D334" s="2">
        <v>90383224</v>
      </c>
      <c r="E334" s="2">
        <v>24868</v>
      </c>
      <c r="F334">
        <v>45</v>
      </c>
      <c r="G334" s="2">
        <v>29836991</v>
      </c>
      <c r="H334" s="2">
        <v>627377</v>
      </c>
      <c r="I334" s="2">
        <v>4082175492</v>
      </c>
      <c r="J334">
        <v>20</v>
      </c>
      <c r="K334">
        <v>423</v>
      </c>
      <c r="L334">
        <v>1</v>
      </c>
      <c r="M334" t="str">
        <f t="shared" si="5"/>
        <v>2010-2020</v>
      </c>
    </row>
    <row r="335" spans="1:13" hidden="1">
      <c r="A335" t="s">
        <v>567</v>
      </c>
      <c r="B335" t="s">
        <v>568</v>
      </c>
      <c r="C335" s="1">
        <v>44679</v>
      </c>
      <c r="D335" s="2">
        <v>18296870</v>
      </c>
      <c r="E335" s="2">
        <v>1967</v>
      </c>
      <c r="G335" s="2">
        <v>108892433</v>
      </c>
      <c r="H335" s="2">
        <v>699306</v>
      </c>
      <c r="I335" s="2">
        <v>6334463728</v>
      </c>
      <c r="J335">
        <v>1</v>
      </c>
      <c r="L335">
        <v>0</v>
      </c>
      <c r="M335" t="str">
        <f t="shared" si="5"/>
        <v>After 2020</v>
      </c>
    </row>
    <row r="336" spans="1:13">
      <c r="A336" t="s">
        <v>489</v>
      </c>
      <c r="B336" t="s">
        <v>490</v>
      </c>
      <c r="C336" s="1">
        <v>44533</v>
      </c>
      <c r="D336" s="2">
        <v>890752779</v>
      </c>
      <c r="E336" s="2">
        <v>104690</v>
      </c>
      <c r="F336">
        <v>79</v>
      </c>
      <c r="G336" s="2">
        <v>169046580</v>
      </c>
      <c r="H336" s="2">
        <v>1678946</v>
      </c>
      <c r="I336" s="2">
        <v>5807175</v>
      </c>
      <c r="J336">
        <v>149</v>
      </c>
      <c r="K336">
        <v>491</v>
      </c>
      <c r="L336">
        <v>0</v>
      </c>
      <c r="M336" t="str">
        <f t="shared" si="5"/>
        <v>After 2020</v>
      </c>
    </row>
    <row r="337" spans="1:13" hidden="1">
      <c r="A337" t="s">
        <v>569</v>
      </c>
      <c r="B337" t="s">
        <v>570</v>
      </c>
      <c r="C337" s="1">
        <v>45020</v>
      </c>
      <c r="E337">
        <v>13</v>
      </c>
      <c r="G337" s="2">
        <v>918283411</v>
      </c>
      <c r="H337" s="2">
        <v>1480549</v>
      </c>
      <c r="L337">
        <v>0</v>
      </c>
      <c r="M337" t="str">
        <f t="shared" si="5"/>
        <v>After 2020</v>
      </c>
    </row>
    <row r="338" spans="1:13">
      <c r="A338" t="s">
        <v>571</v>
      </c>
      <c r="B338" t="s">
        <v>572</v>
      </c>
      <c r="C338" s="1">
        <v>45078</v>
      </c>
      <c r="D338" s="2">
        <v>373898429</v>
      </c>
      <c r="E338" s="2">
        <v>53671</v>
      </c>
      <c r="F338">
        <v>72</v>
      </c>
      <c r="G338" s="2">
        <v>314467618</v>
      </c>
      <c r="H338" s="2">
        <v>1775081</v>
      </c>
      <c r="I338" s="2">
        <v>1715842070</v>
      </c>
      <c r="J338">
        <v>42</v>
      </c>
      <c r="K338">
        <v>3</v>
      </c>
      <c r="L338">
        <v>0</v>
      </c>
      <c r="M338" t="str">
        <f t="shared" si="5"/>
        <v>After 2020</v>
      </c>
    </row>
    <row r="339" spans="1:13">
      <c r="A339" t="s">
        <v>573</v>
      </c>
      <c r="B339" t="s">
        <v>574</v>
      </c>
      <c r="C339" s="1">
        <v>43236</v>
      </c>
      <c r="D339" s="2">
        <v>1358105253</v>
      </c>
      <c r="E339" s="2">
        <v>217189</v>
      </c>
      <c r="F339">
        <v>69</v>
      </c>
      <c r="G339" s="2">
        <v>1875005008</v>
      </c>
      <c r="H339" s="2">
        <v>10236903</v>
      </c>
      <c r="I339" s="2">
        <v>1981780200</v>
      </c>
      <c r="J339">
        <v>67</v>
      </c>
      <c r="K339">
        <v>142</v>
      </c>
      <c r="L339">
        <v>1</v>
      </c>
      <c r="M339" t="str">
        <f t="shared" si="5"/>
        <v>2010-2020</v>
      </c>
    </row>
    <row r="340" spans="1:13">
      <c r="A340" t="s">
        <v>575</v>
      </c>
      <c r="B340" t="s">
        <v>576</v>
      </c>
      <c r="C340" s="1">
        <v>44602</v>
      </c>
      <c r="D340" s="2">
        <v>911797058</v>
      </c>
      <c r="E340" s="2">
        <v>80109</v>
      </c>
      <c r="F340">
        <v>74</v>
      </c>
      <c r="G340" s="2">
        <v>628307968</v>
      </c>
      <c r="H340" s="2">
        <v>4924401</v>
      </c>
      <c r="I340" s="2">
        <v>3410691967</v>
      </c>
      <c r="J340">
        <v>125</v>
      </c>
      <c r="K340">
        <v>430</v>
      </c>
      <c r="L340">
        <v>1</v>
      </c>
      <c r="M340" t="str">
        <f t="shared" si="5"/>
        <v>After 2020</v>
      </c>
    </row>
    <row r="341" spans="1:13">
      <c r="A341" t="s">
        <v>577</v>
      </c>
      <c r="B341" t="s">
        <v>578</v>
      </c>
      <c r="C341" s="1">
        <v>44440</v>
      </c>
      <c r="D341" s="2">
        <v>1020452066</v>
      </c>
      <c r="E341" s="2">
        <v>169696</v>
      </c>
      <c r="F341">
        <v>73</v>
      </c>
      <c r="G341" s="2">
        <v>385820349</v>
      </c>
      <c r="H341" s="2">
        <v>4710732</v>
      </c>
      <c r="I341" s="2">
        <v>3320885451</v>
      </c>
      <c r="J341">
        <v>75</v>
      </c>
      <c r="K341" s="2">
        <v>1886</v>
      </c>
      <c r="L341">
        <v>0</v>
      </c>
      <c r="M341" t="str">
        <f t="shared" si="5"/>
        <v>After 2020</v>
      </c>
    </row>
    <row r="342" spans="1:13" hidden="1">
      <c r="A342" t="s">
        <v>579</v>
      </c>
      <c r="B342" t="s">
        <v>63</v>
      </c>
      <c r="C342" s="1">
        <v>45247</v>
      </c>
      <c r="D342" s="2">
        <v>323100055</v>
      </c>
      <c r="E342" s="2">
        <v>27272</v>
      </c>
      <c r="G342" s="2">
        <v>33501338</v>
      </c>
      <c r="H342" s="2">
        <v>405965</v>
      </c>
      <c r="I342" s="2">
        <v>730969180</v>
      </c>
      <c r="J342">
        <v>67</v>
      </c>
      <c r="K342">
        <v>811</v>
      </c>
      <c r="L342">
        <v>1</v>
      </c>
      <c r="M342" t="str">
        <f t="shared" si="5"/>
        <v>After 2020</v>
      </c>
    </row>
    <row r="343" spans="1:13">
      <c r="A343" t="s">
        <v>580</v>
      </c>
      <c r="B343" t="s">
        <v>581</v>
      </c>
      <c r="C343" s="1">
        <v>43693</v>
      </c>
      <c r="D343" s="2">
        <v>27747363</v>
      </c>
      <c r="E343" s="2">
        <v>9067</v>
      </c>
      <c r="F343">
        <v>41</v>
      </c>
      <c r="G343" s="2">
        <v>136028794</v>
      </c>
      <c r="H343" s="2">
        <v>1352520</v>
      </c>
      <c r="I343" s="2">
        <v>11797196743</v>
      </c>
      <c r="J343">
        <v>12</v>
      </c>
      <c r="K343">
        <v>100</v>
      </c>
      <c r="L343">
        <v>0</v>
      </c>
      <c r="M343" t="str">
        <f t="shared" si="5"/>
        <v>2010-2020</v>
      </c>
    </row>
    <row r="344" spans="1:13">
      <c r="A344" t="s">
        <v>582</v>
      </c>
      <c r="B344" t="s">
        <v>583</v>
      </c>
      <c r="C344" s="1">
        <v>44750</v>
      </c>
      <c r="D344" s="2">
        <v>965865213</v>
      </c>
      <c r="E344" s="2">
        <v>113676</v>
      </c>
      <c r="F344">
        <v>86</v>
      </c>
      <c r="G344" s="2">
        <v>89431811</v>
      </c>
      <c r="H344" s="2">
        <v>659870</v>
      </c>
      <c r="I344" s="2">
        <v>275016537</v>
      </c>
      <c r="J344">
        <v>148</v>
      </c>
      <c r="K344">
        <v>577</v>
      </c>
      <c r="L344">
        <v>0</v>
      </c>
      <c r="M344" t="str">
        <f t="shared" si="5"/>
        <v>After 2020</v>
      </c>
    </row>
    <row r="345" spans="1:13">
      <c r="A345" t="s">
        <v>584</v>
      </c>
      <c r="B345" t="s">
        <v>68</v>
      </c>
      <c r="C345" s="1">
        <v>44358</v>
      </c>
      <c r="D345" s="2">
        <v>1178076856</v>
      </c>
      <c r="E345" s="2">
        <v>164743</v>
      </c>
      <c r="F345">
        <v>71</v>
      </c>
      <c r="G345" s="2">
        <v>507790705</v>
      </c>
      <c r="H345" s="2">
        <v>6169368</v>
      </c>
      <c r="I345" s="2">
        <v>2422643413</v>
      </c>
      <c r="J345">
        <v>195</v>
      </c>
      <c r="K345" s="2">
        <v>1451</v>
      </c>
      <c r="L345">
        <v>1</v>
      </c>
      <c r="M345" t="str">
        <f t="shared" si="5"/>
        <v>After 2020</v>
      </c>
    </row>
    <row r="346" spans="1:13" hidden="1">
      <c r="A346" t="s">
        <v>585</v>
      </c>
      <c r="B346" t="s">
        <v>586</v>
      </c>
      <c r="C346" s="1">
        <v>45394</v>
      </c>
      <c r="D346" s="2">
        <v>29458027</v>
      </c>
      <c r="E346" s="2">
        <v>2602</v>
      </c>
      <c r="F346">
        <v>78</v>
      </c>
      <c r="G346" s="2">
        <v>8529869</v>
      </c>
      <c r="H346" s="2">
        <v>225779</v>
      </c>
      <c r="I346" s="2">
        <v>87680200</v>
      </c>
      <c r="J346">
        <v>9</v>
      </c>
      <c r="L346">
        <v>0</v>
      </c>
      <c r="M346" t="str">
        <f t="shared" si="5"/>
        <v>After 2020</v>
      </c>
    </row>
    <row r="347" spans="1:13">
      <c r="A347" t="s">
        <v>587</v>
      </c>
      <c r="B347" t="s">
        <v>588</v>
      </c>
      <c r="C347" s="1">
        <v>44854</v>
      </c>
      <c r="D347" s="2">
        <v>394381902</v>
      </c>
      <c r="E347" s="2">
        <v>22919</v>
      </c>
      <c r="F347">
        <v>73</v>
      </c>
      <c r="G347" s="2">
        <v>805683907</v>
      </c>
      <c r="H347" s="2">
        <v>2076505</v>
      </c>
      <c r="I347" s="2">
        <v>847830213</v>
      </c>
      <c r="J347">
        <v>24</v>
      </c>
      <c r="K347" s="2">
        <v>1169</v>
      </c>
      <c r="L347">
        <v>0</v>
      </c>
      <c r="M347" t="str">
        <f t="shared" si="5"/>
        <v>After 2020</v>
      </c>
    </row>
    <row r="348" spans="1:13">
      <c r="A348" t="s">
        <v>589</v>
      </c>
      <c r="B348" t="s">
        <v>590</v>
      </c>
      <c r="C348" s="1">
        <v>44693</v>
      </c>
      <c r="D348" s="2">
        <v>410722289</v>
      </c>
      <c r="E348" s="2">
        <v>130203</v>
      </c>
      <c r="F348">
        <v>68</v>
      </c>
      <c r="G348" s="2">
        <v>332556651</v>
      </c>
      <c r="H348" s="2">
        <v>1906835</v>
      </c>
      <c r="I348" s="2">
        <v>1049244970</v>
      </c>
      <c r="J348">
        <v>203</v>
      </c>
      <c r="K348" s="2">
        <v>2031</v>
      </c>
      <c r="L348">
        <v>0</v>
      </c>
      <c r="M348" t="str">
        <f t="shared" si="5"/>
        <v>After 2020</v>
      </c>
    </row>
    <row r="349" spans="1:13" hidden="1">
      <c r="A349" t="s">
        <v>591</v>
      </c>
      <c r="B349" t="s">
        <v>592</v>
      </c>
      <c r="C349" s="1">
        <v>44955</v>
      </c>
      <c r="D349" s="2">
        <v>8034198</v>
      </c>
      <c r="E349">
        <v>756</v>
      </c>
      <c r="G349" s="2">
        <v>32806412</v>
      </c>
      <c r="H349" s="2">
        <v>130043</v>
      </c>
      <c r="I349" s="2">
        <v>1953589891</v>
      </c>
      <c r="L349">
        <v>0</v>
      </c>
      <c r="M349" t="str">
        <f t="shared" si="5"/>
        <v>After 2020</v>
      </c>
    </row>
    <row r="350" spans="1:13">
      <c r="A350" t="s">
        <v>593</v>
      </c>
      <c r="B350" t="s">
        <v>531</v>
      </c>
      <c r="C350" s="1">
        <v>45128</v>
      </c>
      <c r="D350" s="2">
        <v>350584176</v>
      </c>
      <c r="E350" s="2">
        <v>79228</v>
      </c>
      <c r="F350">
        <v>68</v>
      </c>
      <c r="G350" s="2">
        <v>32342535</v>
      </c>
      <c r="H350" s="2">
        <v>452857</v>
      </c>
      <c r="I350" s="2">
        <v>11627298</v>
      </c>
      <c r="J350">
        <v>19</v>
      </c>
      <c r="K350" s="2">
        <v>1452</v>
      </c>
      <c r="L350">
        <v>1</v>
      </c>
      <c r="M350" t="str">
        <f t="shared" si="5"/>
        <v>After 2020</v>
      </c>
    </row>
    <row r="351" spans="1:13">
      <c r="A351" t="s">
        <v>594</v>
      </c>
      <c r="B351" t="s">
        <v>295</v>
      </c>
      <c r="C351" s="1">
        <v>44442</v>
      </c>
      <c r="D351" s="2">
        <v>732652170</v>
      </c>
      <c r="E351" s="2">
        <v>217189</v>
      </c>
      <c r="F351">
        <v>72</v>
      </c>
      <c r="G351" s="2">
        <v>247680355</v>
      </c>
      <c r="H351" s="2">
        <v>2184804</v>
      </c>
      <c r="I351" s="2">
        <v>711702658</v>
      </c>
      <c r="J351">
        <v>67</v>
      </c>
      <c r="K351">
        <v>443</v>
      </c>
      <c r="L351">
        <v>1</v>
      </c>
      <c r="M351" t="str">
        <f t="shared" si="5"/>
        <v>After 2020</v>
      </c>
    </row>
    <row r="352" spans="1:13">
      <c r="A352" t="s">
        <v>595</v>
      </c>
      <c r="B352" t="s">
        <v>596</v>
      </c>
      <c r="C352" s="1">
        <v>44700</v>
      </c>
      <c r="D352" s="2">
        <v>359416593</v>
      </c>
      <c r="E352" s="2">
        <v>91114</v>
      </c>
      <c r="F352">
        <v>64</v>
      </c>
      <c r="G352" s="2">
        <v>116400996</v>
      </c>
      <c r="H352" s="2">
        <v>2127918</v>
      </c>
      <c r="I352" s="2">
        <v>10488403602</v>
      </c>
      <c r="J352">
        <v>40</v>
      </c>
      <c r="K352" s="2">
        <v>7064</v>
      </c>
      <c r="L352">
        <v>1</v>
      </c>
      <c r="M352" t="str">
        <f t="shared" si="5"/>
        <v>After 2020</v>
      </c>
    </row>
    <row r="353" spans="1:13" hidden="1">
      <c r="A353" t="s">
        <v>597</v>
      </c>
      <c r="B353" t="s">
        <v>598</v>
      </c>
      <c r="C353" s="1">
        <v>45028</v>
      </c>
      <c r="D353" s="2">
        <v>356559943</v>
      </c>
      <c r="E353" s="2">
        <v>47785</v>
      </c>
      <c r="F353">
        <v>69</v>
      </c>
      <c r="G353" s="2">
        <v>490408465</v>
      </c>
      <c r="H353" s="2">
        <v>4295510</v>
      </c>
      <c r="I353" s="2">
        <v>1871819472</v>
      </c>
      <c r="J353">
        <v>59</v>
      </c>
      <c r="L353">
        <v>0</v>
      </c>
      <c r="M353" t="str">
        <f t="shared" si="5"/>
        <v>After 2020</v>
      </c>
    </row>
    <row r="354" spans="1:13" hidden="1">
      <c r="A354" t="s">
        <v>599</v>
      </c>
      <c r="B354" t="s">
        <v>51</v>
      </c>
      <c r="C354" s="1">
        <v>45429</v>
      </c>
      <c r="D354" s="2">
        <v>84575291</v>
      </c>
      <c r="E354" s="2">
        <v>5186</v>
      </c>
      <c r="F354">
        <v>85</v>
      </c>
      <c r="G354" s="2">
        <v>11080040</v>
      </c>
      <c r="H354" s="2">
        <v>346121</v>
      </c>
      <c r="J354">
        <v>95</v>
      </c>
      <c r="K354">
        <v>1</v>
      </c>
      <c r="L354">
        <v>0</v>
      </c>
      <c r="M354" t="str">
        <f t="shared" si="5"/>
        <v>After 2020</v>
      </c>
    </row>
    <row r="355" spans="1:13">
      <c r="A355" t="s">
        <v>600</v>
      </c>
      <c r="B355" t="s">
        <v>301</v>
      </c>
      <c r="C355" s="1">
        <v>44988</v>
      </c>
      <c r="D355" s="2">
        <v>406319778</v>
      </c>
      <c r="E355" s="2">
        <v>42283</v>
      </c>
      <c r="F355">
        <v>80</v>
      </c>
      <c r="G355" s="2">
        <v>84066193</v>
      </c>
      <c r="H355" s="2">
        <v>368256</v>
      </c>
      <c r="I355" s="2">
        <v>99492470</v>
      </c>
      <c r="J355">
        <v>50</v>
      </c>
      <c r="K355">
        <v>145</v>
      </c>
      <c r="L355">
        <v>0</v>
      </c>
      <c r="M355" t="str">
        <f t="shared" si="5"/>
        <v>After 2020</v>
      </c>
    </row>
    <row r="356" spans="1:13" hidden="1">
      <c r="A356" t="s">
        <v>601</v>
      </c>
      <c r="B356" t="s">
        <v>602</v>
      </c>
      <c r="C356" s="1">
        <v>45359</v>
      </c>
      <c r="D356" s="2">
        <v>272838329</v>
      </c>
      <c r="E356" s="2">
        <v>7265</v>
      </c>
      <c r="F356">
        <v>85</v>
      </c>
      <c r="G356" s="2">
        <v>105675950</v>
      </c>
      <c r="H356" s="2">
        <v>806116</v>
      </c>
      <c r="I356" s="2">
        <v>2099500</v>
      </c>
      <c r="J356">
        <v>23</v>
      </c>
      <c r="L356">
        <v>1</v>
      </c>
      <c r="M356" t="str">
        <f t="shared" si="5"/>
        <v>After 2020</v>
      </c>
    </row>
    <row r="357" spans="1:13">
      <c r="A357" t="s">
        <v>603</v>
      </c>
      <c r="B357" t="s">
        <v>266</v>
      </c>
      <c r="C357" s="1">
        <v>44287</v>
      </c>
      <c r="D357" s="2">
        <v>1606975517</v>
      </c>
      <c r="E357" s="2">
        <v>172376</v>
      </c>
      <c r="F357">
        <v>80</v>
      </c>
      <c r="G357" s="2">
        <v>638102695</v>
      </c>
      <c r="H357" s="2">
        <v>7847239</v>
      </c>
      <c r="I357" s="2">
        <v>3758269019</v>
      </c>
      <c r="J357">
        <v>206</v>
      </c>
      <c r="K357">
        <v>332</v>
      </c>
      <c r="L357">
        <v>1</v>
      </c>
      <c r="M357" t="str">
        <f t="shared" si="5"/>
        <v>After 2020</v>
      </c>
    </row>
    <row r="358" spans="1:13" hidden="1">
      <c r="A358" t="s">
        <v>604</v>
      </c>
      <c r="B358" t="s">
        <v>605</v>
      </c>
      <c r="C358" s="1">
        <v>44841</v>
      </c>
      <c r="D358" s="2">
        <v>1186</v>
      </c>
      <c r="E358">
        <v>5</v>
      </c>
      <c r="G358" s="2">
        <v>1231300374</v>
      </c>
      <c r="H358" s="2">
        <v>3158558</v>
      </c>
      <c r="L358">
        <v>0</v>
      </c>
      <c r="M358" t="str">
        <f t="shared" si="5"/>
        <v>After 2020</v>
      </c>
    </row>
    <row r="359" spans="1:13" hidden="1">
      <c r="A359" t="s">
        <v>606</v>
      </c>
      <c r="B359" t="s">
        <v>170</v>
      </c>
      <c r="C359" s="1">
        <v>45337</v>
      </c>
      <c r="D359" s="2">
        <v>162165853</v>
      </c>
      <c r="E359" s="2">
        <v>10306</v>
      </c>
      <c r="F359">
        <v>85</v>
      </c>
      <c r="G359" s="2">
        <v>93106341</v>
      </c>
      <c r="H359" s="2">
        <v>1394962</v>
      </c>
      <c r="J359">
        <v>66</v>
      </c>
      <c r="K359">
        <v>53</v>
      </c>
      <c r="L359">
        <v>0</v>
      </c>
      <c r="M359" t="str">
        <f t="shared" si="5"/>
        <v>After 2020</v>
      </c>
    </row>
    <row r="360" spans="1:13" hidden="1">
      <c r="A360" t="s">
        <v>607</v>
      </c>
      <c r="B360" t="s">
        <v>608</v>
      </c>
      <c r="C360" s="1">
        <v>45054</v>
      </c>
      <c r="D360" s="2">
        <v>148630357</v>
      </c>
      <c r="E360" s="2">
        <v>22962</v>
      </c>
      <c r="F360">
        <v>33</v>
      </c>
      <c r="G360" s="2">
        <v>61652249</v>
      </c>
      <c r="H360" s="2">
        <v>723007</v>
      </c>
      <c r="I360" s="2">
        <v>2299851479</v>
      </c>
      <c r="J360">
        <v>3</v>
      </c>
      <c r="L360">
        <v>1</v>
      </c>
      <c r="M360" t="str">
        <f t="shared" si="5"/>
        <v>After 2020</v>
      </c>
    </row>
    <row r="361" spans="1:13" hidden="1">
      <c r="A361" t="s">
        <v>609</v>
      </c>
      <c r="B361" t="s">
        <v>51</v>
      </c>
      <c r="C361" s="1">
        <v>45429</v>
      </c>
      <c r="D361" s="2">
        <v>100838516</v>
      </c>
      <c r="E361" s="2">
        <v>5188</v>
      </c>
      <c r="F361">
        <v>87</v>
      </c>
      <c r="G361" s="2">
        <v>6390843</v>
      </c>
      <c r="H361" s="2">
        <v>134606</v>
      </c>
      <c r="J361">
        <v>76</v>
      </c>
      <c r="K361">
        <v>5</v>
      </c>
      <c r="L361">
        <v>0</v>
      </c>
      <c r="M361" t="str">
        <f t="shared" si="5"/>
        <v>After 2020</v>
      </c>
    </row>
    <row r="362" spans="1:13">
      <c r="A362" t="s">
        <v>610</v>
      </c>
      <c r="B362" t="s">
        <v>43</v>
      </c>
      <c r="C362" s="1">
        <v>44763</v>
      </c>
      <c r="D362" s="2">
        <v>676519766</v>
      </c>
      <c r="E362" s="2">
        <v>192241</v>
      </c>
      <c r="F362">
        <v>74</v>
      </c>
      <c r="G362" s="2">
        <v>201326163</v>
      </c>
      <c r="H362" s="2">
        <v>3061387</v>
      </c>
      <c r="I362" s="2">
        <v>3919404141</v>
      </c>
      <c r="J362">
        <v>66</v>
      </c>
      <c r="K362" s="2">
        <v>2699</v>
      </c>
      <c r="L362">
        <v>1</v>
      </c>
      <c r="M362" t="str">
        <f t="shared" si="5"/>
        <v>After 2020</v>
      </c>
    </row>
    <row r="363" spans="1:13">
      <c r="A363" t="s">
        <v>611</v>
      </c>
      <c r="B363" t="s">
        <v>391</v>
      </c>
      <c r="C363" s="1">
        <v>43559</v>
      </c>
      <c r="D363" s="2">
        <v>820840650</v>
      </c>
      <c r="E363" s="2">
        <v>63934</v>
      </c>
      <c r="F363">
        <v>67</v>
      </c>
      <c r="G363" s="2">
        <v>2920436498</v>
      </c>
      <c r="H363" s="2">
        <v>40314889</v>
      </c>
      <c r="I363" s="2">
        <v>1616215054</v>
      </c>
      <c r="J363">
        <v>67</v>
      </c>
      <c r="K363">
        <v>24</v>
      </c>
      <c r="L363">
        <v>0</v>
      </c>
      <c r="M363" t="str">
        <f t="shared" si="5"/>
        <v>2010-2020</v>
      </c>
    </row>
    <row r="364" spans="1:13" hidden="1">
      <c r="A364" t="s">
        <v>612</v>
      </c>
      <c r="B364" t="s">
        <v>613</v>
      </c>
      <c r="C364" s="1">
        <v>45359</v>
      </c>
      <c r="D364" s="2">
        <v>81246715</v>
      </c>
      <c r="E364" s="2">
        <v>4073</v>
      </c>
      <c r="F364">
        <v>72</v>
      </c>
      <c r="G364" s="2">
        <v>146249969</v>
      </c>
      <c r="H364" s="2">
        <v>590112</v>
      </c>
      <c r="J364">
        <v>11</v>
      </c>
      <c r="L364">
        <v>0</v>
      </c>
      <c r="M364" t="str">
        <f t="shared" si="5"/>
        <v>After 2020</v>
      </c>
    </row>
    <row r="365" spans="1:13" hidden="1">
      <c r="A365" t="s">
        <v>614</v>
      </c>
      <c r="B365" t="s">
        <v>615</v>
      </c>
      <c r="C365" s="1">
        <v>45387</v>
      </c>
      <c r="D365" s="2">
        <v>176290078</v>
      </c>
      <c r="E365" s="2">
        <v>13470</v>
      </c>
      <c r="F365">
        <v>87</v>
      </c>
      <c r="G365" s="2">
        <v>6018651</v>
      </c>
      <c r="H365" s="2">
        <v>140562</v>
      </c>
      <c r="I365" s="2">
        <v>263955300</v>
      </c>
      <c r="J365">
        <v>99</v>
      </c>
      <c r="L365">
        <v>0</v>
      </c>
      <c r="M365" t="str">
        <f t="shared" si="5"/>
        <v>After 2020</v>
      </c>
    </row>
    <row r="366" spans="1:13">
      <c r="A366" t="s">
        <v>616</v>
      </c>
      <c r="B366" t="s">
        <v>617</v>
      </c>
      <c r="C366" s="1">
        <v>43329</v>
      </c>
      <c r="D366" s="2">
        <v>1668741024</v>
      </c>
      <c r="E366" s="2">
        <v>174052</v>
      </c>
      <c r="F366">
        <v>76</v>
      </c>
      <c r="G366" s="2">
        <v>1254501233</v>
      </c>
      <c r="H366" s="2">
        <v>9554049</v>
      </c>
      <c r="I366" s="2">
        <v>2733847243</v>
      </c>
      <c r="J366">
        <v>192</v>
      </c>
      <c r="K366">
        <v>784</v>
      </c>
      <c r="L366">
        <v>0</v>
      </c>
      <c r="M366" t="str">
        <f t="shared" si="5"/>
        <v>2010-2020</v>
      </c>
    </row>
    <row r="367" spans="1:13">
      <c r="A367" t="s">
        <v>618</v>
      </c>
      <c r="B367" t="s">
        <v>619</v>
      </c>
      <c r="C367" s="1">
        <v>44840</v>
      </c>
      <c r="D367" s="2">
        <v>986132265</v>
      </c>
      <c r="E367" s="2">
        <v>97956</v>
      </c>
      <c r="F367">
        <v>76</v>
      </c>
      <c r="G367" s="2">
        <v>383748675</v>
      </c>
      <c r="H367" s="2">
        <v>1303919</v>
      </c>
      <c r="I367" s="2">
        <v>2145975300</v>
      </c>
      <c r="J367">
        <v>79</v>
      </c>
      <c r="K367">
        <v>79</v>
      </c>
      <c r="L367">
        <v>0</v>
      </c>
      <c r="M367" t="str">
        <f t="shared" si="5"/>
        <v>After 2020</v>
      </c>
    </row>
    <row r="368" spans="1:13">
      <c r="A368" t="s">
        <v>620</v>
      </c>
      <c r="B368" t="s">
        <v>621</v>
      </c>
      <c r="C368" s="1">
        <v>44635</v>
      </c>
      <c r="D368" s="2">
        <v>626010147</v>
      </c>
      <c r="E368" s="2">
        <v>185422</v>
      </c>
      <c r="F368">
        <v>74</v>
      </c>
      <c r="G368" s="2">
        <v>202193289</v>
      </c>
      <c r="H368" s="2">
        <v>1277287</v>
      </c>
      <c r="I368" s="2">
        <v>368044894</v>
      </c>
      <c r="J368">
        <v>132</v>
      </c>
      <c r="K368">
        <v>332</v>
      </c>
      <c r="L368">
        <v>0</v>
      </c>
      <c r="M368" t="str">
        <f t="shared" si="5"/>
        <v>After 2020</v>
      </c>
    </row>
    <row r="369" spans="1:13">
      <c r="A369" t="s">
        <v>622</v>
      </c>
      <c r="B369" t="s">
        <v>623</v>
      </c>
      <c r="C369" s="1">
        <v>43378</v>
      </c>
      <c r="D369" s="2">
        <v>1606023895</v>
      </c>
      <c r="E369" s="2">
        <v>225643</v>
      </c>
      <c r="F369">
        <v>71</v>
      </c>
      <c r="G369" s="2">
        <v>1151842584</v>
      </c>
      <c r="H369" s="2">
        <v>15653870</v>
      </c>
      <c r="I369" s="2">
        <v>8742744684</v>
      </c>
      <c r="J369">
        <v>115</v>
      </c>
      <c r="K369">
        <v>126</v>
      </c>
      <c r="L369">
        <v>0</v>
      </c>
      <c r="M369" t="str">
        <f t="shared" si="5"/>
        <v>2010-2020</v>
      </c>
    </row>
    <row r="370" spans="1:13">
      <c r="A370" t="s">
        <v>624</v>
      </c>
      <c r="B370" t="s">
        <v>81</v>
      </c>
      <c r="C370" s="1">
        <v>44127</v>
      </c>
      <c r="D370" s="2">
        <v>1432830108</v>
      </c>
      <c r="E370" s="2">
        <v>139215</v>
      </c>
      <c r="F370">
        <v>74</v>
      </c>
      <c r="G370" s="2">
        <v>778340255</v>
      </c>
      <c r="H370" s="2">
        <v>10401273</v>
      </c>
      <c r="I370" s="2">
        <v>1984520688</v>
      </c>
      <c r="J370">
        <v>283</v>
      </c>
      <c r="K370">
        <v>639</v>
      </c>
      <c r="L370">
        <v>1</v>
      </c>
      <c r="M370" t="str">
        <f t="shared" si="5"/>
        <v>2010-2020</v>
      </c>
    </row>
    <row r="371" spans="1:13">
      <c r="A371" t="s">
        <v>625</v>
      </c>
      <c r="B371" t="s">
        <v>626</v>
      </c>
      <c r="C371" s="1">
        <v>44407</v>
      </c>
      <c r="D371" s="2">
        <v>1223329465</v>
      </c>
      <c r="E371" s="2">
        <v>211823</v>
      </c>
      <c r="F371">
        <v>74</v>
      </c>
      <c r="G371" s="2">
        <v>214359669</v>
      </c>
      <c r="H371" s="2">
        <v>1467163</v>
      </c>
      <c r="I371" s="2">
        <v>413908070</v>
      </c>
      <c r="J371">
        <v>256</v>
      </c>
      <c r="K371">
        <v>308</v>
      </c>
      <c r="L371">
        <v>0</v>
      </c>
      <c r="M371" t="str">
        <f t="shared" si="5"/>
        <v>After 2020</v>
      </c>
    </row>
    <row r="372" spans="1:13" hidden="1">
      <c r="A372" t="s">
        <v>627</v>
      </c>
      <c r="B372" t="s">
        <v>487</v>
      </c>
      <c r="C372" s="1">
        <v>45373</v>
      </c>
      <c r="D372" s="2">
        <v>302177116</v>
      </c>
      <c r="E372">
        <v>34</v>
      </c>
      <c r="J372">
        <v>6</v>
      </c>
      <c r="L372">
        <v>0</v>
      </c>
      <c r="M372" t="str">
        <f t="shared" si="5"/>
        <v>After 2020</v>
      </c>
    </row>
    <row r="373" spans="1:13">
      <c r="A373" t="s">
        <v>628</v>
      </c>
      <c r="B373" t="s">
        <v>127</v>
      </c>
      <c r="C373" s="1">
        <v>43910</v>
      </c>
      <c r="D373" s="2">
        <v>1995511952</v>
      </c>
      <c r="E373" s="2">
        <v>304456</v>
      </c>
      <c r="F373">
        <v>80</v>
      </c>
      <c r="G373" s="2">
        <v>365257705</v>
      </c>
      <c r="H373" s="2">
        <v>2699016</v>
      </c>
      <c r="I373" s="2">
        <v>1154403769</v>
      </c>
      <c r="J373">
        <v>285</v>
      </c>
      <c r="K373">
        <v>321</v>
      </c>
      <c r="L373">
        <v>1</v>
      </c>
      <c r="M373" t="str">
        <f t="shared" si="5"/>
        <v>2010-2020</v>
      </c>
    </row>
    <row r="374" spans="1:13">
      <c r="A374" t="s">
        <v>629</v>
      </c>
      <c r="B374" t="s">
        <v>51</v>
      </c>
      <c r="C374" s="1">
        <v>44407</v>
      </c>
      <c r="D374" s="2">
        <v>1321878145</v>
      </c>
      <c r="E374" s="2">
        <v>189487</v>
      </c>
      <c r="F374">
        <v>78</v>
      </c>
      <c r="G374" s="2">
        <v>530778926</v>
      </c>
      <c r="H374" s="2">
        <v>8470860</v>
      </c>
      <c r="I374" s="2">
        <v>2295813182</v>
      </c>
      <c r="J374">
        <v>199</v>
      </c>
      <c r="K374">
        <v>275</v>
      </c>
      <c r="L374">
        <v>1</v>
      </c>
      <c r="M374" t="str">
        <f t="shared" si="5"/>
        <v>After 2020</v>
      </c>
    </row>
    <row r="375" spans="1:13">
      <c r="A375" t="s">
        <v>630</v>
      </c>
      <c r="B375" t="s">
        <v>631</v>
      </c>
      <c r="C375" s="1">
        <v>42489</v>
      </c>
      <c r="D375" s="2">
        <v>1746790923</v>
      </c>
      <c r="E375" s="2">
        <v>204049</v>
      </c>
      <c r="F375">
        <v>79</v>
      </c>
      <c r="G375" s="2">
        <v>3084719501</v>
      </c>
      <c r="H375" s="2">
        <v>13411706</v>
      </c>
      <c r="I375" s="2">
        <v>137718139</v>
      </c>
      <c r="J375">
        <v>356</v>
      </c>
      <c r="K375">
        <v>81</v>
      </c>
      <c r="L375">
        <v>0</v>
      </c>
      <c r="M375" t="str">
        <f t="shared" si="5"/>
        <v>2010-2020</v>
      </c>
    </row>
    <row r="376" spans="1:13">
      <c r="A376" t="s">
        <v>632</v>
      </c>
      <c r="B376" t="s">
        <v>633</v>
      </c>
      <c r="C376" s="1">
        <v>43665</v>
      </c>
      <c r="D376" s="2">
        <v>1178076574</v>
      </c>
      <c r="E376" s="2">
        <v>137559</v>
      </c>
      <c r="F376">
        <v>68</v>
      </c>
      <c r="G376" s="2">
        <v>2324673715</v>
      </c>
      <c r="H376" s="2">
        <v>9851235</v>
      </c>
      <c r="I376" s="2">
        <v>146747450</v>
      </c>
      <c r="J376">
        <v>182</v>
      </c>
      <c r="K376">
        <v>20</v>
      </c>
      <c r="L376">
        <v>0</v>
      </c>
      <c r="M376" t="str">
        <f t="shared" si="5"/>
        <v>2010-2020</v>
      </c>
    </row>
    <row r="377" spans="1:13" hidden="1">
      <c r="A377" t="s">
        <v>634</v>
      </c>
      <c r="B377" t="s">
        <v>635</v>
      </c>
      <c r="C377" s="1">
        <v>41275</v>
      </c>
      <c r="D377" s="2">
        <v>759374819</v>
      </c>
      <c r="E377" s="2">
        <v>64239</v>
      </c>
      <c r="F377">
        <v>69</v>
      </c>
      <c r="G377" s="2">
        <v>4168791151</v>
      </c>
      <c r="H377" s="2">
        <v>11589558</v>
      </c>
      <c r="I377" s="2">
        <v>966469545</v>
      </c>
      <c r="J377">
        <v>151</v>
      </c>
      <c r="L377">
        <v>0</v>
      </c>
      <c r="M377" t="str">
        <f t="shared" si="5"/>
        <v>2010-2020</v>
      </c>
    </row>
    <row r="378" spans="1:13">
      <c r="A378" t="s">
        <v>483</v>
      </c>
      <c r="B378" t="s">
        <v>504</v>
      </c>
      <c r="C378" s="1">
        <v>43175</v>
      </c>
      <c r="D378" s="2">
        <v>1885431727</v>
      </c>
      <c r="E378" s="2">
        <v>241112</v>
      </c>
      <c r="F378">
        <v>77</v>
      </c>
      <c r="G378" s="2">
        <v>1607650475</v>
      </c>
      <c r="H378" s="2">
        <v>24201486</v>
      </c>
      <c r="I378" s="2">
        <v>300772720</v>
      </c>
      <c r="J378">
        <v>66</v>
      </c>
      <c r="K378">
        <v>2</v>
      </c>
      <c r="L378">
        <v>1</v>
      </c>
      <c r="M378" t="str">
        <f t="shared" si="5"/>
        <v>2010-2020</v>
      </c>
    </row>
    <row r="379" spans="1:13" hidden="1">
      <c r="A379" t="s">
        <v>46</v>
      </c>
      <c r="B379" t="s">
        <v>47</v>
      </c>
      <c r="C379" s="1">
        <v>45422</v>
      </c>
      <c r="D379" s="2">
        <v>250080413</v>
      </c>
      <c r="E379" s="2">
        <v>2711</v>
      </c>
      <c r="J379">
        <v>137</v>
      </c>
      <c r="L379">
        <v>0</v>
      </c>
      <c r="M379" t="str">
        <f t="shared" si="5"/>
        <v>After 2020</v>
      </c>
    </row>
    <row r="380" spans="1:13">
      <c r="A380" t="s">
        <v>636</v>
      </c>
      <c r="B380" t="s">
        <v>637</v>
      </c>
      <c r="C380" s="1">
        <v>45341</v>
      </c>
      <c r="D380" s="2">
        <v>159256689</v>
      </c>
      <c r="E380" s="2">
        <v>6829</v>
      </c>
      <c r="F380">
        <v>74</v>
      </c>
      <c r="G380" s="2">
        <v>130698280</v>
      </c>
      <c r="H380" s="2">
        <v>1872592</v>
      </c>
      <c r="I380" s="2">
        <v>2059824051</v>
      </c>
      <c r="J380">
        <v>13</v>
      </c>
      <c r="K380">
        <v>16</v>
      </c>
      <c r="L380">
        <v>0</v>
      </c>
      <c r="M380" t="str">
        <f t="shared" si="5"/>
        <v>After 2020</v>
      </c>
    </row>
    <row r="381" spans="1:13">
      <c r="A381" t="s">
        <v>638</v>
      </c>
      <c r="B381" t="s">
        <v>305</v>
      </c>
      <c r="C381" s="1">
        <v>42691</v>
      </c>
      <c r="D381" s="2">
        <v>2075459887</v>
      </c>
      <c r="E381" s="2">
        <v>209632</v>
      </c>
      <c r="F381">
        <v>80</v>
      </c>
      <c r="G381" s="2">
        <v>2696139998</v>
      </c>
      <c r="H381" s="2">
        <v>17077084</v>
      </c>
      <c r="I381" s="2">
        <v>704916578</v>
      </c>
      <c r="J381">
        <v>142</v>
      </c>
      <c r="K381">
        <v>316</v>
      </c>
      <c r="L381">
        <v>0</v>
      </c>
      <c r="M381" t="str">
        <f t="shared" si="5"/>
        <v>2010-2020</v>
      </c>
    </row>
    <row r="382" spans="1:13" hidden="1">
      <c r="A382" t="s">
        <v>639</v>
      </c>
      <c r="B382" t="s">
        <v>640</v>
      </c>
      <c r="C382" s="1">
        <v>44832</v>
      </c>
      <c r="D382" s="2">
        <v>21667023</v>
      </c>
      <c r="E382" s="2">
        <v>9105</v>
      </c>
      <c r="G382" s="2">
        <v>48246851</v>
      </c>
      <c r="H382" s="2">
        <v>435329</v>
      </c>
      <c r="I382" s="2">
        <v>5361829317</v>
      </c>
      <c r="J382">
        <v>2</v>
      </c>
      <c r="L382">
        <v>0</v>
      </c>
      <c r="M382" t="str">
        <f t="shared" si="5"/>
        <v>After 2020</v>
      </c>
    </row>
    <row r="383" spans="1:13">
      <c r="A383" t="s">
        <v>641</v>
      </c>
      <c r="B383" t="s">
        <v>642</v>
      </c>
      <c r="C383" s="1">
        <v>44090</v>
      </c>
      <c r="D383" s="2">
        <v>1191635193</v>
      </c>
      <c r="E383" s="2">
        <v>255697</v>
      </c>
      <c r="F383">
        <v>70</v>
      </c>
      <c r="G383" s="2">
        <v>539885283</v>
      </c>
      <c r="H383" s="2">
        <v>4027102</v>
      </c>
      <c r="I383" s="2">
        <v>1435552956</v>
      </c>
      <c r="J383">
        <v>362</v>
      </c>
      <c r="K383">
        <v>484</v>
      </c>
      <c r="L383">
        <v>0</v>
      </c>
      <c r="M383" t="str">
        <f t="shared" si="5"/>
        <v>2010-2020</v>
      </c>
    </row>
    <row r="384" spans="1:13">
      <c r="A384" t="s">
        <v>643</v>
      </c>
      <c r="B384" t="s">
        <v>644</v>
      </c>
      <c r="C384" s="1">
        <v>43672</v>
      </c>
      <c r="D384" s="2">
        <v>1349427877</v>
      </c>
      <c r="E384" s="2">
        <v>220002</v>
      </c>
      <c r="F384">
        <v>76</v>
      </c>
      <c r="G384" s="2">
        <v>564022753</v>
      </c>
      <c r="H384" s="2">
        <v>3884141</v>
      </c>
      <c r="I384" s="2">
        <v>5118900832</v>
      </c>
      <c r="J384">
        <v>357</v>
      </c>
      <c r="K384">
        <v>894</v>
      </c>
      <c r="L384">
        <v>0</v>
      </c>
      <c r="M384" t="str">
        <f t="shared" si="5"/>
        <v>2010-2020</v>
      </c>
    </row>
    <row r="385" spans="1:13">
      <c r="A385" t="s">
        <v>645</v>
      </c>
      <c r="B385" t="s">
        <v>646</v>
      </c>
      <c r="C385" s="1">
        <v>45196</v>
      </c>
      <c r="D385" s="2">
        <v>121234000</v>
      </c>
      <c r="E385" s="2">
        <v>36468</v>
      </c>
      <c r="F385">
        <v>42</v>
      </c>
      <c r="G385" s="2">
        <v>78160610</v>
      </c>
      <c r="H385" s="2">
        <v>806269</v>
      </c>
      <c r="I385" s="2">
        <v>395342206</v>
      </c>
      <c r="J385">
        <v>48</v>
      </c>
      <c r="K385">
        <v>163</v>
      </c>
      <c r="L385">
        <v>0</v>
      </c>
      <c r="M385" t="str">
        <f t="shared" si="5"/>
        <v>After 2020</v>
      </c>
    </row>
    <row r="386" spans="1:13">
      <c r="A386" t="s">
        <v>647</v>
      </c>
      <c r="B386" t="s">
        <v>170</v>
      </c>
      <c r="C386" s="1">
        <v>44127</v>
      </c>
      <c r="D386" s="2">
        <v>868091483</v>
      </c>
      <c r="E386" s="2">
        <v>86379</v>
      </c>
      <c r="F386">
        <v>64</v>
      </c>
      <c r="G386" s="2">
        <v>1591945481</v>
      </c>
      <c r="H386" s="2">
        <v>7916193</v>
      </c>
      <c r="I386" s="2">
        <v>1153849236</v>
      </c>
      <c r="J386">
        <v>133</v>
      </c>
      <c r="K386">
        <v>239</v>
      </c>
      <c r="L386">
        <v>1</v>
      </c>
      <c r="M386" t="str">
        <f t="shared" si="5"/>
        <v>2010-2020</v>
      </c>
    </row>
    <row r="387" spans="1:13" hidden="1">
      <c r="A387" t="s">
        <v>648</v>
      </c>
      <c r="B387" t="s">
        <v>649</v>
      </c>
      <c r="C387" s="1">
        <v>45401</v>
      </c>
      <c r="D387" s="2">
        <v>54940563</v>
      </c>
      <c r="E387" s="2">
        <v>2630</v>
      </c>
      <c r="F387">
        <v>75</v>
      </c>
      <c r="G387" s="2">
        <v>77507185</v>
      </c>
      <c r="H387" s="2">
        <v>547375</v>
      </c>
      <c r="J387">
        <v>9</v>
      </c>
      <c r="L387">
        <v>0</v>
      </c>
      <c r="M387" t="str">
        <f t="shared" ref="M387:M450" si="6">IF(YEAR(C387)&lt;2010,"Before 2010",IF(YEAR(C387)&lt;=2020,"2010-2020","After 2020"))</f>
        <v>After 2020</v>
      </c>
    </row>
    <row r="388" spans="1:13" hidden="1">
      <c r="A388" t="s">
        <v>650</v>
      </c>
      <c r="B388" t="s">
        <v>297</v>
      </c>
      <c r="C388" s="1">
        <v>45452</v>
      </c>
      <c r="D388" s="2">
        <v>86203995</v>
      </c>
      <c r="E388">
        <v>2</v>
      </c>
      <c r="F388">
        <v>1</v>
      </c>
      <c r="L388">
        <v>0</v>
      </c>
      <c r="M388" t="str">
        <f t="shared" si="6"/>
        <v>After 2020</v>
      </c>
    </row>
    <row r="389" spans="1:13" hidden="1">
      <c r="A389" t="s">
        <v>651</v>
      </c>
      <c r="B389" t="s">
        <v>652</v>
      </c>
      <c r="C389" s="1">
        <v>44978</v>
      </c>
      <c r="E389">
        <v>163</v>
      </c>
      <c r="F389">
        <v>15</v>
      </c>
      <c r="G389" s="2">
        <v>915870602</v>
      </c>
      <c r="H389" s="2">
        <v>2980959</v>
      </c>
      <c r="I389" s="2">
        <v>91112</v>
      </c>
      <c r="J389">
        <v>1</v>
      </c>
      <c r="L389">
        <v>0</v>
      </c>
      <c r="M389" t="str">
        <f t="shared" si="6"/>
        <v>After 2020</v>
      </c>
    </row>
    <row r="390" spans="1:13">
      <c r="A390" t="s">
        <v>653</v>
      </c>
      <c r="B390" t="s">
        <v>127</v>
      </c>
      <c r="C390" s="1">
        <v>42151</v>
      </c>
      <c r="D390" s="2">
        <v>2306740926</v>
      </c>
      <c r="E390" s="2">
        <v>333310</v>
      </c>
      <c r="F390">
        <v>80</v>
      </c>
      <c r="G390" s="2">
        <v>2404495013</v>
      </c>
      <c r="H390" s="2">
        <v>15819333</v>
      </c>
      <c r="I390" s="2">
        <v>1174129136</v>
      </c>
      <c r="J390">
        <v>178</v>
      </c>
      <c r="K390">
        <v>131</v>
      </c>
      <c r="L390">
        <v>1</v>
      </c>
      <c r="M390" t="str">
        <f t="shared" si="6"/>
        <v>2010-2020</v>
      </c>
    </row>
    <row r="391" spans="1:13" hidden="1">
      <c r="A391" t="s">
        <v>654</v>
      </c>
      <c r="B391" t="s">
        <v>299</v>
      </c>
      <c r="C391" s="1">
        <v>45121</v>
      </c>
      <c r="D391" s="2">
        <v>1673557134</v>
      </c>
      <c r="E391" s="2">
        <v>15863</v>
      </c>
      <c r="F391">
        <v>72</v>
      </c>
      <c r="I391" s="2">
        <v>1092175292</v>
      </c>
      <c r="J391">
        <v>57</v>
      </c>
      <c r="L391">
        <v>0</v>
      </c>
      <c r="M391" t="str">
        <f t="shared" si="6"/>
        <v>After 2020</v>
      </c>
    </row>
    <row r="392" spans="1:13">
      <c r="A392" t="s">
        <v>655</v>
      </c>
      <c r="B392" t="s">
        <v>51</v>
      </c>
      <c r="C392" s="1">
        <v>45429</v>
      </c>
      <c r="D392" s="2">
        <v>77212437</v>
      </c>
      <c r="E392" s="2">
        <v>4083</v>
      </c>
      <c r="F392">
        <v>84</v>
      </c>
      <c r="G392" s="2">
        <v>7658766</v>
      </c>
      <c r="H392" s="2">
        <v>246884</v>
      </c>
      <c r="I392" s="2">
        <v>1423956</v>
      </c>
      <c r="J392">
        <v>52</v>
      </c>
      <c r="K392">
        <v>2</v>
      </c>
      <c r="L392">
        <v>0</v>
      </c>
      <c r="M392" t="str">
        <f t="shared" si="6"/>
        <v>After 2020</v>
      </c>
    </row>
    <row r="393" spans="1:13" hidden="1">
      <c r="A393" t="s">
        <v>656</v>
      </c>
      <c r="B393" t="s">
        <v>657</v>
      </c>
      <c r="C393" s="1">
        <v>45449</v>
      </c>
      <c r="L393">
        <v>0</v>
      </c>
      <c r="M393" t="str">
        <f t="shared" si="6"/>
        <v>After 2020</v>
      </c>
    </row>
    <row r="394" spans="1:13">
      <c r="A394" t="s">
        <v>658</v>
      </c>
      <c r="B394" t="s">
        <v>258</v>
      </c>
      <c r="C394" s="1">
        <v>44672</v>
      </c>
      <c r="D394" s="2">
        <v>719593291</v>
      </c>
      <c r="E394" s="2">
        <v>74269</v>
      </c>
      <c r="F394">
        <v>67</v>
      </c>
      <c r="G394" s="2">
        <v>719244041</v>
      </c>
      <c r="H394" s="2">
        <v>4424400</v>
      </c>
      <c r="I394" s="2">
        <v>2594106000</v>
      </c>
      <c r="J394">
        <v>98</v>
      </c>
      <c r="K394">
        <v>455</v>
      </c>
      <c r="L394">
        <v>0</v>
      </c>
      <c r="M394" t="str">
        <f t="shared" si="6"/>
        <v>After 2020</v>
      </c>
    </row>
    <row r="395" spans="1:13">
      <c r="A395" t="s">
        <v>659</v>
      </c>
      <c r="B395" t="s">
        <v>660</v>
      </c>
      <c r="C395" s="1">
        <v>45168</v>
      </c>
      <c r="D395" s="2">
        <v>642548537</v>
      </c>
      <c r="E395" s="2">
        <v>36781</v>
      </c>
      <c r="F395">
        <v>81</v>
      </c>
      <c r="G395" s="2">
        <v>227994801</v>
      </c>
      <c r="H395" s="2">
        <v>335112</v>
      </c>
      <c r="I395" s="2">
        <v>499670882</v>
      </c>
      <c r="J395">
        <v>34</v>
      </c>
      <c r="K395">
        <v>45</v>
      </c>
      <c r="L395">
        <v>1</v>
      </c>
      <c r="M395" t="str">
        <f t="shared" si="6"/>
        <v>After 2020</v>
      </c>
    </row>
    <row r="396" spans="1:13" hidden="1">
      <c r="A396" t="s">
        <v>661</v>
      </c>
      <c r="B396" t="s">
        <v>662</v>
      </c>
      <c r="C396" s="1">
        <v>45240</v>
      </c>
      <c r="D396" s="2">
        <v>180784576</v>
      </c>
      <c r="E396" s="2">
        <v>22208</v>
      </c>
      <c r="F396">
        <v>83</v>
      </c>
      <c r="G396" s="2">
        <v>29260192</v>
      </c>
      <c r="H396" s="2">
        <v>247757</v>
      </c>
      <c r="I396" s="2">
        <v>61731912</v>
      </c>
      <c r="J396">
        <v>91</v>
      </c>
      <c r="L396">
        <v>0</v>
      </c>
      <c r="M396" t="str">
        <f t="shared" si="6"/>
        <v>After 2020</v>
      </c>
    </row>
    <row r="397" spans="1:13" hidden="1">
      <c r="A397" t="s">
        <v>95</v>
      </c>
      <c r="B397" t="s">
        <v>96</v>
      </c>
      <c r="C397" s="1">
        <v>45394</v>
      </c>
      <c r="D397" s="2">
        <v>311928522</v>
      </c>
      <c r="E397" s="2">
        <v>1668</v>
      </c>
      <c r="F397">
        <v>23</v>
      </c>
      <c r="J397">
        <v>118</v>
      </c>
      <c r="L397">
        <v>0</v>
      </c>
      <c r="M397" t="str">
        <f t="shared" si="6"/>
        <v>After 2020</v>
      </c>
    </row>
    <row r="398" spans="1:13">
      <c r="A398" t="s">
        <v>663</v>
      </c>
      <c r="B398" t="s">
        <v>161</v>
      </c>
      <c r="C398" s="1">
        <v>44826</v>
      </c>
      <c r="D398" s="2">
        <v>428164381</v>
      </c>
      <c r="E398" s="2">
        <v>80340</v>
      </c>
      <c r="F398">
        <v>68</v>
      </c>
      <c r="G398" s="2">
        <v>138760138</v>
      </c>
      <c r="H398" s="2">
        <v>1465825</v>
      </c>
      <c r="I398" s="2">
        <v>419346148</v>
      </c>
      <c r="J398">
        <v>69</v>
      </c>
      <c r="K398">
        <v>534</v>
      </c>
      <c r="L398">
        <v>1</v>
      </c>
      <c r="M398" t="str">
        <f t="shared" si="6"/>
        <v>After 2020</v>
      </c>
    </row>
    <row r="399" spans="1:13">
      <c r="A399" t="s">
        <v>664</v>
      </c>
      <c r="B399" t="s">
        <v>444</v>
      </c>
      <c r="C399" s="1">
        <v>44540</v>
      </c>
      <c r="D399" s="2">
        <v>1021480638</v>
      </c>
      <c r="E399" s="2">
        <v>119558</v>
      </c>
      <c r="F399">
        <v>78</v>
      </c>
      <c r="G399" s="2">
        <v>722946861</v>
      </c>
      <c r="H399" s="2">
        <v>3591807</v>
      </c>
      <c r="I399" s="2">
        <v>2153526389</v>
      </c>
      <c r="J399">
        <v>75</v>
      </c>
      <c r="K399">
        <v>92</v>
      </c>
      <c r="L399">
        <v>1</v>
      </c>
      <c r="M399" t="str">
        <f t="shared" si="6"/>
        <v>After 2020</v>
      </c>
    </row>
    <row r="400" spans="1:13" hidden="1">
      <c r="A400" t="s">
        <v>665</v>
      </c>
      <c r="B400" t="s">
        <v>157</v>
      </c>
      <c r="C400" s="1">
        <v>45301</v>
      </c>
      <c r="D400" s="2">
        <v>224033701</v>
      </c>
      <c r="E400" s="2">
        <v>20266</v>
      </c>
      <c r="G400" s="2">
        <v>138348246</v>
      </c>
      <c r="H400" s="2">
        <v>2036793</v>
      </c>
      <c r="I400" s="2">
        <v>22394778</v>
      </c>
      <c r="J400">
        <v>23</v>
      </c>
      <c r="K400">
        <v>104</v>
      </c>
      <c r="L400">
        <v>0</v>
      </c>
      <c r="M400" t="str">
        <f t="shared" si="6"/>
        <v>After 2020</v>
      </c>
    </row>
    <row r="401" spans="1:13">
      <c r="A401" t="s">
        <v>666</v>
      </c>
      <c r="B401" t="s">
        <v>357</v>
      </c>
      <c r="C401" s="1">
        <v>41880</v>
      </c>
      <c r="D401" s="2">
        <v>1838092894</v>
      </c>
      <c r="E401" s="2">
        <v>186038</v>
      </c>
      <c r="F401">
        <v>75</v>
      </c>
      <c r="G401" s="2">
        <v>4151880976</v>
      </c>
      <c r="H401" s="2">
        <v>16983201</v>
      </c>
      <c r="I401" s="2">
        <v>406531709</v>
      </c>
      <c r="J401">
        <v>197</v>
      </c>
      <c r="K401">
        <v>240</v>
      </c>
      <c r="L401">
        <v>1</v>
      </c>
      <c r="M401" t="str">
        <f t="shared" si="6"/>
        <v>2010-2020</v>
      </c>
    </row>
    <row r="402" spans="1:13" hidden="1">
      <c r="A402" t="s">
        <v>667</v>
      </c>
      <c r="B402" t="s">
        <v>668</v>
      </c>
      <c r="C402" s="1">
        <v>45369</v>
      </c>
      <c r="D402" s="2">
        <v>564444844</v>
      </c>
      <c r="E402">
        <v>5</v>
      </c>
      <c r="L402">
        <v>1</v>
      </c>
      <c r="M402" t="str">
        <f t="shared" si="6"/>
        <v>After 2020</v>
      </c>
    </row>
    <row r="403" spans="1:13" hidden="1">
      <c r="A403" t="s">
        <v>669</v>
      </c>
      <c r="B403" t="s">
        <v>484</v>
      </c>
      <c r="C403" s="1">
        <v>45303</v>
      </c>
      <c r="D403" s="2">
        <v>263568994</v>
      </c>
      <c r="E403" s="2">
        <v>17285</v>
      </c>
      <c r="G403" s="2">
        <v>113081188</v>
      </c>
      <c r="H403" s="2">
        <v>1249785</v>
      </c>
      <c r="I403" s="2">
        <v>11612300</v>
      </c>
      <c r="J403">
        <v>46</v>
      </c>
      <c r="K403">
        <v>6</v>
      </c>
      <c r="L403">
        <v>0</v>
      </c>
      <c r="M403" t="str">
        <f t="shared" si="6"/>
        <v>After 2020</v>
      </c>
    </row>
    <row r="404" spans="1:13" hidden="1">
      <c r="A404" t="s">
        <v>670</v>
      </c>
      <c r="B404" t="s">
        <v>671</v>
      </c>
      <c r="C404" s="1">
        <v>44940</v>
      </c>
      <c r="D404" s="2">
        <v>1993244</v>
      </c>
      <c r="E404">
        <v>245</v>
      </c>
      <c r="F404">
        <v>28</v>
      </c>
      <c r="G404" s="2">
        <v>944088313</v>
      </c>
      <c r="H404" s="2">
        <v>6351302</v>
      </c>
      <c r="L404">
        <v>0</v>
      </c>
      <c r="M404" t="str">
        <f t="shared" si="6"/>
        <v>After 2020</v>
      </c>
    </row>
    <row r="405" spans="1:13">
      <c r="A405" t="s">
        <v>672</v>
      </c>
      <c r="B405" t="s">
        <v>161</v>
      </c>
      <c r="C405" s="1">
        <v>43560</v>
      </c>
      <c r="D405" s="2">
        <v>1527106099</v>
      </c>
      <c r="E405" s="2">
        <v>186252</v>
      </c>
      <c r="F405">
        <v>68</v>
      </c>
      <c r="G405" s="2">
        <v>11512</v>
      </c>
      <c r="H405">
        <v>171</v>
      </c>
      <c r="I405" s="2">
        <v>478304071</v>
      </c>
      <c r="J405">
        <v>263</v>
      </c>
      <c r="K405">
        <v>6</v>
      </c>
      <c r="L405">
        <v>0</v>
      </c>
      <c r="M405" t="str">
        <f t="shared" si="6"/>
        <v>2010-2020</v>
      </c>
    </row>
    <row r="406" spans="1:13">
      <c r="A406" t="s">
        <v>673</v>
      </c>
      <c r="B406" t="s">
        <v>674</v>
      </c>
      <c r="C406" s="1">
        <v>42587</v>
      </c>
      <c r="D406" s="2">
        <v>2147028486</v>
      </c>
      <c r="E406" s="2">
        <v>205482</v>
      </c>
      <c r="F406">
        <v>80</v>
      </c>
      <c r="G406" s="2">
        <v>2457588032</v>
      </c>
      <c r="H406" s="2">
        <v>18290642</v>
      </c>
      <c r="I406" s="2">
        <v>528988791</v>
      </c>
      <c r="J406">
        <v>239</v>
      </c>
      <c r="K406">
        <v>208</v>
      </c>
      <c r="L406">
        <v>0</v>
      </c>
      <c r="M406" t="str">
        <f t="shared" si="6"/>
        <v>2010-2020</v>
      </c>
    </row>
    <row r="407" spans="1:13">
      <c r="A407" t="s">
        <v>675</v>
      </c>
      <c r="B407" t="s">
        <v>676</v>
      </c>
      <c r="C407" s="1">
        <v>44511</v>
      </c>
      <c r="D407" s="2">
        <v>635241142</v>
      </c>
      <c r="E407" s="2">
        <v>77669</v>
      </c>
      <c r="F407">
        <v>65</v>
      </c>
      <c r="G407" s="2">
        <v>836072339</v>
      </c>
      <c r="H407" s="2">
        <v>4909216</v>
      </c>
      <c r="I407" s="2">
        <v>9427647770</v>
      </c>
      <c r="J407">
        <v>102</v>
      </c>
      <c r="K407">
        <v>402</v>
      </c>
      <c r="L407">
        <v>0</v>
      </c>
      <c r="M407" t="str">
        <f t="shared" si="6"/>
        <v>After 2020</v>
      </c>
    </row>
    <row r="408" spans="1:13" hidden="1">
      <c r="A408" t="s">
        <v>677</v>
      </c>
      <c r="B408" t="s">
        <v>678</v>
      </c>
      <c r="C408" s="1">
        <v>44820</v>
      </c>
      <c r="D408" s="2">
        <v>17992999</v>
      </c>
      <c r="E408" s="2">
        <v>11288</v>
      </c>
      <c r="F408">
        <v>42</v>
      </c>
      <c r="G408" s="2">
        <v>58383075</v>
      </c>
      <c r="H408" s="2">
        <v>502081</v>
      </c>
      <c r="I408" s="2">
        <v>2858109417</v>
      </c>
      <c r="J408">
        <v>1</v>
      </c>
      <c r="L408">
        <v>1</v>
      </c>
      <c r="M408" t="str">
        <f t="shared" si="6"/>
        <v>After 2020</v>
      </c>
    </row>
    <row r="409" spans="1:13" hidden="1">
      <c r="A409" t="s">
        <v>679</v>
      </c>
      <c r="B409" t="s">
        <v>680</v>
      </c>
      <c r="C409" s="1">
        <v>45402</v>
      </c>
      <c r="D409" s="2">
        <v>75486</v>
      </c>
      <c r="E409">
        <v>13</v>
      </c>
      <c r="G409" s="2">
        <v>95889492</v>
      </c>
      <c r="H409" s="2">
        <v>442331</v>
      </c>
      <c r="J409">
        <v>1</v>
      </c>
      <c r="L409">
        <v>0</v>
      </c>
      <c r="M409" t="str">
        <f t="shared" si="6"/>
        <v>After 2020</v>
      </c>
    </row>
    <row r="410" spans="1:13" hidden="1">
      <c r="A410" t="s">
        <v>681</v>
      </c>
      <c r="B410" t="s">
        <v>682</v>
      </c>
      <c r="C410" s="1">
        <v>45411</v>
      </c>
      <c r="D410" s="2">
        <v>35244286</v>
      </c>
      <c r="E410" s="2">
        <v>1629</v>
      </c>
      <c r="F410">
        <v>75</v>
      </c>
      <c r="G410" s="2">
        <v>70452629</v>
      </c>
      <c r="H410" s="2">
        <v>1873655</v>
      </c>
      <c r="I410" s="2">
        <v>90497430</v>
      </c>
      <c r="J410">
        <v>15</v>
      </c>
      <c r="L410">
        <v>0</v>
      </c>
      <c r="M410" t="str">
        <f t="shared" si="6"/>
        <v>After 2020</v>
      </c>
    </row>
    <row r="411" spans="1:13" hidden="1">
      <c r="A411" t="s">
        <v>683</v>
      </c>
      <c r="B411" t="s">
        <v>200</v>
      </c>
      <c r="C411" s="1">
        <v>45099</v>
      </c>
      <c r="D411" s="2">
        <v>253464894</v>
      </c>
      <c r="E411" s="2">
        <v>22779</v>
      </c>
      <c r="F411">
        <v>76</v>
      </c>
      <c r="G411" s="2">
        <v>191499043</v>
      </c>
      <c r="H411" s="2">
        <v>634671</v>
      </c>
      <c r="I411" s="2">
        <v>708437568</v>
      </c>
      <c r="J411">
        <v>6</v>
      </c>
      <c r="L411">
        <v>1</v>
      </c>
      <c r="M411" t="str">
        <f t="shared" si="6"/>
        <v>After 2020</v>
      </c>
    </row>
    <row r="412" spans="1:13">
      <c r="A412" t="s">
        <v>684</v>
      </c>
      <c r="B412" t="s">
        <v>63</v>
      </c>
      <c r="C412" s="1">
        <v>43938</v>
      </c>
      <c r="D412" s="2">
        <v>1439465700</v>
      </c>
      <c r="E412" s="2">
        <v>169076</v>
      </c>
      <c r="F412">
        <v>77</v>
      </c>
      <c r="G412" s="2">
        <v>706284693</v>
      </c>
      <c r="H412" s="2">
        <v>7820244</v>
      </c>
      <c r="I412" s="2">
        <v>1383885042</v>
      </c>
      <c r="J412">
        <v>238</v>
      </c>
      <c r="K412">
        <v>776</v>
      </c>
      <c r="L412">
        <v>1</v>
      </c>
      <c r="M412" t="str">
        <f t="shared" si="6"/>
        <v>2010-2020</v>
      </c>
    </row>
    <row r="413" spans="1:13">
      <c r="A413" t="s">
        <v>685</v>
      </c>
      <c r="B413" t="s">
        <v>686</v>
      </c>
      <c r="C413" s="1">
        <v>42902</v>
      </c>
      <c r="D413" s="2">
        <v>458957128</v>
      </c>
      <c r="E413" s="2">
        <v>89812</v>
      </c>
      <c r="F413">
        <v>61</v>
      </c>
      <c r="G413" s="2">
        <v>47166510</v>
      </c>
      <c r="H413" s="2">
        <v>482132</v>
      </c>
      <c r="I413" s="2">
        <v>1069735982</v>
      </c>
      <c r="J413">
        <v>1</v>
      </c>
      <c r="K413">
        <v>12</v>
      </c>
      <c r="L413">
        <v>1</v>
      </c>
      <c r="M413" t="str">
        <f t="shared" si="6"/>
        <v>2010-2020</v>
      </c>
    </row>
    <row r="414" spans="1:13">
      <c r="A414" t="s">
        <v>687</v>
      </c>
      <c r="B414" t="s">
        <v>688</v>
      </c>
      <c r="C414" s="1">
        <v>43077</v>
      </c>
      <c r="D414" s="2">
        <v>1601293263</v>
      </c>
      <c r="E414" s="2">
        <v>358760</v>
      </c>
      <c r="F414">
        <v>79</v>
      </c>
      <c r="G414" s="2">
        <v>424132504</v>
      </c>
      <c r="H414" s="2">
        <v>4191200</v>
      </c>
      <c r="I414" s="2">
        <v>18153723096</v>
      </c>
      <c r="J414">
        <v>271</v>
      </c>
      <c r="K414">
        <v>784</v>
      </c>
      <c r="L414">
        <v>0</v>
      </c>
      <c r="M414" t="str">
        <f t="shared" si="6"/>
        <v>2010-2020</v>
      </c>
    </row>
    <row r="415" spans="1:13" hidden="1">
      <c r="A415" t="s">
        <v>689</v>
      </c>
      <c r="B415" t="s">
        <v>155</v>
      </c>
      <c r="C415" s="1">
        <v>45394</v>
      </c>
      <c r="D415" s="2">
        <v>670009914</v>
      </c>
      <c r="E415">
        <v>3</v>
      </c>
      <c r="L415">
        <v>0</v>
      </c>
      <c r="M415" t="str">
        <f t="shared" si="6"/>
        <v>After 2020</v>
      </c>
    </row>
    <row r="416" spans="1:13" hidden="1">
      <c r="A416" t="s">
        <v>690</v>
      </c>
      <c r="B416" t="s">
        <v>691</v>
      </c>
      <c r="C416" s="1">
        <v>45084</v>
      </c>
      <c r="D416" s="2">
        <v>1867282</v>
      </c>
      <c r="E416">
        <v>498</v>
      </c>
      <c r="F416">
        <v>40</v>
      </c>
      <c r="G416" s="2">
        <v>485422</v>
      </c>
      <c r="H416" s="2">
        <v>12137</v>
      </c>
      <c r="I416" s="2">
        <v>1267424672</v>
      </c>
      <c r="L416">
        <v>0</v>
      </c>
      <c r="M416" t="str">
        <f t="shared" si="6"/>
        <v>After 2020</v>
      </c>
    </row>
    <row r="417" spans="1:13">
      <c r="A417" t="s">
        <v>692</v>
      </c>
      <c r="B417" t="s">
        <v>336</v>
      </c>
      <c r="C417" s="1">
        <v>44041</v>
      </c>
      <c r="D417" s="2">
        <v>1289186767</v>
      </c>
      <c r="E417" s="2">
        <v>123303</v>
      </c>
      <c r="F417">
        <v>73</v>
      </c>
      <c r="G417" s="2">
        <v>1464055196</v>
      </c>
      <c r="H417" s="2">
        <v>7754280</v>
      </c>
      <c r="I417" s="2">
        <v>131926571</v>
      </c>
      <c r="J417">
        <v>201</v>
      </c>
      <c r="K417">
        <v>98</v>
      </c>
      <c r="L417">
        <v>0</v>
      </c>
      <c r="M417" t="str">
        <f t="shared" si="6"/>
        <v>2010-2020</v>
      </c>
    </row>
    <row r="418" spans="1:13">
      <c r="A418" t="s">
        <v>693</v>
      </c>
      <c r="B418" t="s">
        <v>59</v>
      </c>
      <c r="C418" s="1">
        <v>45252</v>
      </c>
      <c r="D418" s="2">
        <v>367399860</v>
      </c>
      <c r="E418" s="2">
        <v>29235</v>
      </c>
      <c r="F418">
        <v>82</v>
      </c>
      <c r="G418" s="2">
        <v>104584293</v>
      </c>
      <c r="H418" s="2">
        <v>726526</v>
      </c>
      <c r="I418" s="2">
        <v>14800</v>
      </c>
      <c r="J418">
        <v>57</v>
      </c>
      <c r="K418">
        <v>593</v>
      </c>
      <c r="L418">
        <v>1</v>
      </c>
      <c r="M418" t="str">
        <f t="shared" si="6"/>
        <v>After 2020</v>
      </c>
    </row>
    <row r="419" spans="1:13" hidden="1">
      <c r="A419" t="s">
        <v>694</v>
      </c>
      <c r="B419" t="s">
        <v>695</v>
      </c>
      <c r="C419" s="1">
        <v>45267</v>
      </c>
      <c r="D419" s="2">
        <v>153364964</v>
      </c>
      <c r="E419" s="2">
        <v>29300</v>
      </c>
      <c r="G419" s="2">
        <v>32239845</v>
      </c>
      <c r="H419" s="2">
        <v>576013</v>
      </c>
      <c r="I419" s="2">
        <v>749015170</v>
      </c>
      <c r="J419">
        <v>33</v>
      </c>
      <c r="K419">
        <v>994</v>
      </c>
      <c r="L419">
        <v>1</v>
      </c>
      <c r="M419" t="str">
        <f t="shared" si="6"/>
        <v>After 2020</v>
      </c>
    </row>
    <row r="420" spans="1:13" hidden="1">
      <c r="A420" t="s">
        <v>696</v>
      </c>
      <c r="B420" t="s">
        <v>697</v>
      </c>
      <c r="C420" s="1">
        <v>43469</v>
      </c>
      <c r="D420" s="2">
        <v>737097685</v>
      </c>
      <c r="E420" s="2">
        <v>155765</v>
      </c>
      <c r="F420">
        <v>68</v>
      </c>
      <c r="G420" s="2">
        <v>1098942075</v>
      </c>
      <c r="H420" s="2">
        <v>19179674</v>
      </c>
      <c r="I420" s="2">
        <v>8841517566</v>
      </c>
      <c r="J420">
        <v>19</v>
      </c>
      <c r="L420">
        <v>0</v>
      </c>
      <c r="M420" t="str">
        <f t="shared" si="6"/>
        <v>2010-2020</v>
      </c>
    </row>
    <row r="421" spans="1:13" hidden="1">
      <c r="A421" t="s">
        <v>698</v>
      </c>
      <c r="B421" t="s">
        <v>699</v>
      </c>
      <c r="C421" s="1">
        <v>43589</v>
      </c>
      <c r="D421" s="2">
        <v>1927961994</v>
      </c>
      <c r="E421" s="2">
        <v>323997</v>
      </c>
      <c r="F421">
        <v>72</v>
      </c>
      <c r="G421" s="2">
        <v>320969468</v>
      </c>
      <c r="H421" s="2">
        <v>3572454</v>
      </c>
      <c r="I421" s="2">
        <v>525749281</v>
      </c>
      <c r="J421">
        <v>387</v>
      </c>
      <c r="L421">
        <v>1</v>
      </c>
      <c r="M421" t="str">
        <f t="shared" si="6"/>
        <v>2010-2020</v>
      </c>
    </row>
    <row r="422" spans="1:13" hidden="1">
      <c r="A422" t="s">
        <v>700</v>
      </c>
      <c r="B422" t="s">
        <v>701</v>
      </c>
      <c r="C422" s="1">
        <v>45240</v>
      </c>
      <c r="D422" s="2">
        <v>179565178</v>
      </c>
      <c r="E422" s="2">
        <v>40225</v>
      </c>
      <c r="F422">
        <v>75</v>
      </c>
      <c r="G422" s="2">
        <v>41976731</v>
      </c>
      <c r="H422" s="2">
        <v>479163</v>
      </c>
      <c r="I422" s="2">
        <v>451763725</v>
      </c>
      <c r="J422">
        <v>54</v>
      </c>
      <c r="L422">
        <v>1</v>
      </c>
      <c r="M422" t="str">
        <f t="shared" si="6"/>
        <v>After 2020</v>
      </c>
    </row>
    <row r="423" spans="1:13" hidden="1">
      <c r="A423" t="s">
        <v>702</v>
      </c>
      <c r="B423" t="s">
        <v>703</v>
      </c>
      <c r="C423" s="1">
        <v>45260</v>
      </c>
      <c r="D423" s="2">
        <v>278132516</v>
      </c>
      <c r="E423" s="2">
        <v>23580</v>
      </c>
      <c r="G423" s="2">
        <v>11587186</v>
      </c>
      <c r="H423" s="2">
        <v>210504</v>
      </c>
      <c r="I423" s="2">
        <v>1434396157</v>
      </c>
      <c r="J423">
        <v>39</v>
      </c>
      <c r="K423" s="2">
        <v>1491</v>
      </c>
      <c r="L423">
        <v>1</v>
      </c>
      <c r="M423" t="str">
        <f t="shared" si="6"/>
        <v>After 2020</v>
      </c>
    </row>
    <row r="424" spans="1:13" hidden="1">
      <c r="A424" t="s">
        <v>704</v>
      </c>
      <c r="B424" t="s">
        <v>705</v>
      </c>
      <c r="C424" s="1">
        <v>45204</v>
      </c>
      <c r="D424" s="2">
        <v>224429894</v>
      </c>
      <c r="E424" s="2">
        <v>17159</v>
      </c>
      <c r="G424" s="2">
        <v>250897173</v>
      </c>
      <c r="H424" s="2">
        <v>2121068</v>
      </c>
      <c r="I424" s="2">
        <v>456323777</v>
      </c>
      <c r="J424">
        <v>8</v>
      </c>
      <c r="K424">
        <v>499</v>
      </c>
      <c r="L424">
        <v>1</v>
      </c>
      <c r="M424" t="str">
        <f t="shared" si="6"/>
        <v>After 2020</v>
      </c>
    </row>
    <row r="425" spans="1:13" hidden="1">
      <c r="A425" t="s">
        <v>706</v>
      </c>
      <c r="B425" t="s">
        <v>707</v>
      </c>
      <c r="C425" s="1">
        <v>45359</v>
      </c>
      <c r="D425" s="2">
        <v>32435333</v>
      </c>
      <c r="E425" s="2">
        <v>2141</v>
      </c>
      <c r="F425">
        <v>76</v>
      </c>
      <c r="G425" s="2">
        <v>57665106</v>
      </c>
      <c r="H425" s="2">
        <v>1285063</v>
      </c>
      <c r="I425" s="2">
        <v>1059880600</v>
      </c>
      <c r="J425">
        <v>1</v>
      </c>
      <c r="L425">
        <v>0</v>
      </c>
      <c r="M425" t="str">
        <f t="shared" si="6"/>
        <v>After 2020</v>
      </c>
    </row>
    <row r="426" spans="1:13">
      <c r="A426" t="s">
        <v>708</v>
      </c>
      <c r="B426" t="s">
        <v>701</v>
      </c>
      <c r="C426" s="1">
        <v>43742</v>
      </c>
      <c r="D426" s="2">
        <v>1249760413</v>
      </c>
      <c r="E426" s="2">
        <v>202465</v>
      </c>
      <c r="F426">
        <v>79</v>
      </c>
      <c r="G426" s="2">
        <v>699931779</v>
      </c>
      <c r="H426" s="2">
        <v>6139127</v>
      </c>
      <c r="I426" s="2">
        <v>2436202278</v>
      </c>
      <c r="J426">
        <v>186</v>
      </c>
      <c r="K426" s="2">
        <v>1057</v>
      </c>
      <c r="L426">
        <v>1</v>
      </c>
      <c r="M426" t="str">
        <f t="shared" si="6"/>
        <v>2010-2020</v>
      </c>
    </row>
    <row r="427" spans="1:13">
      <c r="A427" t="s">
        <v>709</v>
      </c>
      <c r="B427" t="s">
        <v>462</v>
      </c>
      <c r="C427" s="1">
        <v>44029</v>
      </c>
      <c r="D427" s="2">
        <v>568230113</v>
      </c>
      <c r="E427" s="2">
        <v>142225</v>
      </c>
      <c r="F427">
        <v>68</v>
      </c>
      <c r="G427" s="2">
        <v>531872316</v>
      </c>
      <c r="H427" s="2">
        <v>9887683</v>
      </c>
      <c r="I427" s="2">
        <v>11938256726</v>
      </c>
      <c r="J427">
        <v>46</v>
      </c>
      <c r="K427">
        <v>774</v>
      </c>
      <c r="L427">
        <v>0</v>
      </c>
      <c r="M427" t="str">
        <f t="shared" si="6"/>
        <v>2010-2020</v>
      </c>
    </row>
    <row r="428" spans="1:13" hidden="1">
      <c r="A428" t="s">
        <v>710</v>
      </c>
      <c r="B428" t="s">
        <v>487</v>
      </c>
      <c r="C428" s="1">
        <v>45373</v>
      </c>
      <c r="D428" s="2">
        <v>212272036</v>
      </c>
      <c r="E428">
        <v>13</v>
      </c>
      <c r="J428">
        <v>1</v>
      </c>
      <c r="L428">
        <v>0</v>
      </c>
      <c r="M428" t="str">
        <f t="shared" si="6"/>
        <v>After 2020</v>
      </c>
    </row>
    <row r="429" spans="1:13">
      <c r="A429" t="s">
        <v>711</v>
      </c>
      <c r="B429" t="s">
        <v>86</v>
      </c>
      <c r="C429" s="1">
        <v>45257</v>
      </c>
      <c r="D429" s="2">
        <v>121497542</v>
      </c>
      <c r="E429" s="2">
        <v>6748</v>
      </c>
      <c r="F429">
        <v>80</v>
      </c>
      <c r="G429" s="2">
        <v>307571207</v>
      </c>
      <c r="H429" s="2">
        <v>3994160</v>
      </c>
      <c r="I429" s="2">
        <v>136260517</v>
      </c>
      <c r="J429">
        <v>12</v>
      </c>
      <c r="K429">
        <v>8</v>
      </c>
      <c r="L429">
        <v>0</v>
      </c>
      <c r="M429" t="str">
        <f t="shared" si="6"/>
        <v>After 2020</v>
      </c>
    </row>
    <row r="430" spans="1:13" hidden="1">
      <c r="A430" t="s">
        <v>712</v>
      </c>
      <c r="B430" t="s">
        <v>502</v>
      </c>
      <c r="C430" s="1">
        <v>45435</v>
      </c>
      <c r="D430" s="2">
        <v>45287928</v>
      </c>
      <c r="E430" s="2">
        <v>2099</v>
      </c>
      <c r="F430">
        <v>81</v>
      </c>
      <c r="G430" s="2">
        <v>17850177</v>
      </c>
      <c r="H430" s="2">
        <v>358428</v>
      </c>
      <c r="J430">
        <v>21</v>
      </c>
      <c r="L430">
        <v>1</v>
      </c>
      <c r="M430" t="str">
        <f t="shared" si="6"/>
        <v>After 2020</v>
      </c>
    </row>
    <row r="431" spans="1:13" hidden="1">
      <c r="A431" t="s">
        <v>713</v>
      </c>
      <c r="B431" t="s">
        <v>129</v>
      </c>
      <c r="C431" s="1">
        <v>44897</v>
      </c>
      <c r="D431" s="2">
        <v>637325281</v>
      </c>
      <c r="E431" s="2">
        <v>142076</v>
      </c>
      <c r="F431">
        <v>79</v>
      </c>
      <c r="G431" s="2">
        <v>25776208</v>
      </c>
      <c r="H431" s="2">
        <v>246133</v>
      </c>
      <c r="I431" s="2">
        <v>58477615</v>
      </c>
      <c r="J431">
        <v>35</v>
      </c>
      <c r="L431">
        <v>1</v>
      </c>
      <c r="M431" t="str">
        <f t="shared" si="6"/>
        <v>After 2020</v>
      </c>
    </row>
    <row r="432" spans="1:13">
      <c r="A432" t="s">
        <v>714</v>
      </c>
      <c r="B432" t="s">
        <v>715</v>
      </c>
      <c r="C432" s="1">
        <v>44722</v>
      </c>
      <c r="D432" s="2">
        <v>412845771</v>
      </c>
      <c r="E432" s="2">
        <v>59749</v>
      </c>
      <c r="F432">
        <v>73</v>
      </c>
      <c r="G432" s="2">
        <v>215094924</v>
      </c>
      <c r="H432" s="2">
        <v>1522549</v>
      </c>
      <c r="I432" s="2">
        <v>777869891</v>
      </c>
      <c r="J432">
        <v>37</v>
      </c>
      <c r="K432">
        <v>84</v>
      </c>
      <c r="L432">
        <v>0</v>
      </c>
      <c r="M432" t="str">
        <f t="shared" si="6"/>
        <v>After 2020</v>
      </c>
    </row>
    <row r="433" spans="1:13" hidden="1">
      <c r="A433" t="s">
        <v>716</v>
      </c>
      <c r="B433" t="s">
        <v>266</v>
      </c>
      <c r="C433" s="1">
        <v>45373</v>
      </c>
      <c r="D433" s="2">
        <v>129968407</v>
      </c>
      <c r="E433" s="2">
        <v>6621</v>
      </c>
      <c r="G433" s="2">
        <v>16165402</v>
      </c>
      <c r="H433" s="2">
        <v>604952</v>
      </c>
      <c r="J433">
        <v>48</v>
      </c>
      <c r="K433">
        <v>164</v>
      </c>
      <c r="L433">
        <v>1</v>
      </c>
      <c r="M433" t="str">
        <f t="shared" si="6"/>
        <v>After 2020</v>
      </c>
    </row>
    <row r="434" spans="1:13" hidden="1">
      <c r="A434" t="s">
        <v>316</v>
      </c>
      <c r="B434" t="s">
        <v>233</v>
      </c>
      <c r="C434" s="1">
        <v>45385</v>
      </c>
      <c r="D434" s="2">
        <v>51224852</v>
      </c>
      <c r="E434" s="2">
        <v>5159</v>
      </c>
      <c r="G434" s="2">
        <v>30060301</v>
      </c>
      <c r="H434" s="2">
        <v>670497</v>
      </c>
      <c r="J434">
        <v>43</v>
      </c>
      <c r="K434">
        <v>23</v>
      </c>
      <c r="L434">
        <v>0</v>
      </c>
      <c r="M434" t="str">
        <f t="shared" si="6"/>
        <v>After 2020</v>
      </c>
    </row>
    <row r="435" spans="1:13" hidden="1">
      <c r="A435" t="s">
        <v>717</v>
      </c>
      <c r="B435" t="s">
        <v>718</v>
      </c>
      <c r="C435" s="1">
        <v>45385</v>
      </c>
      <c r="D435" s="2">
        <v>66836198</v>
      </c>
      <c r="E435" s="2">
        <v>4228</v>
      </c>
      <c r="F435">
        <v>77</v>
      </c>
      <c r="G435" s="2">
        <v>43174948</v>
      </c>
      <c r="H435" s="2">
        <v>552134</v>
      </c>
      <c r="J435">
        <v>37</v>
      </c>
      <c r="K435">
        <v>249</v>
      </c>
      <c r="L435">
        <v>1</v>
      </c>
      <c r="M435" t="str">
        <f t="shared" si="6"/>
        <v>After 2020</v>
      </c>
    </row>
    <row r="436" spans="1:13">
      <c r="A436" t="s">
        <v>719</v>
      </c>
      <c r="B436" t="s">
        <v>324</v>
      </c>
      <c r="C436" s="1">
        <v>42370</v>
      </c>
      <c r="D436" s="2">
        <v>1888829482</v>
      </c>
      <c r="E436" s="2">
        <v>206507</v>
      </c>
      <c r="F436">
        <v>76</v>
      </c>
      <c r="G436" s="2">
        <v>2813990127</v>
      </c>
      <c r="H436" s="2">
        <v>18577555</v>
      </c>
      <c r="I436" s="2">
        <v>6097870496</v>
      </c>
      <c r="J436">
        <v>4</v>
      </c>
      <c r="K436">
        <v>72</v>
      </c>
      <c r="L436">
        <v>0</v>
      </c>
      <c r="M436" t="str">
        <f t="shared" si="6"/>
        <v>2010-2020</v>
      </c>
    </row>
    <row r="437" spans="1:13">
      <c r="A437" t="s">
        <v>720</v>
      </c>
      <c r="B437" t="s">
        <v>391</v>
      </c>
      <c r="C437" s="1">
        <v>43266</v>
      </c>
      <c r="D437" s="2">
        <v>701726499</v>
      </c>
      <c r="E437" s="2">
        <v>51129</v>
      </c>
      <c r="F437">
        <v>65</v>
      </c>
      <c r="G437" s="2">
        <v>3435321800</v>
      </c>
      <c r="H437" s="2">
        <v>41630558</v>
      </c>
      <c r="I437" s="2">
        <v>683794564</v>
      </c>
      <c r="J437">
        <v>55</v>
      </c>
      <c r="K437">
        <v>26</v>
      </c>
      <c r="L437">
        <v>0</v>
      </c>
      <c r="M437" t="str">
        <f t="shared" si="6"/>
        <v>2010-2020</v>
      </c>
    </row>
    <row r="438" spans="1:13">
      <c r="A438" t="s">
        <v>721</v>
      </c>
      <c r="B438" t="s">
        <v>484</v>
      </c>
      <c r="C438" s="1">
        <v>44153</v>
      </c>
      <c r="D438" s="2">
        <v>1151629030</v>
      </c>
      <c r="E438" s="2">
        <v>201783</v>
      </c>
      <c r="F438">
        <v>77</v>
      </c>
      <c r="G438" s="2">
        <v>456651608</v>
      </c>
      <c r="H438" s="2">
        <v>6111089</v>
      </c>
      <c r="I438" s="2">
        <v>3401301248</v>
      </c>
      <c r="J438">
        <v>164</v>
      </c>
      <c r="K438" s="2">
        <v>1303</v>
      </c>
      <c r="L438">
        <v>0</v>
      </c>
      <c r="M438" t="str">
        <f t="shared" si="6"/>
        <v>2010-2020</v>
      </c>
    </row>
    <row r="439" spans="1:13">
      <c r="A439" t="s">
        <v>722</v>
      </c>
      <c r="B439" t="s">
        <v>723</v>
      </c>
      <c r="C439" s="1">
        <v>41275</v>
      </c>
      <c r="D439" s="2">
        <v>2325017580</v>
      </c>
      <c r="E439" s="2">
        <v>347004</v>
      </c>
      <c r="F439">
        <v>81</v>
      </c>
      <c r="G439" s="2">
        <v>3214634614</v>
      </c>
      <c r="H439" s="2">
        <v>17924466</v>
      </c>
      <c r="I439" s="2">
        <v>360378218</v>
      </c>
      <c r="J439">
        <v>302</v>
      </c>
      <c r="K439">
        <v>230</v>
      </c>
      <c r="L439">
        <v>0</v>
      </c>
      <c r="M439" t="str">
        <f t="shared" si="6"/>
        <v>2010-2020</v>
      </c>
    </row>
    <row r="440" spans="1:13">
      <c r="A440" t="s">
        <v>724</v>
      </c>
      <c r="B440" t="s">
        <v>725</v>
      </c>
      <c r="C440" s="1">
        <v>45205</v>
      </c>
      <c r="D440" s="2">
        <v>232417498</v>
      </c>
      <c r="E440" s="2">
        <v>20983</v>
      </c>
      <c r="F440">
        <v>80</v>
      </c>
      <c r="G440" s="2">
        <v>59799293</v>
      </c>
      <c r="H440" s="2">
        <v>367721</v>
      </c>
      <c r="I440" s="2">
        <v>61820477</v>
      </c>
      <c r="J440">
        <v>60</v>
      </c>
      <c r="K440">
        <v>77</v>
      </c>
      <c r="L440">
        <v>0</v>
      </c>
      <c r="M440" t="str">
        <f t="shared" si="6"/>
        <v>After 2020</v>
      </c>
    </row>
    <row r="441" spans="1:13">
      <c r="A441" t="s">
        <v>726</v>
      </c>
      <c r="B441" t="s">
        <v>727</v>
      </c>
      <c r="C441" s="1">
        <v>45099</v>
      </c>
      <c r="D441" s="2">
        <v>318567928</v>
      </c>
      <c r="E441" s="2">
        <v>42351</v>
      </c>
      <c r="F441">
        <v>69</v>
      </c>
      <c r="G441" s="2">
        <v>313180496</v>
      </c>
      <c r="H441" s="2">
        <v>1792729</v>
      </c>
      <c r="I441" s="2">
        <v>797526303</v>
      </c>
      <c r="J441">
        <v>43</v>
      </c>
      <c r="K441">
        <v>17</v>
      </c>
      <c r="L441">
        <v>1</v>
      </c>
      <c r="M441" t="str">
        <f t="shared" si="6"/>
        <v>After 2020</v>
      </c>
    </row>
    <row r="442" spans="1:13">
      <c r="A442" t="s">
        <v>728</v>
      </c>
      <c r="B442" t="s">
        <v>288</v>
      </c>
      <c r="C442" s="1">
        <v>43203</v>
      </c>
      <c r="D442" s="2">
        <v>1615353665</v>
      </c>
      <c r="E442" s="2">
        <v>219797</v>
      </c>
      <c r="F442">
        <v>76</v>
      </c>
      <c r="G442" s="2">
        <v>130721152</v>
      </c>
      <c r="H442" s="2">
        <v>1378012</v>
      </c>
      <c r="I442" s="2">
        <v>294545167</v>
      </c>
      <c r="J442">
        <v>37</v>
      </c>
      <c r="K442">
        <v>31</v>
      </c>
      <c r="L442">
        <v>1</v>
      </c>
      <c r="M442" t="str">
        <f t="shared" si="6"/>
        <v>2010-2020</v>
      </c>
    </row>
    <row r="443" spans="1:13">
      <c r="A443" t="s">
        <v>729</v>
      </c>
      <c r="B443" t="s">
        <v>730</v>
      </c>
      <c r="C443" s="1">
        <v>45016</v>
      </c>
      <c r="D443" s="2">
        <v>274229438</v>
      </c>
      <c r="E443" s="2">
        <v>81319</v>
      </c>
      <c r="F443">
        <v>77</v>
      </c>
      <c r="G443" s="2">
        <v>22545691</v>
      </c>
      <c r="H443" s="2">
        <v>353908</v>
      </c>
      <c r="I443" s="2">
        <v>1182280724</v>
      </c>
      <c r="J443">
        <v>31</v>
      </c>
      <c r="K443">
        <v>33</v>
      </c>
      <c r="L443">
        <v>0</v>
      </c>
      <c r="M443" t="str">
        <f t="shared" si="6"/>
        <v>After 2020</v>
      </c>
    </row>
    <row r="444" spans="1:13">
      <c r="A444" t="s">
        <v>731</v>
      </c>
      <c r="B444" t="s">
        <v>617</v>
      </c>
      <c r="C444" s="1">
        <v>43902</v>
      </c>
      <c r="D444" s="2">
        <v>955439608</v>
      </c>
      <c r="E444" s="2">
        <v>130031</v>
      </c>
      <c r="F444">
        <v>73</v>
      </c>
      <c r="G444" s="2">
        <v>627987518</v>
      </c>
      <c r="H444" s="2">
        <v>6208902</v>
      </c>
      <c r="I444" s="2">
        <v>2036664297</v>
      </c>
      <c r="J444">
        <v>175</v>
      </c>
      <c r="K444" s="2">
        <v>1183</v>
      </c>
      <c r="L444">
        <v>0</v>
      </c>
      <c r="M444" t="str">
        <f t="shared" si="6"/>
        <v>2010-2020</v>
      </c>
    </row>
    <row r="445" spans="1:13">
      <c r="A445" t="s">
        <v>732</v>
      </c>
      <c r="B445" t="s">
        <v>66</v>
      </c>
      <c r="C445" s="1">
        <v>43805</v>
      </c>
      <c r="D445" s="2">
        <v>1670164200</v>
      </c>
      <c r="E445" s="2">
        <v>171120</v>
      </c>
      <c r="F445">
        <v>78</v>
      </c>
      <c r="G445" s="2">
        <v>721445001</v>
      </c>
      <c r="H445" s="2">
        <v>8290855</v>
      </c>
      <c r="I445" s="2">
        <v>805399161</v>
      </c>
      <c r="J445">
        <v>254</v>
      </c>
      <c r="K445">
        <v>408</v>
      </c>
      <c r="L445">
        <v>0</v>
      </c>
      <c r="M445" t="str">
        <f t="shared" si="6"/>
        <v>2010-2020</v>
      </c>
    </row>
    <row r="446" spans="1:13">
      <c r="A446" t="s">
        <v>733</v>
      </c>
      <c r="B446" t="s">
        <v>236</v>
      </c>
      <c r="C446" s="1">
        <v>43742</v>
      </c>
      <c r="D446" s="2">
        <v>1625149693</v>
      </c>
      <c r="E446" s="2">
        <v>304394</v>
      </c>
      <c r="F446">
        <v>78</v>
      </c>
      <c r="G446" s="2">
        <v>925241514</v>
      </c>
      <c r="H446" s="2">
        <v>9308268</v>
      </c>
      <c r="I446" s="2">
        <v>713021988</v>
      </c>
      <c r="J446">
        <v>211</v>
      </c>
      <c r="K446">
        <v>192</v>
      </c>
      <c r="L446">
        <v>1</v>
      </c>
      <c r="M446" t="str">
        <f t="shared" si="6"/>
        <v>2010-2020</v>
      </c>
    </row>
    <row r="447" spans="1:13">
      <c r="A447" t="s">
        <v>734</v>
      </c>
      <c r="B447" t="s">
        <v>735</v>
      </c>
      <c r="C447" s="1">
        <v>45015</v>
      </c>
      <c r="D447" s="2">
        <v>155390490</v>
      </c>
      <c r="E447" s="2">
        <v>51032</v>
      </c>
      <c r="F447">
        <v>68</v>
      </c>
      <c r="G447" s="2">
        <v>135400007</v>
      </c>
      <c r="H447" s="2">
        <v>1021624</v>
      </c>
      <c r="I447" s="2">
        <v>1043240094</v>
      </c>
      <c r="J447">
        <v>99</v>
      </c>
      <c r="K447">
        <v>339</v>
      </c>
      <c r="L447">
        <v>1</v>
      </c>
      <c r="M447" t="str">
        <f t="shared" si="6"/>
        <v>After 2020</v>
      </c>
    </row>
    <row r="448" spans="1:13" hidden="1">
      <c r="A448" t="s">
        <v>736</v>
      </c>
      <c r="B448" t="s">
        <v>16</v>
      </c>
      <c r="C448" s="1">
        <v>45408</v>
      </c>
      <c r="D448" s="2">
        <v>48720820</v>
      </c>
      <c r="E448" s="2">
        <v>5049</v>
      </c>
      <c r="F448">
        <v>2</v>
      </c>
      <c r="J448">
        <v>62</v>
      </c>
      <c r="L448">
        <v>0</v>
      </c>
      <c r="M448" t="str">
        <f t="shared" si="6"/>
        <v>After 2020</v>
      </c>
    </row>
    <row r="449" spans="1:13" hidden="1">
      <c r="A449" t="s">
        <v>737</v>
      </c>
      <c r="B449" t="s">
        <v>674</v>
      </c>
      <c r="C449" s="1">
        <v>43371</v>
      </c>
      <c r="D449" s="2">
        <v>1570233605</v>
      </c>
      <c r="E449" s="2">
        <v>37830</v>
      </c>
      <c r="F449">
        <v>65</v>
      </c>
      <c r="G449" s="2">
        <v>2737562687</v>
      </c>
      <c r="H449" s="2">
        <v>21758603</v>
      </c>
      <c r="I449" s="2">
        <v>40964161</v>
      </c>
      <c r="J449">
        <v>215</v>
      </c>
      <c r="L449">
        <v>1</v>
      </c>
      <c r="M449" t="str">
        <f t="shared" si="6"/>
        <v>2010-2020</v>
      </c>
    </row>
    <row r="450" spans="1:13" hidden="1">
      <c r="A450" t="s">
        <v>738</v>
      </c>
      <c r="B450" t="s">
        <v>739</v>
      </c>
      <c r="C450" s="1">
        <v>45152</v>
      </c>
      <c r="D450" s="2">
        <v>334578317</v>
      </c>
      <c r="E450" s="2">
        <v>18958</v>
      </c>
      <c r="F450">
        <v>70</v>
      </c>
      <c r="G450" s="2">
        <v>396928355</v>
      </c>
      <c r="H450" s="2">
        <v>3264045</v>
      </c>
      <c r="J450">
        <v>29</v>
      </c>
      <c r="L450">
        <v>0</v>
      </c>
      <c r="M450" t="str">
        <f t="shared" si="6"/>
        <v>After 2020</v>
      </c>
    </row>
    <row r="451" spans="1:13">
      <c r="A451" t="s">
        <v>740</v>
      </c>
      <c r="B451" t="s">
        <v>299</v>
      </c>
      <c r="C451" s="1">
        <v>44885</v>
      </c>
      <c r="D451" s="2">
        <v>419016792</v>
      </c>
      <c r="E451" s="2">
        <v>24878</v>
      </c>
      <c r="F451">
        <v>42</v>
      </c>
      <c r="G451" s="2">
        <v>299024405</v>
      </c>
      <c r="H451" s="2">
        <v>6706233</v>
      </c>
      <c r="I451" s="2">
        <v>5766443841</v>
      </c>
      <c r="J451">
        <v>13</v>
      </c>
      <c r="K451">
        <v>42</v>
      </c>
      <c r="L451">
        <v>0</v>
      </c>
      <c r="M451" t="str">
        <f t="shared" ref="M451:M514" si="7">IF(YEAR(C451)&lt;2010,"Before 2010",IF(YEAR(C451)&lt;=2020,"2010-2020","After 2020"))</f>
        <v>After 2020</v>
      </c>
    </row>
    <row r="452" spans="1:13" hidden="1">
      <c r="A452" t="s">
        <v>741</v>
      </c>
      <c r="B452" t="s">
        <v>59</v>
      </c>
      <c r="C452" s="1">
        <v>45407</v>
      </c>
      <c r="D452" s="2">
        <v>118631919</v>
      </c>
      <c r="E452" s="2">
        <v>11425</v>
      </c>
      <c r="F452">
        <v>84</v>
      </c>
      <c r="G452" s="2">
        <v>6595595</v>
      </c>
      <c r="H452" s="2">
        <v>105964</v>
      </c>
      <c r="J452">
        <v>75</v>
      </c>
      <c r="K452">
        <v>11</v>
      </c>
      <c r="L452">
        <v>1</v>
      </c>
      <c r="M452" t="str">
        <f t="shared" si="7"/>
        <v>After 2020</v>
      </c>
    </row>
    <row r="453" spans="1:13" hidden="1">
      <c r="A453" t="s">
        <v>742</v>
      </c>
      <c r="B453" t="s">
        <v>743</v>
      </c>
      <c r="C453" s="1">
        <v>45400</v>
      </c>
      <c r="D453" s="2">
        <v>51390127</v>
      </c>
      <c r="E453" s="2">
        <v>3010</v>
      </c>
      <c r="F453">
        <v>78</v>
      </c>
      <c r="G453" s="2">
        <v>72074397</v>
      </c>
      <c r="H453" s="2">
        <v>726118</v>
      </c>
      <c r="J453">
        <v>18</v>
      </c>
      <c r="L453">
        <v>0</v>
      </c>
      <c r="M453" t="str">
        <f t="shared" si="7"/>
        <v>After 2020</v>
      </c>
    </row>
    <row r="454" spans="1:13">
      <c r="A454" t="s">
        <v>744</v>
      </c>
      <c r="B454" t="s">
        <v>61</v>
      </c>
      <c r="C454" s="1">
        <v>43700</v>
      </c>
      <c r="D454" s="2">
        <v>2188247133</v>
      </c>
      <c r="E454" s="2">
        <v>121479</v>
      </c>
      <c r="F454">
        <v>88</v>
      </c>
      <c r="G454" s="2">
        <v>342388433</v>
      </c>
      <c r="H454" s="2">
        <v>2291619</v>
      </c>
      <c r="I454" s="2">
        <v>4967025679</v>
      </c>
      <c r="J454">
        <v>273</v>
      </c>
      <c r="K454" s="2">
        <v>1264</v>
      </c>
      <c r="L454">
        <v>0</v>
      </c>
      <c r="M454" t="str">
        <f t="shared" si="7"/>
        <v>2010-2020</v>
      </c>
    </row>
    <row r="455" spans="1:13" hidden="1">
      <c r="A455" t="s">
        <v>745</v>
      </c>
      <c r="B455" t="s">
        <v>487</v>
      </c>
      <c r="C455" s="1">
        <v>45373</v>
      </c>
      <c r="D455" s="2">
        <v>171242868</v>
      </c>
      <c r="E455">
        <v>15</v>
      </c>
      <c r="J455">
        <v>2</v>
      </c>
      <c r="L455">
        <v>0</v>
      </c>
      <c r="M455" t="str">
        <f t="shared" si="7"/>
        <v>After 2020</v>
      </c>
    </row>
    <row r="456" spans="1:13" hidden="1">
      <c r="A456" t="s">
        <v>746</v>
      </c>
      <c r="B456" t="s">
        <v>747</v>
      </c>
      <c r="C456" s="1">
        <v>45338</v>
      </c>
      <c r="D456" s="2">
        <v>131100973</v>
      </c>
      <c r="E456" s="2">
        <v>16735</v>
      </c>
      <c r="G456" s="2">
        <v>4756180</v>
      </c>
      <c r="H456" s="2">
        <v>146148</v>
      </c>
      <c r="J456">
        <v>10</v>
      </c>
      <c r="K456">
        <v>107</v>
      </c>
      <c r="L456">
        <v>1</v>
      </c>
      <c r="M456" t="str">
        <f t="shared" si="7"/>
        <v>After 2020</v>
      </c>
    </row>
    <row r="457" spans="1:13">
      <c r="A457" t="s">
        <v>748</v>
      </c>
      <c r="B457" t="s">
        <v>749</v>
      </c>
      <c r="C457" s="1">
        <v>42736</v>
      </c>
      <c r="D457" s="2">
        <v>2065697126</v>
      </c>
      <c r="E457" s="2">
        <v>275044</v>
      </c>
      <c r="F457">
        <v>82</v>
      </c>
      <c r="G457" s="2">
        <v>2173793028</v>
      </c>
      <c r="H457" s="2">
        <v>11604315</v>
      </c>
      <c r="I457" s="2">
        <v>631867114</v>
      </c>
      <c r="J457">
        <v>191</v>
      </c>
      <c r="K457">
        <v>267</v>
      </c>
      <c r="L457">
        <v>1</v>
      </c>
      <c r="M457" t="str">
        <f t="shared" si="7"/>
        <v>2010-2020</v>
      </c>
    </row>
    <row r="458" spans="1:13">
      <c r="A458" t="s">
        <v>750</v>
      </c>
      <c r="B458" t="s">
        <v>637</v>
      </c>
      <c r="C458" s="1">
        <v>45341</v>
      </c>
      <c r="D458" s="2">
        <v>141803939</v>
      </c>
      <c r="E458" s="2">
        <v>7192</v>
      </c>
      <c r="F458">
        <v>78</v>
      </c>
      <c r="G458" s="2">
        <v>139498636</v>
      </c>
      <c r="H458" s="2">
        <v>1771124</v>
      </c>
      <c r="I458" s="2">
        <v>80625682</v>
      </c>
      <c r="J458">
        <v>20</v>
      </c>
      <c r="K458">
        <v>46</v>
      </c>
      <c r="L458">
        <v>0</v>
      </c>
      <c r="M458" t="str">
        <f t="shared" si="7"/>
        <v>After 2020</v>
      </c>
    </row>
    <row r="459" spans="1:13" hidden="1">
      <c r="A459" t="s">
        <v>751</v>
      </c>
      <c r="B459" t="s">
        <v>157</v>
      </c>
      <c r="C459" s="1">
        <v>45077</v>
      </c>
      <c r="D459" s="2">
        <v>434019386</v>
      </c>
      <c r="E459" s="2">
        <v>47202</v>
      </c>
      <c r="F459">
        <v>70</v>
      </c>
      <c r="G459" s="2">
        <v>350630590</v>
      </c>
      <c r="H459" s="2">
        <v>4153653</v>
      </c>
      <c r="J459">
        <v>48</v>
      </c>
      <c r="K459">
        <v>122</v>
      </c>
      <c r="L459">
        <v>1</v>
      </c>
      <c r="M459" t="str">
        <f t="shared" si="7"/>
        <v>After 2020</v>
      </c>
    </row>
    <row r="460" spans="1:13" hidden="1">
      <c r="A460" t="s">
        <v>752</v>
      </c>
      <c r="B460" t="s">
        <v>753</v>
      </c>
      <c r="C460" s="1">
        <v>42944</v>
      </c>
      <c r="D460" s="2">
        <v>120162</v>
      </c>
      <c r="E460">
        <v>24</v>
      </c>
      <c r="G460" s="2">
        <v>4542997940</v>
      </c>
      <c r="H460" s="2">
        <v>34925612</v>
      </c>
      <c r="I460" s="2">
        <v>38402</v>
      </c>
      <c r="L460">
        <v>0</v>
      </c>
      <c r="M460" t="str">
        <f t="shared" si="7"/>
        <v>2010-2020</v>
      </c>
    </row>
    <row r="461" spans="1:13">
      <c r="A461" t="s">
        <v>754</v>
      </c>
      <c r="B461" t="s">
        <v>755</v>
      </c>
      <c r="C461" s="1">
        <v>45422</v>
      </c>
      <c r="D461" s="2">
        <v>29994527</v>
      </c>
      <c r="E461" s="2">
        <v>1665</v>
      </c>
      <c r="F461">
        <v>57</v>
      </c>
      <c r="G461" s="2">
        <v>39678645</v>
      </c>
      <c r="H461" s="2">
        <v>1520092</v>
      </c>
      <c r="I461" s="2">
        <v>5347400</v>
      </c>
      <c r="J461">
        <v>12</v>
      </c>
      <c r="K461">
        <v>12</v>
      </c>
      <c r="L461">
        <v>0</v>
      </c>
      <c r="M461" t="str">
        <f t="shared" si="7"/>
        <v>After 2020</v>
      </c>
    </row>
    <row r="462" spans="1:13" hidden="1">
      <c r="A462" t="s">
        <v>756</v>
      </c>
      <c r="B462" t="s">
        <v>757</v>
      </c>
      <c r="C462" s="1">
        <v>43649</v>
      </c>
      <c r="D462" s="2">
        <v>52830200</v>
      </c>
      <c r="E462" s="2">
        <v>14893</v>
      </c>
      <c r="F462">
        <v>41</v>
      </c>
      <c r="G462" s="2">
        <v>263688786</v>
      </c>
      <c r="H462" s="2">
        <v>1760965</v>
      </c>
      <c r="I462" s="2">
        <v>5821447553</v>
      </c>
      <c r="J462">
        <v>2</v>
      </c>
      <c r="L462">
        <v>0</v>
      </c>
      <c r="M462" t="str">
        <f t="shared" si="7"/>
        <v>2010-2020</v>
      </c>
    </row>
    <row r="463" spans="1:13">
      <c r="A463" t="s">
        <v>758</v>
      </c>
      <c r="B463" t="s">
        <v>759</v>
      </c>
      <c r="C463" s="1">
        <v>45450</v>
      </c>
      <c r="D463" s="2">
        <v>5917083</v>
      </c>
      <c r="E463" s="2">
        <v>1348</v>
      </c>
      <c r="F463">
        <v>67</v>
      </c>
      <c r="G463" s="2">
        <v>1541922</v>
      </c>
      <c r="H463" s="2">
        <v>39879</v>
      </c>
      <c r="I463" s="2">
        <v>53279473</v>
      </c>
      <c r="J463">
        <v>45</v>
      </c>
      <c r="K463">
        <v>3</v>
      </c>
      <c r="L463">
        <v>0</v>
      </c>
      <c r="M463" t="str">
        <f t="shared" si="7"/>
        <v>After 2020</v>
      </c>
    </row>
    <row r="464" spans="1:13">
      <c r="A464" t="s">
        <v>760</v>
      </c>
      <c r="B464" t="s">
        <v>471</v>
      </c>
      <c r="C464" s="1">
        <v>43686</v>
      </c>
      <c r="D464" s="2">
        <v>731933924</v>
      </c>
      <c r="E464" s="2">
        <v>186835</v>
      </c>
      <c r="F464">
        <v>70</v>
      </c>
      <c r="G464" s="2">
        <v>534384489</v>
      </c>
      <c r="H464" s="2">
        <v>4951977</v>
      </c>
      <c r="I464" s="2">
        <v>173278256</v>
      </c>
      <c r="J464">
        <v>40</v>
      </c>
      <c r="K464">
        <v>51</v>
      </c>
      <c r="L464">
        <v>1</v>
      </c>
      <c r="M464" t="str">
        <f t="shared" si="7"/>
        <v>2010-2020</v>
      </c>
    </row>
    <row r="465" spans="1:13">
      <c r="A465" t="s">
        <v>761</v>
      </c>
      <c r="B465" t="s">
        <v>762</v>
      </c>
      <c r="C465" s="1">
        <v>42622</v>
      </c>
      <c r="D465" s="2">
        <v>2830962669</v>
      </c>
      <c r="E465" s="2">
        <v>233504</v>
      </c>
      <c r="F465">
        <v>82</v>
      </c>
      <c r="G465" s="2">
        <v>2083619058</v>
      </c>
      <c r="H465" s="2">
        <v>11898213</v>
      </c>
      <c r="I465" s="2">
        <v>792720612</v>
      </c>
      <c r="J465">
        <v>218</v>
      </c>
      <c r="K465">
        <v>68</v>
      </c>
      <c r="L465">
        <v>0</v>
      </c>
      <c r="M465" t="str">
        <f t="shared" si="7"/>
        <v>2010-2020</v>
      </c>
    </row>
    <row r="466" spans="1:13">
      <c r="A466" t="s">
        <v>763</v>
      </c>
      <c r="B466" t="s">
        <v>61</v>
      </c>
      <c r="C466" s="1">
        <v>41640</v>
      </c>
      <c r="D466" s="2">
        <v>1829733410</v>
      </c>
      <c r="E466" s="2">
        <v>157465</v>
      </c>
      <c r="F466">
        <v>76</v>
      </c>
      <c r="G466" s="2">
        <v>3624778617</v>
      </c>
      <c r="H466" s="2">
        <v>16916871</v>
      </c>
      <c r="I466" s="2">
        <v>346032878</v>
      </c>
      <c r="J466">
        <v>154</v>
      </c>
      <c r="K466">
        <v>123</v>
      </c>
      <c r="L466">
        <v>0</v>
      </c>
      <c r="M466" t="str">
        <f t="shared" si="7"/>
        <v>2010-2020</v>
      </c>
    </row>
    <row r="467" spans="1:13" hidden="1">
      <c r="A467" t="s">
        <v>764</v>
      </c>
      <c r="B467" t="s">
        <v>357</v>
      </c>
      <c r="C467" s="1">
        <v>43042</v>
      </c>
      <c r="D467" s="2">
        <v>399689964</v>
      </c>
      <c r="E467" s="2">
        <v>43481</v>
      </c>
      <c r="F467">
        <v>63</v>
      </c>
      <c r="G467" s="2">
        <v>3623407739</v>
      </c>
      <c r="H467" s="2">
        <v>21725999</v>
      </c>
      <c r="I467" s="2">
        <v>6559308</v>
      </c>
      <c r="J467">
        <v>8</v>
      </c>
      <c r="L467">
        <v>1</v>
      </c>
      <c r="M467" t="str">
        <f t="shared" si="7"/>
        <v>2010-2020</v>
      </c>
    </row>
    <row r="468" spans="1:13">
      <c r="A468" t="s">
        <v>765</v>
      </c>
      <c r="B468" t="s">
        <v>19</v>
      </c>
      <c r="C468" s="1">
        <v>42825</v>
      </c>
      <c r="D468" s="2">
        <v>2226869580</v>
      </c>
      <c r="E468" s="2">
        <v>311766</v>
      </c>
      <c r="F468">
        <v>80</v>
      </c>
      <c r="G468" s="2">
        <v>1281355260</v>
      </c>
      <c r="H468" s="2">
        <v>11551257</v>
      </c>
      <c r="I468" s="2">
        <v>769720113</v>
      </c>
      <c r="J468">
        <v>357</v>
      </c>
      <c r="K468">
        <v>692</v>
      </c>
      <c r="L468">
        <v>1</v>
      </c>
      <c r="M468" t="str">
        <f t="shared" si="7"/>
        <v>2010-2020</v>
      </c>
    </row>
    <row r="469" spans="1:13">
      <c r="A469" t="s">
        <v>766</v>
      </c>
      <c r="B469" t="s">
        <v>256</v>
      </c>
      <c r="C469" s="1">
        <v>44813</v>
      </c>
      <c r="D469" s="2">
        <v>343556188</v>
      </c>
      <c r="E469" s="2">
        <v>53783</v>
      </c>
      <c r="F469">
        <v>69</v>
      </c>
      <c r="G469" s="2">
        <v>78559130</v>
      </c>
      <c r="H469" s="2">
        <v>611379</v>
      </c>
      <c r="I469" s="2">
        <v>268283723</v>
      </c>
      <c r="J469">
        <v>76</v>
      </c>
      <c r="K469">
        <v>220</v>
      </c>
      <c r="L469">
        <v>0</v>
      </c>
      <c r="M469" t="str">
        <f t="shared" si="7"/>
        <v>After 2020</v>
      </c>
    </row>
    <row r="470" spans="1:13" hidden="1">
      <c r="A470" t="s">
        <v>767</v>
      </c>
      <c r="B470" t="s">
        <v>768</v>
      </c>
      <c r="C470" s="1">
        <v>44785</v>
      </c>
      <c r="D470" s="2">
        <v>2754</v>
      </c>
      <c r="E470">
        <v>22</v>
      </c>
      <c r="G470" s="2">
        <v>1197426502</v>
      </c>
      <c r="L470">
        <v>0</v>
      </c>
      <c r="M470" t="str">
        <f t="shared" si="7"/>
        <v>After 2020</v>
      </c>
    </row>
    <row r="471" spans="1:13">
      <c r="A471" t="s">
        <v>769</v>
      </c>
      <c r="B471" t="s">
        <v>770</v>
      </c>
      <c r="C471" s="1">
        <v>45303</v>
      </c>
      <c r="D471" s="2">
        <v>284119669</v>
      </c>
      <c r="E471" s="2">
        <v>23417</v>
      </c>
      <c r="F471">
        <v>84</v>
      </c>
      <c r="G471" s="2">
        <v>14777855</v>
      </c>
      <c r="H471" s="2">
        <v>145459</v>
      </c>
      <c r="I471" s="2">
        <v>18832300</v>
      </c>
      <c r="J471">
        <v>71</v>
      </c>
      <c r="K471">
        <v>327</v>
      </c>
      <c r="L471">
        <v>0</v>
      </c>
      <c r="M471" t="str">
        <f t="shared" si="7"/>
        <v>After 2020</v>
      </c>
    </row>
    <row r="472" spans="1:13">
      <c r="A472" t="s">
        <v>771</v>
      </c>
      <c r="B472" t="s">
        <v>772</v>
      </c>
      <c r="C472" s="1">
        <v>44785</v>
      </c>
      <c r="D472" s="2">
        <v>549382975</v>
      </c>
      <c r="E472" s="2">
        <v>88241</v>
      </c>
      <c r="F472">
        <v>64</v>
      </c>
      <c r="G472" s="2">
        <v>128432797</v>
      </c>
      <c r="H472" s="2">
        <v>2507944</v>
      </c>
      <c r="I472" s="2">
        <v>5107877505</v>
      </c>
      <c r="J472">
        <v>93</v>
      </c>
      <c r="K472" s="2">
        <v>3028</v>
      </c>
      <c r="L472">
        <v>1</v>
      </c>
      <c r="M472" t="str">
        <f t="shared" si="7"/>
        <v>After 2020</v>
      </c>
    </row>
    <row r="473" spans="1:13">
      <c r="A473" t="s">
        <v>773</v>
      </c>
      <c r="B473" t="s">
        <v>631</v>
      </c>
      <c r="C473" s="1">
        <v>44995</v>
      </c>
      <c r="D473" s="2">
        <v>425999315</v>
      </c>
      <c r="E473" s="2">
        <v>91229</v>
      </c>
      <c r="F473">
        <v>74</v>
      </c>
      <c r="G473" s="2">
        <v>81238584</v>
      </c>
      <c r="H473" s="2">
        <v>760116</v>
      </c>
      <c r="I473" s="2">
        <v>342295893</v>
      </c>
      <c r="J473">
        <v>183</v>
      </c>
      <c r="K473">
        <v>40</v>
      </c>
      <c r="L473">
        <v>0</v>
      </c>
      <c r="M473" t="str">
        <f t="shared" si="7"/>
        <v>After 2020</v>
      </c>
    </row>
    <row r="474" spans="1:13">
      <c r="A474" t="s">
        <v>774</v>
      </c>
      <c r="B474" t="s">
        <v>775</v>
      </c>
      <c r="C474" s="1">
        <v>40544</v>
      </c>
      <c r="D474" s="2">
        <v>1752826514</v>
      </c>
      <c r="E474" s="2">
        <v>352833</v>
      </c>
      <c r="F474">
        <v>74</v>
      </c>
      <c r="G474" s="2">
        <v>2729174469</v>
      </c>
      <c r="H474" s="2">
        <v>22532779</v>
      </c>
      <c r="I474" s="2">
        <v>4679645090</v>
      </c>
      <c r="J474">
        <v>202</v>
      </c>
      <c r="K474">
        <v>474</v>
      </c>
      <c r="L474">
        <v>0</v>
      </c>
      <c r="M474" t="str">
        <f t="shared" si="7"/>
        <v>2010-2020</v>
      </c>
    </row>
    <row r="475" spans="1:13">
      <c r="A475" t="s">
        <v>776</v>
      </c>
      <c r="B475" t="s">
        <v>777</v>
      </c>
      <c r="C475" s="1">
        <v>42313</v>
      </c>
      <c r="D475" s="2">
        <v>1859886400</v>
      </c>
      <c r="E475" s="2">
        <v>161156</v>
      </c>
      <c r="F475">
        <v>78</v>
      </c>
      <c r="G475" s="2">
        <v>3951663770</v>
      </c>
      <c r="H475" s="2">
        <v>23086917</v>
      </c>
      <c r="I475" s="2">
        <v>265917250</v>
      </c>
      <c r="J475">
        <v>2</v>
      </c>
      <c r="K475">
        <v>52</v>
      </c>
      <c r="L475">
        <v>0</v>
      </c>
      <c r="M475" t="str">
        <f t="shared" si="7"/>
        <v>2010-2020</v>
      </c>
    </row>
    <row r="476" spans="1:13">
      <c r="A476" t="s">
        <v>778</v>
      </c>
      <c r="B476" t="s">
        <v>779</v>
      </c>
      <c r="C476" s="1">
        <v>43812</v>
      </c>
      <c r="D476" s="2">
        <v>40284121</v>
      </c>
      <c r="E476" s="2">
        <v>14548</v>
      </c>
      <c r="F476">
        <v>41</v>
      </c>
      <c r="G476" s="2">
        <v>17978707</v>
      </c>
      <c r="H476" s="2">
        <v>466425</v>
      </c>
      <c r="I476" s="2">
        <v>61088562861</v>
      </c>
      <c r="J476">
        <v>15</v>
      </c>
      <c r="K476">
        <v>333</v>
      </c>
      <c r="L476">
        <v>1</v>
      </c>
      <c r="M476" t="str">
        <f t="shared" si="7"/>
        <v>2010-2020</v>
      </c>
    </row>
    <row r="477" spans="1:13">
      <c r="A477" t="s">
        <v>780</v>
      </c>
      <c r="B477" t="s">
        <v>781</v>
      </c>
      <c r="C477" s="1">
        <v>43503</v>
      </c>
      <c r="D477" s="2">
        <v>858059276</v>
      </c>
      <c r="E477" s="2">
        <v>181654</v>
      </c>
      <c r="F477">
        <v>70</v>
      </c>
      <c r="G477" s="2">
        <v>464768581</v>
      </c>
      <c r="H477" s="2">
        <v>3626173</v>
      </c>
      <c r="I477" s="2">
        <v>417831392</v>
      </c>
      <c r="J477">
        <v>46</v>
      </c>
      <c r="K477">
        <v>73</v>
      </c>
      <c r="L477">
        <v>1</v>
      </c>
      <c r="M477" t="str">
        <f t="shared" si="7"/>
        <v>2010-2020</v>
      </c>
    </row>
    <row r="478" spans="1:13">
      <c r="A478" t="s">
        <v>782</v>
      </c>
      <c r="B478" t="s">
        <v>783</v>
      </c>
      <c r="C478" s="1">
        <v>42171</v>
      </c>
      <c r="D478" s="2">
        <v>1916203330</v>
      </c>
      <c r="E478" s="2">
        <v>218955</v>
      </c>
      <c r="F478">
        <v>78</v>
      </c>
      <c r="G478" s="2">
        <v>2155590787</v>
      </c>
      <c r="H478" s="2">
        <v>17104498</v>
      </c>
      <c r="I478" s="2">
        <v>877998186</v>
      </c>
      <c r="J478">
        <v>176</v>
      </c>
      <c r="K478">
        <v>79</v>
      </c>
      <c r="L478">
        <v>0</v>
      </c>
      <c r="M478" t="str">
        <f t="shared" si="7"/>
        <v>2010-2020</v>
      </c>
    </row>
    <row r="479" spans="1:13">
      <c r="A479" t="s">
        <v>784</v>
      </c>
      <c r="B479" t="s">
        <v>318</v>
      </c>
      <c r="C479" s="1">
        <v>44673</v>
      </c>
      <c r="D479" s="2">
        <v>891578597</v>
      </c>
      <c r="E479" s="2">
        <v>134151</v>
      </c>
      <c r="F479">
        <v>82</v>
      </c>
      <c r="G479" s="2">
        <v>121756122</v>
      </c>
      <c r="H479" s="2">
        <v>612540</v>
      </c>
      <c r="I479" s="2">
        <v>536850823</v>
      </c>
      <c r="J479">
        <v>78</v>
      </c>
      <c r="K479">
        <v>86</v>
      </c>
      <c r="L479">
        <v>0</v>
      </c>
      <c r="M479" t="str">
        <f t="shared" si="7"/>
        <v>After 2020</v>
      </c>
    </row>
    <row r="480" spans="1:13">
      <c r="A480" t="s">
        <v>785</v>
      </c>
      <c r="B480" t="s">
        <v>170</v>
      </c>
      <c r="C480" s="1">
        <v>44981</v>
      </c>
      <c r="D480" s="2">
        <v>629102459</v>
      </c>
      <c r="E480" s="2">
        <v>31206</v>
      </c>
      <c r="F480">
        <v>81</v>
      </c>
      <c r="G480" s="2">
        <v>317295184</v>
      </c>
      <c r="H480" s="2">
        <v>924600</v>
      </c>
      <c r="I480" s="2">
        <v>404330162</v>
      </c>
      <c r="J480">
        <v>45</v>
      </c>
      <c r="K480">
        <v>387</v>
      </c>
      <c r="L480">
        <v>1</v>
      </c>
      <c r="M480" t="str">
        <f t="shared" si="7"/>
        <v>After 2020</v>
      </c>
    </row>
    <row r="481" spans="1:13" hidden="1">
      <c r="A481" t="s">
        <v>786</v>
      </c>
      <c r="B481" t="s">
        <v>787</v>
      </c>
      <c r="C481" s="1">
        <v>41275</v>
      </c>
      <c r="D481" s="2">
        <v>1379786786</v>
      </c>
      <c r="E481" s="2">
        <v>204118</v>
      </c>
      <c r="F481">
        <v>75</v>
      </c>
      <c r="G481" s="2">
        <v>1307002701</v>
      </c>
      <c r="H481" s="2">
        <v>8641116</v>
      </c>
      <c r="I481" s="2">
        <v>2112220730</v>
      </c>
      <c r="J481">
        <v>453</v>
      </c>
      <c r="L481">
        <v>0</v>
      </c>
      <c r="M481" t="str">
        <f t="shared" si="7"/>
        <v>2010-2020</v>
      </c>
    </row>
    <row r="482" spans="1:13" hidden="1">
      <c r="A482" t="s">
        <v>788</v>
      </c>
      <c r="C482" s="1">
        <v>45443</v>
      </c>
      <c r="L482">
        <v>0</v>
      </c>
      <c r="M482" t="str">
        <f t="shared" si="7"/>
        <v>After 2020</v>
      </c>
    </row>
    <row r="483" spans="1:13">
      <c r="A483" t="s">
        <v>789</v>
      </c>
      <c r="B483" t="s">
        <v>790</v>
      </c>
      <c r="C483" s="1">
        <v>45071</v>
      </c>
      <c r="D483" s="2">
        <v>136724343</v>
      </c>
      <c r="E483" s="2">
        <v>15391</v>
      </c>
      <c r="F483">
        <v>72</v>
      </c>
      <c r="G483" s="2">
        <v>252644706</v>
      </c>
      <c r="H483" s="2">
        <v>1115099</v>
      </c>
      <c r="I483" s="2">
        <v>525208493</v>
      </c>
      <c r="J483">
        <v>18</v>
      </c>
      <c r="K483">
        <v>4</v>
      </c>
      <c r="L483">
        <v>0</v>
      </c>
      <c r="M483" t="str">
        <f t="shared" si="7"/>
        <v>After 2020</v>
      </c>
    </row>
    <row r="484" spans="1:13" hidden="1">
      <c r="A484" t="s">
        <v>791</v>
      </c>
      <c r="B484" t="s">
        <v>200</v>
      </c>
      <c r="C484" s="1">
        <v>45266</v>
      </c>
      <c r="I484" s="2">
        <v>2172310968</v>
      </c>
      <c r="K484">
        <v>33</v>
      </c>
      <c r="L484">
        <v>0</v>
      </c>
      <c r="M484" t="str">
        <f t="shared" si="7"/>
        <v>After 2020</v>
      </c>
    </row>
    <row r="485" spans="1:13">
      <c r="A485" t="s">
        <v>792</v>
      </c>
      <c r="B485" t="s">
        <v>311</v>
      </c>
      <c r="C485" s="1">
        <v>42524</v>
      </c>
      <c r="D485" s="2">
        <v>2164074552</v>
      </c>
      <c r="E485" s="2">
        <v>183260</v>
      </c>
      <c r="F485">
        <v>80</v>
      </c>
      <c r="G485" s="2">
        <v>2766700889</v>
      </c>
      <c r="H485" s="2">
        <v>14538731</v>
      </c>
      <c r="I485" s="2">
        <v>218876789</v>
      </c>
      <c r="J485">
        <v>110</v>
      </c>
      <c r="K485">
        <v>361</v>
      </c>
      <c r="L485">
        <v>0</v>
      </c>
      <c r="M485" t="str">
        <f t="shared" si="7"/>
        <v>2010-2020</v>
      </c>
    </row>
    <row r="486" spans="1:13">
      <c r="A486" t="s">
        <v>793</v>
      </c>
      <c r="B486" t="s">
        <v>332</v>
      </c>
      <c r="C486" s="1">
        <v>44792</v>
      </c>
      <c r="D486" s="2">
        <v>944833760</v>
      </c>
      <c r="E486" s="2">
        <v>84300</v>
      </c>
      <c r="F486">
        <v>78</v>
      </c>
      <c r="G486" s="2">
        <v>442672273</v>
      </c>
      <c r="H486" s="2">
        <v>1382190</v>
      </c>
      <c r="I486" s="2">
        <v>1137735925</v>
      </c>
      <c r="J486">
        <v>58</v>
      </c>
      <c r="K486">
        <v>847</v>
      </c>
      <c r="L486">
        <v>0</v>
      </c>
      <c r="M486" t="str">
        <f t="shared" si="7"/>
        <v>After 2020</v>
      </c>
    </row>
    <row r="487" spans="1:13" hidden="1">
      <c r="A487" t="s">
        <v>794</v>
      </c>
      <c r="B487" t="s">
        <v>795</v>
      </c>
      <c r="C487" s="1">
        <v>41117</v>
      </c>
      <c r="D487" s="2">
        <v>2252713547</v>
      </c>
      <c r="E487" s="2">
        <v>84884</v>
      </c>
      <c r="F487">
        <v>69</v>
      </c>
      <c r="G487" s="2">
        <v>3967431755</v>
      </c>
      <c r="H487" s="2">
        <v>18261574</v>
      </c>
      <c r="I487" s="2">
        <v>198665893</v>
      </c>
      <c r="J487">
        <v>153</v>
      </c>
      <c r="L487">
        <v>0</v>
      </c>
      <c r="M487" t="str">
        <f t="shared" si="7"/>
        <v>2010-2020</v>
      </c>
    </row>
    <row r="488" spans="1:13" hidden="1">
      <c r="A488" t="s">
        <v>796</v>
      </c>
      <c r="B488" t="s">
        <v>797</v>
      </c>
      <c r="C488" s="1">
        <v>45372</v>
      </c>
      <c r="D488" s="2">
        <v>78227549</v>
      </c>
      <c r="E488" s="2">
        <v>10811</v>
      </c>
      <c r="F488">
        <v>81</v>
      </c>
      <c r="G488" s="2">
        <v>18048583</v>
      </c>
      <c r="H488" s="2">
        <v>346316</v>
      </c>
      <c r="I488" s="2">
        <v>5400000</v>
      </c>
      <c r="J488">
        <v>59</v>
      </c>
      <c r="L488">
        <v>0</v>
      </c>
      <c r="M488" t="str">
        <f t="shared" si="7"/>
        <v>After 2020</v>
      </c>
    </row>
    <row r="489" spans="1:13">
      <c r="A489" t="s">
        <v>798</v>
      </c>
      <c r="B489" t="s">
        <v>515</v>
      </c>
      <c r="C489" s="1">
        <v>42122</v>
      </c>
      <c r="D489" s="2">
        <v>2313532702</v>
      </c>
      <c r="E489" s="2">
        <v>333612</v>
      </c>
      <c r="F489">
        <v>79</v>
      </c>
      <c r="G489" s="2">
        <v>3241796669</v>
      </c>
      <c r="H489" s="2">
        <v>22573742</v>
      </c>
      <c r="I489" s="2">
        <v>664725202</v>
      </c>
      <c r="J489">
        <v>10</v>
      </c>
      <c r="K489">
        <v>288</v>
      </c>
      <c r="L489">
        <v>0</v>
      </c>
      <c r="M489" t="str">
        <f t="shared" si="7"/>
        <v>2010-2020</v>
      </c>
    </row>
    <row r="490" spans="1:13">
      <c r="A490" t="s">
        <v>799</v>
      </c>
      <c r="B490" t="s">
        <v>800</v>
      </c>
      <c r="C490" s="1">
        <v>43466</v>
      </c>
      <c r="D490" s="2">
        <v>1251675613</v>
      </c>
      <c r="E490" s="2">
        <v>233472</v>
      </c>
      <c r="F490">
        <v>67</v>
      </c>
      <c r="G490" s="2">
        <v>1001433936</v>
      </c>
      <c r="H490" s="2">
        <v>13378087</v>
      </c>
      <c r="I490" s="2">
        <v>338873585</v>
      </c>
      <c r="J490">
        <v>245</v>
      </c>
      <c r="K490" s="2">
        <v>1544</v>
      </c>
      <c r="L490">
        <v>1</v>
      </c>
      <c r="M490" t="str">
        <f t="shared" si="7"/>
        <v>2010-2020</v>
      </c>
    </row>
    <row r="491" spans="1:13">
      <c r="A491" t="s">
        <v>801</v>
      </c>
      <c r="B491" t="s">
        <v>802</v>
      </c>
      <c r="C491" s="1">
        <v>40909</v>
      </c>
      <c r="D491" s="2">
        <v>2382407025</v>
      </c>
      <c r="E491" s="2">
        <v>259202</v>
      </c>
      <c r="F491">
        <v>80</v>
      </c>
      <c r="G491" s="2">
        <v>3064193777</v>
      </c>
      <c r="H491" s="2">
        <v>17820289</v>
      </c>
      <c r="I491" s="2">
        <v>643209321</v>
      </c>
      <c r="J491">
        <v>295</v>
      </c>
      <c r="K491">
        <v>341</v>
      </c>
      <c r="L491">
        <v>0</v>
      </c>
      <c r="M491" t="str">
        <f t="shared" si="7"/>
        <v>2010-2020</v>
      </c>
    </row>
    <row r="492" spans="1:13">
      <c r="A492">
        <v>2055</v>
      </c>
      <c r="B492" t="s">
        <v>803</v>
      </c>
      <c r="C492" s="1">
        <v>44300</v>
      </c>
      <c r="D492" s="2">
        <v>811700245</v>
      </c>
      <c r="E492" s="2">
        <v>195603</v>
      </c>
      <c r="F492">
        <v>77</v>
      </c>
      <c r="G492" s="2">
        <v>168936854</v>
      </c>
      <c r="H492" s="2">
        <v>1450642</v>
      </c>
      <c r="I492" s="2">
        <v>752325431</v>
      </c>
      <c r="J492">
        <v>39</v>
      </c>
      <c r="K492">
        <v>232</v>
      </c>
      <c r="L492">
        <v>1</v>
      </c>
      <c r="M492" t="str">
        <f t="shared" si="7"/>
        <v>After 2020</v>
      </c>
    </row>
    <row r="493" spans="1:13">
      <c r="A493" t="s">
        <v>804</v>
      </c>
      <c r="B493" t="s">
        <v>805</v>
      </c>
      <c r="C493" s="1">
        <v>45323</v>
      </c>
      <c r="D493" s="2">
        <v>152597421</v>
      </c>
      <c r="E493" s="2">
        <v>19834</v>
      </c>
      <c r="F493">
        <v>12</v>
      </c>
      <c r="G493" s="2">
        <v>6556571</v>
      </c>
      <c r="H493" s="2">
        <v>181948</v>
      </c>
      <c r="I493" s="2">
        <v>98100600</v>
      </c>
      <c r="J493">
        <v>27</v>
      </c>
      <c r="K493" s="2">
        <v>1312</v>
      </c>
      <c r="L493">
        <v>1</v>
      </c>
      <c r="M493" t="str">
        <f t="shared" si="7"/>
        <v>After 2020</v>
      </c>
    </row>
    <row r="494" spans="1:13">
      <c r="A494" t="s">
        <v>806</v>
      </c>
      <c r="B494" t="s">
        <v>807</v>
      </c>
      <c r="C494" s="1">
        <v>42691</v>
      </c>
      <c r="D494" s="2">
        <v>1615152539</v>
      </c>
      <c r="E494" s="2">
        <v>377159</v>
      </c>
      <c r="F494">
        <v>76</v>
      </c>
      <c r="G494" s="2">
        <v>887924965</v>
      </c>
      <c r="H494" s="2">
        <v>7755679</v>
      </c>
      <c r="I494" s="2">
        <v>430258743</v>
      </c>
      <c r="J494">
        <v>271</v>
      </c>
      <c r="K494">
        <v>137</v>
      </c>
      <c r="L494">
        <v>1</v>
      </c>
      <c r="M494" t="str">
        <f t="shared" si="7"/>
        <v>2010-2020</v>
      </c>
    </row>
    <row r="495" spans="1:13" hidden="1">
      <c r="A495" t="s">
        <v>808</v>
      </c>
      <c r="B495" t="s">
        <v>809</v>
      </c>
      <c r="C495" s="1">
        <v>45359</v>
      </c>
      <c r="D495" s="2">
        <v>28543791</v>
      </c>
      <c r="E495" s="2">
        <v>1305</v>
      </c>
      <c r="F495">
        <v>74</v>
      </c>
      <c r="G495" s="2">
        <v>148165738</v>
      </c>
      <c r="H495" s="2">
        <v>1392549</v>
      </c>
      <c r="I495" s="2">
        <v>37252006</v>
      </c>
      <c r="J495">
        <v>6</v>
      </c>
      <c r="L495">
        <v>0</v>
      </c>
      <c r="M495" t="str">
        <f t="shared" si="7"/>
        <v>After 2020</v>
      </c>
    </row>
    <row r="496" spans="1:13" hidden="1">
      <c r="A496" t="s">
        <v>810</v>
      </c>
      <c r="B496" t="s">
        <v>811</v>
      </c>
      <c r="C496" s="1">
        <v>45224</v>
      </c>
      <c r="D496" s="2">
        <v>15090071</v>
      </c>
      <c r="E496" s="2">
        <v>1405</v>
      </c>
      <c r="G496" s="2">
        <v>6176518</v>
      </c>
      <c r="H496" s="2">
        <v>49281</v>
      </c>
      <c r="I496" s="2">
        <v>182005109</v>
      </c>
      <c r="J496">
        <v>16</v>
      </c>
      <c r="L496">
        <v>0</v>
      </c>
      <c r="M496" t="str">
        <f t="shared" si="7"/>
        <v>After 2020</v>
      </c>
    </row>
    <row r="497" spans="1:13" hidden="1">
      <c r="A497" t="s">
        <v>812</v>
      </c>
      <c r="B497" t="s">
        <v>813</v>
      </c>
      <c r="C497" s="1">
        <v>44519</v>
      </c>
      <c r="D497" s="2">
        <v>502781351</v>
      </c>
      <c r="E497" s="2">
        <v>57858</v>
      </c>
      <c r="F497">
        <v>68</v>
      </c>
      <c r="G497" s="2">
        <v>749366767</v>
      </c>
      <c r="H497" s="2">
        <v>5566798</v>
      </c>
      <c r="I497" s="2">
        <v>3341780836</v>
      </c>
      <c r="J497">
        <v>88</v>
      </c>
      <c r="L497">
        <v>0</v>
      </c>
      <c r="M497" t="str">
        <f t="shared" si="7"/>
        <v>After 2020</v>
      </c>
    </row>
    <row r="498" spans="1:13">
      <c r="A498" t="s">
        <v>814</v>
      </c>
      <c r="B498" t="s">
        <v>301</v>
      </c>
      <c r="C498" s="1">
        <v>44694</v>
      </c>
      <c r="D498" s="2">
        <v>644437397</v>
      </c>
      <c r="E498" s="2">
        <v>64367</v>
      </c>
      <c r="F498">
        <v>79</v>
      </c>
      <c r="G498" s="2">
        <v>141964689</v>
      </c>
      <c r="H498" s="2">
        <v>814824</v>
      </c>
      <c r="I498" s="2">
        <v>327463451</v>
      </c>
      <c r="J498">
        <v>49</v>
      </c>
      <c r="K498">
        <v>301</v>
      </c>
      <c r="L498">
        <v>0</v>
      </c>
      <c r="M498" t="str">
        <f t="shared" si="7"/>
        <v>After 2020</v>
      </c>
    </row>
    <row r="499" spans="1:13" hidden="1">
      <c r="A499" t="s">
        <v>815</v>
      </c>
      <c r="B499" t="s">
        <v>233</v>
      </c>
      <c r="C499" s="1">
        <v>44442</v>
      </c>
      <c r="D499" s="2">
        <v>1502382072</v>
      </c>
      <c r="E499" s="2">
        <v>240419</v>
      </c>
      <c r="F499">
        <v>75</v>
      </c>
      <c r="I499" s="2">
        <v>4053240923</v>
      </c>
      <c r="J499">
        <v>118</v>
      </c>
      <c r="L499">
        <v>0</v>
      </c>
      <c r="M499" t="str">
        <f t="shared" si="7"/>
        <v>After 2020</v>
      </c>
    </row>
    <row r="500" spans="1:13">
      <c r="A500" t="s">
        <v>816</v>
      </c>
      <c r="B500" t="s">
        <v>112</v>
      </c>
      <c r="C500" s="1">
        <v>43915</v>
      </c>
      <c r="D500" s="2">
        <v>1198689895</v>
      </c>
      <c r="E500" s="2">
        <v>130486</v>
      </c>
      <c r="F500">
        <v>71</v>
      </c>
      <c r="G500" s="2">
        <v>761387435</v>
      </c>
      <c r="H500" s="2">
        <v>6874611</v>
      </c>
      <c r="I500" s="2">
        <v>1509626629</v>
      </c>
      <c r="J500">
        <v>203</v>
      </c>
      <c r="K500">
        <v>348</v>
      </c>
      <c r="L500">
        <v>0</v>
      </c>
      <c r="M500" t="str">
        <f t="shared" si="7"/>
        <v>2010-2020</v>
      </c>
    </row>
    <row r="501" spans="1:13">
      <c r="A501" t="s">
        <v>817</v>
      </c>
      <c r="B501" t="s">
        <v>391</v>
      </c>
      <c r="C501" s="1">
        <v>44820</v>
      </c>
      <c r="D501" s="2">
        <v>654818451</v>
      </c>
      <c r="E501" s="2">
        <v>39852</v>
      </c>
      <c r="F501">
        <v>67</v>
      </c>
      <c r="G501" s="2">
        <v>633781726</v>
      </c>
      <c r="H501" s="2">
        <v>11421404</v>
      </c>
      <c r="I501" s="2">
        <v>3365539262</v>
      </c>
      <c r="J501">
        <v>34</v>
      </c>
      <c r="K501">
        <v>201</v>
      </c>
      <c r="L501">
        <v>0</v>
      </c>
      <c r="M501" t="str">
        <f t="shared" si="7"/>
        <v>After 2020</v>
      </c>
    </row>
    <row r="502" spans="1:13" hidden="1">
      <c r="A502" t="s">
        <v>818</v>
      </c>
      <c r="B502" t="s">
        <v>819</v>
      </c>
      <c r="C502" s="1">
        <v>45247</v>
      </c>
      <c r="D502" s="2">
        <v>205050873</v>
      </c>
      <c r="E502" s="2">
        <v>6236</v>
      </c>
      <c r="F502">
        <v>81</v>
      </c>
      <c r="G502" s="2">
        <v>242715015</v>
      </c>
      <c r="H502" s="2">
        <v>1024215</v>
      </c>
      <c r="I502" s="2">
        <v>20904</v>
      </c>
      <c r="J502">
        <v>7</v>
      </c>
      <c r="L502">
        <v>0</v>
      </c>
      <c r="M502" t="str">
        <f t="shared" si="7"/>
        <v>After 2020</v>
      </c>
    </row>
    <row r="503" spans="1:13" hidden="1">
      <c r="A503" t="s">
        <v>820</v>
      </c>
      <c r="B503" t="s">
        <v>299</v>
      </c>
      <c r="C503" s="1">
        <v>45450</v>
      </c>
      <c r="D503" s="2">
        <v>26891849</v>
      </c>
      <c r="E503">
        <v>722</v>
      </c>
      <c r="F503">
        <v>81</v>
      </c>
      <c r="G503" s="2">
        <v>5611228</v>
      </c>
      <c r="H503" s="2">
        <v>686901</v>
      </c>
      <c r="J503">
        <v>57</v>
      </c>
      <c r="L503">
        <v>0</v>
      </c>
      <c r="M503" t="str">
        <f t="shared" si="7"/>
        <v>After 2020</v>
      </c>
    </row>
    <row r="504" spans="1:13" hidden="1">
      <c r="A504" t="s">
        <v>821</v>
      </c>
      <c r="B504" t="s">
        <v>822</v>
      </c>
      <c r="C504" s="1">
        <v>44946</v>
      </c>
      <c r="D504" s="2">
        <v>11360</v>
      </c>
      <c r="E504">
        <v>26</v>
      </c>
      <c r="F504">
        <v>6</v>
      </c>
      <c r="G504" s="2">
        <v>854850866</v>
      </c>
      <c r="H504" s="2">
        <v>6612</v>
      </c>
      <c r="L504">
        <v>0</v>
      </c>
      <c r="M504" t="str">
        <f t="shared" si="7"/>
        <v>After 2020</v>
      </c>
    </row>
    <row r="505" spans="1:13" hidden="1">
      <c r="A505" t="s">
        <v>823</v>
      </c>
      <c r="B505" t="s">
        <v>225</v>
      </c>
      <c r="C505" s="1">
        <v>44651</v>
      </c>
      <c r="D505" s="2">
        <v>1212312</v>
      </c>
      <c r="E505">
        <v>560</v>
      </c>
      <c r="F505">
        <v>32</v>
      </c>
      <c r="G505" s="2">
        <v>668067</v>
      </c>
      <c r="H505" s="2">
        <v>10341</v>
      </c>
      <c r="I505" s="2">
        <v>14162352713</v>
      </c>
      <c r="L505">
        <v>0</v>
      </c>
      <c r="M505" t="str">
        <f t="shared" si="7"/>
        <v>After 2020</v>
      </c>
    </row>
    <row r="506" spans="1:13">
      <c r="A506" t="s">
        <v>824</v>
      </c>
      <c r="B506" t="s">
        <v>141</v>
      </c>
      <c r="C506" s="1">
        <v>43384</v>
      </c>
      <c r="D506" s="2">
        <v>1318254846</v>
      </c>
      <c r="E506" s="2">
        <v>159832</v>
      </c>
      <c r="F506">
        <v>71</v>
      </c>
      <c r="G506" s="2">
        <v>1572511545</v>
      </c>
      <c r="H506" s="2">
        <v>8633372</v>
      </c>
      <c r="I506" s="2">
        <v>244589825</v>
      </c>
      <c r="J506">
        <v>163</v>
      </c>
      <c r="K506">
        <v>100</v>
      </c>
      <c r="L506">
        <v>0</v>
      </c>
      <c r="M506" t="str">
        <f t="shared" si="7"/>
        <v>2010-2020</v>
      </c>
    </row>
    <row r="507" spans="1:13">
      <c r="A507" t="s">
        <v>825</v>
      </c>
      <c r="B507" t="s">
        <v>295</v>
      </c>
      <c r="C507" s="1">
        <v>43924</v>
      </c>
      <c r="D507" s="2">
        <v>1059262917</v>
      </c>
      <c r="E507" s="2">
        <v>200623</v>
      </c>
      <c r="F507">
        <v>64</v>
      </c>
      <c r="G507" s="2">
        <v>507137305</v>
      </c>
      <c r="H507" s="2">
        <v>5604031</v>
      </c>
      <c r="I507" s="2">
        <v>3734881670</v>
      </c>
      <c r="J507">
        <v>146</v>
      </c>
      <c r="K507">
        <v>31</v>
      </c>
      <c r="L507">
        <v>1</v>
      </c>
      <c r="M507" t="str">
        <f t="shared" si="7"/>
        <v>2010-2020</v>
      </c>
    </row>
    <row r="508" spans="1:13">
      <c r="A508" t="s">
        <v>826</v>
      </c>
      <c r="B508" t="s">
        <v>170</v>
      </c>
      <c r="C508" s="1">
        <v>44981</v>
      </c>
      <c r="D508" s="2">
        <v>426341106</v>
      </c>
      <c r="E508" s="2">
        <v>29511</v>
      </c>
      <c r="F508">
        <v>76</v>
      </c>
      <c r="G508" s="2">
        <v>304538874</v>
      </c>
      <c r="H508" s="2">
        <v>2238586</v>
      </c>
      <c r="I508" s="2">
        <v>871654140</v>
      </c>
      <c r="J508">
        <v>22</v>
      </c>
      <c r="K508">
        <v>131</v>
      </c>
      <c r="L508">
        <v>0</v>
      </c>
      <c r="M508" t="str">
        <f t="shared" si="7"/>
        <v>After 2020</v>
      </c>
    </row>
    <row r="509" spans="1:13" hidden="1">
      <c r="A509" t="s">
        <v>827</v>
      </c>
      <c r="B509" t="s">
        <v>61</v>
      </c>
      <c r="C509" s="1">
        <v>45400</v>
      </c>
      <c r="D509" s="2">
        <v>210385853</v>
      </c>
      <c r="E509" s="2">
        <v>5179</v>
      </c>
      <c r="F509">
        <v>80</v>
      </c>
      <c r="G509" s="2">
        <v>18713330</v>
      </c>
      <c r="H509" s="2">
        <v>225439</v>
      </c>
      <c r="I509" s="2">
        <v>65541536</v>
      </c>
      <c r="J509">
        <v>92</v>
      </c>
      <c r="L509">
        <v>1</v>
      </c>
      <c r="M509" t="str">
        <f t="shared" si="7"/>
        <v>After 2020</v>
      </c>
    </row>
    <row r="510" spans="1:13">
      <c r="A510" t="s">
        <v>828</v>
      </c>
      <c r="B510" t="s">
        <v>829</v>
      </c>
      <c r="C510" s="1">
        <v>43644</v>
      </c>
      <c r="D510" s="2">
        <v>907346612</v>
      </c>
      <c r="E510" s="2">
        <v>200091</v>
      </c>
      <c r="F510">
        <v>69</v>
      </c>
      <c r="G510" s="2">
        <v>372311322</v>
      </c>
      <c r="H510" s="2">
        <v>3400085</v>
      </c>
      <c r="I510" s="2">
        <v>245290801</v>
      </c>
      <c r="J510">
        <v>91</v>
      </c>
      <c r="K510">
        <v>34</v>
      </c>
      <c r="L510">
        <v>1</v>
      </c>
      <c r="M510" t="str">
        <f t="shared" si="7"/>
        <v>2010-2020</v>
      </c>
    </row>
    <row r="511" spans="1:13" hidden="1">
      <c r="A511" t="s">
        <v>830</v>
      </c>
      <c r="B511" t="s">
        <v>831</v>
      </c>
      <c r="C511" s="1">
        <v>44722</v>
      </c>
      <c r="D511" s="2">
        <v>665611</v>
      </c>
      <c r="E511">
        <v>145</v>
      </c>
      <c r="F511">
        <v>22</v>
      </c>
      <c r="G511" s="2">
        <v>1209387613</v>
      </c>
      <c r="H511" s="2">
        <v>3358774</v>
      </c>
      <c r="J511">
        <v>2</v>
      </c>
      <c r="L511">
        <v>0</v>
      </c>
      <c r="M511" t="str">
        <f t="shared" si="7"/>
        <v>After 2020</v>
      </c>
    </row>
    <row r="512" spans="1:13">
      <c r="A512" t="s">
        <v>832</v>
      </c>
      <c r="B512" t="s">
        <v>221</v>
      </c>
      <c r="C512" s="1">
        <v>45428</v>
      </c>
      <c r="D512" s="2">
        <v>33661899</v>
      </c>
      <c r="E512" s="2">
        <v>3565</v>
      </c>
      <c r="F512">
        <v>79</v>
      </c>
      <c r="G512" s="2">
        <v>3729783</v>
      </c>
      <c r="H512" s="2">
        <v>62696</v>
      </c>
      <c r="I512" s="2">
        <v>1441200</v>
      </c>
      <c r="J512">
        <v>8</v>
      </c>
      <c r="K512">
        <v>1</v>
      </c>
      <c r="L512">
        <v>0</v>
      </c>
      <c r="M512" t="str">
        <f t="shared" si="7"/>
        <v>After 2020</v>
      </c>
    </row>
    <row r="513" spans="1:13">
      <c r="A513" t="s">
        <v>833</v>
      </c>
      <c r="B513" t="s">
        <v>68</v>
      </c>
      <c r="C513" s="1">
        <v>44687</v>
      </c>
      <c r="D513" s="2">
        <v>553783547</v>
      </c>
      <c r="E513" s="2">
        <v>83450</v>
      </c>
      <c r="F513">
        <v>68</v>
      </c>
      <c r="G513" s="2">
        <v>238368386</v>
      </c>
      <c r="H513" s="2">
        <v>2671201</v>
      </c>
      <c r="I513" s="2">
        <v>2994040421</v>
      </c>
      <c r="J513">
        <v>57</v>
      </c>
      <c r="K513" s="2">
        <v>1832</v>
      </c>
      <c r="L513">
        <v>1</v>
      </c>
      <c r="M513" t="str">
        <f t="shared" si="7"/>
        <v>After 2020</v>
      </c>
    </row>
    <row r="514" spans="1:13">
      <c r="A514" t="s">
        <v>834</v>
      </c>
      <c r="B514" t="s">
        <v>520</v>
      </c>
      <c r="C514" s="1">
        <v>44988</v>
      </c>
      <c r="D514" s="2">
        <v>528420867</v>
      </c>
      <c r="E514" s="2">
        <v>59791</v>
      </c>
      <c r="F514">
        <v>75</v>
      </c>
      <c r="G514" s="2">
        <v>211317309</v>
      </c>
      <c r="H514" s="2">
        <v>842146</v>
      </c>
      <c r="I514" s="2">
        <v>451806178</v>
      </c>
      <c r="J514">
        <v>84</v>
      </c>
      <c r="K514">
        <v>117</v>
      </c>
      <c r="L514">
        <v>0</v>
      </c>
      <c r="M514" t="str">
        <f t="shared" si="7"/>
        <v>After 2020</v>
      </c>
    </row>
    <row r="515" spans="1:13">
      <c r="A515" t="s">
        <v>835</v>
      </c>
      <c r="B515" t="s">
        <v>836</v>
      </c>
      <c r="C515" s="1">
        <v>45184</v>
      </c>
      <c r="D515" s="2">
        <v>142945230</v>
      </c>
      <c r="E515" s="2">
        <v>13253</v>
      </c>
      <c r="F515">
        <v>76</v>
      </c>
      <c r="G515" s="2">
        <v>66893881</v>
      </c>
      <c r="H515" s="2">
        <v>833116</v>
      </c>
      <c r="I515" s="2">
        <v>17122064</v>
      </c>
      <c r="J515">
        <v>59</v>
      </c>
      <c r="K515">
        <v>401</v>
      </c>
      <c r="L515">
        <v>0</v>
      </c>
      <c r="M515" t="str">
        <f t="shared" ref="M515:M578" si="8">IF(YEAR(C515)&lt;2010,"Before 2010",IF(YEAR(C515)&lt;=2020,"2010-2020","After 2020"))</f>
        <v>After 2020</v>
      </c>
    </row>
    <row r="516" spans="1:13" hidden="1">
      <c r="A516" t="s">
        <v>837</v>
      </c>
      <c r="B516" t="s">
        <v>838</v>
      </c>
      <c r="C516" s="1">
        <v>45180</v>
      </c>
      <c r="D516" s="2">
        <v>269785626</v>
      </c>
      <c r="E516" s="2">
        <v>27317</v>
      </c>
      <c r="G516" s="2">
        <v>286261279</v>
      </c>
      <c r="H516" s="2">
        <v>1999463</v>
      </c>
      <c r="J516">
        <v>11</v>
      </c>
      <c r="L516">
        <v>1</v>
      </c>
      <c r="M516" t="str">
        <f t="shared" si="8"/>
        <v>After 2020</v>
      </c>
    </row>
    <row r="517" spans="1:13" hidden="1">
      <c r="A517" t="s">
        <v>839</v>
      </c>
      <c r="B517" t="s">
        <v>236</v>
      </c>
      <c r="C517" s="1">
        <v>45135</v>
      </c>
      <c r="D517" s="2">
        <v>313693195</v>
      </c>
      <c r="E517" s="2">
        <v>92838</v>
      </c>
      <c r="F517">
        <v>75</v>
      </c>
      <c r="G517" s="2">
        <v>31625039</v>
      </c>
      <c r="H517" s="2">
        <v>372407</v>
      </c>
      <c r="I517" s="2">
        <v>32670713</v>
      </c>
      <c r="J517">
        <v>17</v>
      </c>
      <c r="L517">
        <v>1</v>
      </c>
      <c r="M517" t="str">
        <f t="shared" si="8"/>
        <v>After 2020</v>
      </c>
    </row>
    <row r="518" spans="1:13" hidden="1">
      <c r="A518" t="s">
        <v>840</v>
      </c>
      <c r="B518" t="s">
        <v>841</v>
      </c>
      <c r="C518" s="1">
        <v>45191</v>
      </c>
      <c r="D518" s="2">
        <v>181784966</v>
      </c>
      <c r="E518" s="2">
        <v>12794</v>
      </c>
      <c r="F518">
        <v>76</v>
      </c>
      <c r="G518" s="2">
        <v>340975288</v>
      </c>
      <c r="H518" s="2">
        <v>1553160</v>
      </c>
      <c r="I518">
        <v>179</v>
      </c>
      <c r="J518">
        <v>17</v>
      </c>
      <c r="L518">
        <v>0</v>
      </c>
      <c r="M518" t="str">
        <f t="shared" si="8"/>
        <v>After 2020</v>
      </c>
    </row>
    <row r="519" spans="1:13">
      <c r="A519" t="s">
        <v>842</v>
      </c>
      <c r="B519" t="s">
        <v>781</v>
      </c>
      <c r="C519" s="1">
        <v>43966</v>
      </c>
      <c r="D519" s="2">
        <v>885756212</v>
      </c>
      <c r="E519" s="2">
        <v>212406</v>
      </c>
      <c r="F519">
        <v>76</v>
      </c>
      <c r="G519" s="2">
        <v>226717718</v>
      </c>
      <c r="H519" s="2">
        <v>2205890</v>
      </c>
      <c r="I519" s="2">
        <v>200329006</v>
      </c>
      <c r="J519">
        <v>46</v>
      </c>
      <c r="K519">
        <v>51</v>
      </c>
      <c r="L519">
        <v>1</v>
      </c>
      <c r="M519" t="str">
        <f t="shared" si="8"/>
        <v>2010-2020</v>
      </c>
    </row>
    <row r="520" spans="1:13">
      <c r="A520" t="s">
        <v>843</v>
      </c>
      <c r="B520" t="s">
        <v>81</v>
      </c>
      <c r="C520" s="1">
        <v>43407</v>
      </c>
      <c r="D520" s="2">
        <v>1878196824</v>
      </c>
      <c r="E520" s="2">
        <v>134913</v>
      </c>
      <c r="F520">
        <v>73</v>
      </c>
      <c r="G520" s="2">
        <v>1479999649</v>
      </c>
      <c r="H520" s="2">
        <v>20977857</v>
      </c>
      <c r="I520" s="2">
        <v>982464070</v>
      </c>
      <c r="J520">
        <v>238</v>
      </c>
      <c r="K520">
        <v>400</v>
      </c>
      <c r="L520">
        <v>1</v>
      </c>
      <c r="M520" t="str">
        <f t="shared" si="8"/>
        <v>2010-2020</v>
      </c>
    </row>
    <row r="521" spans="1:13">
      <c r="A521" t="s">
        <v>844</v>
      </c>
      <c r="B521" t="s">
        <v>295</v>
      </c>
      <c r="C521" s="1">
        <v>42464</v>
      </c>
      <c r="D521" s="2">
        <v>3192204066</v>
      </c>
      <c r="E521" s="2">
        <v>379853</v>
      </c>
      <c r="F521">
        <v>82</v>
      </c>
      <c r="G521" s="2">
        <v>456806913</v>
      </c>
      <c r="H521" s="2">
        <v>5068762</v>
      </c>
      <c r="I521" s="2">
        <v>388544079</v>
      </c>
      <c r="J521">
        <v>550</v>
      </c>
      <c r="K521">
        <v>932</v>
      </c>
      <c r="L521">
        <v>0</v>
      </c>
      <c r="M521" t="str">
        <f t="shared" si="8"/>
        <v>2010-2020</v>
      </c>
    </row>
    <row r="522" spans="1:13">
      <c r="A522" t="s">
        <v>845</v>
      </c>
      <c r="B522" t="s">
        <v>846</v>
      </c>
      <c r="C522" s="1">
        <v>43795</v>
      </c>
      <c r="D522" s="2">
        <v>912461674</v>
      </c>
      <c r="E522" s="2">
        <v>160875</v>
      </c>
      <c r="F522">
        <v>70</v>
      </c>
      <c r="G522" s="2">
        <v>200055211</v>
      </c>
      <c r="H522" s="2">
        <v>2666083</v>
      </c>
      <c r="I522" s="2">
        <v>3076620938</v>
      </c>
      <c r="J522">
        <v>210</v>
      </c>
      <c r="K522">
        <v>389</v>
      </c>
      <c r="L522">
        <v>0</v>
      </c>
      <c r="M522" t="str">
        <f t="shared" si="8"/>
        <v>2010-2020</v>
      </c>
    </row>
    <row r="523" spans="1:13">
      <c r="A523" t="s">
        <v>847</v>
      </c>
      <c r="B523" t="s">
        <v>504</v>
      </c>
      <c r="C523" s="1">
        <v>43175</v>
      </c>
      <c r="D523" s="2">
        <v>1442703001</v>
      </c>
      <c r="E523" s="2">
        <v>201082</v>
      </c>
      <c r="F523">
        <v>78</v>
      </c>
      <c r="G523" s="2">
        <v>460915912</v>
      </c>
      <c r="H523" s="2">
        <v>7439249</v>
      </c>
      <c r="I523" s="2">
        <v>325870631</v>
      </c>
      <c r="J523">
        <v>15</v>
      </c>
      <c r="K523">
        <v>4</v>
      </c>
      <c r="L523">
        <v>1</v>
      </c>
      <c r="M523" t="str">
        <f t="shared" si="8"/>
        <v>2010-2020</v>
      </c>
    </row>
    <row r="524" spans="1:13">
      <c r="A524" t="s">
        <v>848</v>
      </c>
      <c r="B524" t="s">
        <v>849</v>
      </c>
      <c r="C524" s="1">
        <v>44953</v>
      </c>
      <c r="D524" s="2">
        <v>255898884</v>
      </c>
      <c r="E524" s="2">
        <v>35610</v>
      </c>
      <c r="F524">
        <v>65</v>
      </c>
      <c r="G524" s="2">
        <v>95799266</v>
      </c>
      <c r="H524" s="2">
        <v>746279</v>
      </c>
      <c r="I524" s="2">
        <v>112935118</v>
      </c>
      <c r="J524">
        <v>80</v>
      </c>
      <c r="K524">
        <v>74</v>
      </c>
      <c r="L524">
        <v>0</v>
      </c>
      <c r="M524" t="str">
        <f t="shared" si="8"/>
        <v>After 2020</v>
      </c>
    </row>
    <row r="525" spans="1:13">
      <c r="A525" t="s">
        <v>850</v>
      </c>
      <c r="B525" t="s">
        <v>285</v>
      </c>
      <c r="C525" s="1">
        <v>43868</v>
      </c>
      <c r="D525" s="2">
        <v>1177960398</v>
      </c>
      <c r="E525" s="2">
        <v>124387</v>
      </c>
      <c r="F525">
        <v>69</v>
      </c>
      <c r="G525" s="2">
        <v>1048571287</v>
      </c>
      <c r="H525" s="2">
        <v>8326026</v>
      </c>
      <c r="I525" s="2">
        <v>517889307</v>
      </c>
      <c r="J525">
        <v>250</v>
      </c>
      <c r="K525">
        <v>147</v>
      </c>
      <c r="L525">
        <v>0</v>
      </c>
      <c r="M525" t="str">
        <f t="shared" si="8"/>
        <v>2010-2020</v>
      </c>
    </row>
    <row r="526" spans="1:13">
      <c r="A526" t="s">
        <v>851</v>
      </c>
      <c r="B526" t="s">
        <v>200</v>
      </c>
      <c r="C526" s="1">
        <v>44950</v>
      </c>
      <c r="D526" s="2">
        <v>668103212</v>
      </c>
      <c r="E526" s="2">
        <v>52040</v>
      </c>
      <c r="F526">
        <v>69</v>
      </c>
      <c r="G526" s="2">
        <v>417352534</v>
      </c>
      <c r="H526" s="2">
        <v>2399654</v>
      </c>
      <c r="I526" s="2">
        <v>1213</v>
      </c>
      <c r="J526">
        <v>52</v>
      </c>
      <c r="K526">
        <v>3</v>
      </c>
      <c r="L526">
        <v>1</v>
      </c>
      <c r="M526" t="str">
        <f t="shared" si="8"/>
        <v>After 2020</v>
      </c>
    </row>
    <row r="527" spans="1:13">
      <c r="A527" t="s">
        <v>852</v>
      </c>
      <c r="B527" t="s">
        <v>853</v>
      </c>
      <c r="C527" s="1">
        <v>44057</v>
      </c>
      <c r="D527" s="2">
        <v>1320495311</v>
      </c>
      <c r="E527" s="2">
        <v>280937</v>
      </c>
      <c r="F527">
        <v>12</v>
      </c>
      <c r="G527" s="2">
        <v>446997037</v>
      </c>
      <c r="H527" s="2">
        <v>4911417</v>
      </c>
      <c r="I527" s="2">
        <v>1355578291</v>
      </c>
      <c r="J527">
        <v>191</v>
      </c>
      <c r="K527">
        <v>147</v>
      </c>
      <c r="L527">
        <v>1</v>
      </c>
      <c r="M527" t="str">
        <f t="shared" si="8"/>
        <v>2010-2020</v>
      </c>
    </row>
    <row r="528" spans="1:13">
      <c r="A528" t="s">
        <v>854</v>
      </c>
      <c r="B528" t="s">
        <v>77</v>
      </c>
      <c r="C528" s="1">
        <v>44141</v>
      </c>
      <c r="D528" s="2">
        <v>927908363</v>
      </c>
      <c r="E528" s="2">
        <v>192182</v>
      </c>
      <c r="F528">
        <v>69</v>
      </c>
      <c r="G528" s="2">
        <v>201781716</v>
      </c>
      <c r="H528" s="2">
        <v>2768029</v>
      </c>
      <c r="I528" s="2">
        <v>2189403368</v>
      </c>
      <c r="J528">
        <v>179</v>
      </c>
      <c r="K528">
        <v>803</v>
      </c>
      <c r="L528">
        <v>1</v>
      </c>
      <c r="M528" t="str">
        <f t="shared" si="8"/>
        <v>2010-2020</v>
      </c>
    </row>
    <row r="529" spans="1:13" hidden="1">
      <c r="A529" t="s">
        <v>855</v>
      </c>
      <c r="B529" t="s">
        <v>701</v>
      </c>
      <c r="C529" s="1">
        <v>45219</v>
      </c>
      <c r="D529" s="2">
        <v>70652012</v>
      </c>
      <c r="E529" s="2">
        <v>20841</v>
      </c>
      <c r="G529" s="2">
        <v>74067917</v>
      </c>
      <c r="H529" s="2">
        <v>702482</v>
      </c>
      <c r="I529" s="2">
        <v>13499846</v>
      </c>
      <c r="J529">
        <v>47</v>
      </c>
      <c r="K529">
        <v>16</v>
      </c>
      <c r="L529">
        <v>1</v>
      </c>
      <c r="M529" t="str">
        <f t="shared" si="8"/>
        <v>After 2020</v>
      </c>
    </row>
    <row r="530" spans="1:13">
      <c r="A530" t="s">
        <v>856</v>
      </c>
      <c r="B530" t="s">
        <v>43</v>
      </c>
      <c r="C530" s="1">
        <v>44910</v>
      </c>
      <c r="D530" s="2">
        <v>415699405</v>
      </c>
      <c r="E530" s="2">
        <v>131562</v>
      </c>
      <c r="F530">
        <v>70</v>
      </c>
      <c r="G530" s="2">
        <v>120716253</v>
      </c>
      <c r="H530" s="2">
        <v>1505981</v>
      </c>
      <c r="I530" s="2">
        <v>459919455</v>
      </c>
      <c r="J530">
        <v>37</v>
      </c>
      <c r="K530">
        <v>271</v>
      </c>
      <c r="L530">
        <v>1</v>
      </c>
      <c r="M530" t="str">
        <f t="shared" si="8"/>
        <v>After 2020</v>
      </c>
    </row>
    <row r="531" spans="1:13" hidden="1">
      <c r="A531" t="s">
        <v>857</v>
      </c>
      <c r="B531" t="s">
        <v>858</v>
      </c>
      <c r="C531" s="1">
        <v>45261</v>
      </c>
      <c r="D531" s="2">
        <v>250321751</v>
      </c>
      <c r="E531">
        <v>34</v>
      </c>
      <c r="J531">
        <v>8</v>
      </c>
      <c r="L531">
        <v>0</v>
      </c>
      <c r="M531" t="str">
        <f t="shared" si="8"/>
        <v>After 2020</v>
      </c>
    </row>
    <row r="532" spans="1:13">
      <c r="A532" t="s">
        <v>859</v>
      </c>
      <c r="B532" t="s">
        <v>860</v>
      </c>
      <c r="C532" s="1">
        <v>43950</v>
      </c>
      <c r="D532" s="2">
        <v>428986855</v>
      </c>
      <c r="E532" s="2">
        <v>49403</v>
      </c>
      <c r="F532">
        <v>57</v>
      </c>
      <c r="G532" s="2">
        <v>179237329</v>
      </c>
      <c r="H532" s="2">
        <v>1934526</v>
      </c>
      <c r="I532" s="2">
        <v>7823796917</v>
      </c>
      <c r="J532">
        <v>151</v>
      </c>
      <c r="K532">
        <v>82</v>
      </c>
      <c r="L532">
        <v>1</v>
      </c>
      <c r="M532" t="str">
        <f t="shared" si="8"/>
        <v>2010-2020</v>
      </c>
    </row>
    <row r="533" spans="1:13">
      <c r="A533" t="s">
        <v>861</v>
      </c>
      <c r="B533" t="s">
        <v>805</v>
      </c>
      <c r="C533" s="1">
        <v>43614</v>
      </c>
      <c r="D533" s="2">
        <v>922761340</v>
      </c>
      <c r="E533" s="2">
        <v>176497</v>
      </c>
      <c r="F533">
        <v>74</v>
      </c>
      <c r="G533" s="2">
        <v>469284408</v>
      </c>
      <c r="H533" s="2">
        <v>5223780</v>
      </c>
      <c r="I533" s="2">
        <v>5254571599</v>
      </c>
      <c r="J533">
        <v>99</v>
      </c>
      <c r="K533">
        <v>48</v>
      </c>
      <c r="L533">
        <v>0</v>
      </c>
      <c r="M533" t="str">
        <f t="shared" si="8"/>
        <v>2010-2020</v>
      </c>
    </row>
    <row r="534" spans="1:13">
      <c r="A534" t="s">
        <v>862</v>
      </c>
      <c r="B534" t="s">
        <v>285</v>
      </c>
      <c r="C534" s="1">
        <v>42317</v>
      </c>
      <c r="D534" s="2">
        <v>2423583406</v>
      </c>
      <c r="E534" s="2">
        <v>221550</v>
      </c>
      <c r="F534">
        <v>78</v>
      </c>
      <c r="G534" s="2">
        <v>2154325842</v>
      </c>
      <c r="H534" s="2">
        <v>11828484</v>
      </c>
      <c r="I534" s="2">
        <v>546197873</v>
      </c>
      <c r="J534">
        <v>287</v>
      </c>
      <c r="K534">
        <v>210</v>
      </c>
      <c r="L534">
        <v>0</v>
      </c>
      <c r="M534" t="str">
        <f t="shared" si="8"/>
        <v>2010-2020</v>
      </c>
    </row>
    <row r="535" spans="1:13" hidden="1">
      <c r="A535" t="s">
        <v>863</v>
      </c>
      <c r="B535" t="s">
        <v>522</v>
      </c>
      <c r="C535" s="1">
        <v>45331</v>
      </c>
      <c r="D535" s="2">
        <v>188154454</v>
      </c>
      <c r="E535" s="2">
        <v>6068</v>
      </c>
      <c r="F535">
        <v>82</v>
      </c>
      <c r="G535" s="2">
        <v>124152999</v>
      </c>
      <c r="H535" s="2">
        <v>632963</v>
      </c>
      <c r="I535" s="2">
        <v>27500000</v>
      </c>
      <c r="J535">
        <v>32</v>
      </c>
      <c r="L535">
        <v>0</v>
      </c>
      <c r="M535" t="str">
        <f t="shared" si="8"/>
        <v>After 2020</v>
      </c>
    </row>
    <row r="536" spans="1:13" hidden="1">
      <c r="A536" t="s">
        <v>864</v>
      </c>
      <c r="B536" t="s">
        <v>865</v>
      </c>
      <c r="C536" s="1">
        <v>44240</v>
      </c>
      <c r="D536" s="2">
        <v>149072</v>
      </c>
      <c r="E536">
        <v>53</v>
      </c>
      <c r="F536">
        <v>7</v>
      </c>
      <c r="I536" s="2">
        <v>339961056</v>
      </c>
      <c r="L536">
        <v>0</v>
      </c>
      <c r="M536" t="str">
        <f t="shared" si="8"/>
        <v>After 2020</v>
      </c>
    </row>
    <row r="537" spans="1:13" hidden="1">
      <c r="A537" t="s">
        <v>866</v>
      </c>
      <c r="B537" t="s">
        <v>867</v>
      </c>
      <c r="C537" s="1">
        <v>44904</v>
      </c>
      <c r="D537" s="2">
        <v>166866092</v>
      </c>
      <c r="E537" s="2">
        <v>26335</v>
      </c>
      <c r="F537">
        <v>73</v>
      </c>
      <c r="G537" s="2">
        <v>49337131</v>
      </c>
      <c r="H537" s="2">
        <v>600551</v>
      </c>
      <c r="I537" s="2">
        <v>133788711</v>
      </c>
      <c r="K537">
        <v>115</v>
      </c>
      <c r="L537">
        <v>0</v>
      </c>
      <c r="M537" t="str">
        <f t="shared" si="8"/>
        <v>After 2020</v>
      </c>
    </row>
    <row r="538" spans="1:13" hidden="1">
      <c r="A538" t="s">
        <v>868</v>
      </c>
      <c r="B538" t="s">
        <v>869</v>
      </c>
      <c r="C538" s="1">
        <v>45132</v>
      </c>
      <c r="D538" s="2">
        <v>296399608</v>
      </c>
      <c r="E538" s="2">
        <v>19549</v>
      </c>
      <c r="F538">
        <v>74</v>
      </c>
      <c r="G538" s="2">
        <v>387713750</v>
      </c>
      <c r="H538" s="2">
        <v>3452796</v>
      </c>
      <c r="I538" s="2">
        <v>38736854</v>
      </c>
      <c r="L538">
        <v>0</v>
      </c>
      <c r="M538" t="str">
        <f t="shared" si="8"/>
        <v>After 2020</v>
      </c>
    </row>
    <row r="539" spans="1:13">
      <c r="A539" t="s">
        <v>870</v>
      </c>
      <c r="B539" t="s">
        <v>871</v>
      </c>
      <c r="C539" s="1">
        <v>42370</v>
      </c>
      <c r="D539" s="2">
        <v>1429277695</v>
      </c>
      <c r="E539" s="2">
        <v>126593</v>
      </c>
      <c r="F539">
        <v>71</v>
      </c>
      <c r="G539" s="2">
        <v>2888870306</v>
      </c>
      <c r="H539" s="2">
        <v>12986504</v>
      </c>
      <c r="I539" s="2">
        <v>1155210017</v>
      </c>
      <c r="J539">
        <v>206</v>
      </c>
      <c r="K539">
        <v>227</v>
      </c>
      <c r="L539">
        <v>0</v>
      </c>
      <c r="M539" t="str">
        <f t="shared" si="8"/>
        <v>2010-2020</v>
      </c>
    </row>
    <row r="540" spans="1:13" hidden="1">
      <c r="A540" t="s">
        <v>872</v>
      </c>
      <c r="B540" t="s">
        <v>873</v>
      </c>
      <c r="C540" s="1">
        <v>45121</v>
      </c>
      <c r="D540" s="2">
        <v>14645123</v>
      </c>
      <c r="E540" s="2">
        <v>2424</v>
      </c>
      <c r="F540">
        <v>52</v>
      </c>
      <c r="G540" s="2">
        <v>28065515</v>
      </c>
      <c r="H540" s="2">
        <v>194782</v>
      </c>
      <c r="I540" s="2">
        <v>222489625</v>
      </c>
      <c r="J540">
        <v>6</v>
      </c>
      <c r="L540">
        <v>1</v>
      </c>
      <c r="M540" t="str">
        <f t="shared" si="8"/>
        <v>After 2020</v>
      </c>
    </row>
    <row r="541" spans="1:13" hidden="1">
      <c r="A541" t="s">
        <v>874</v>
      </c>
      <c r="B541" t="s">
        <v>875</v>
      </c>
      <c r="C541" s="1">
        <v>45451</v>
      </c>
      <c r="G541" s="2">
        <v>97907</v>
      </c>
      <c r="H541">
        <v>436</v>
      </c>
      <c r="L541">
        <v>0</v>
      </c>
      <c r="M541" t="str">
        <f t="shared" si="8"/>
        <v>After 2020</v>
      </c>
    </row>
    <row r="542" spans="1:13">
      <c r="A542" t="s">
        <v>876</v>
      </c>
      <c r="B542" t="s">
        <v>330</v>
      </c>
      <c r="C542" s="1">
        <v>44498</v>
      </c>
      <c r="D542" s="2">
        <v>907821800</v>
      </c>
      <c r="E542" s="2">
        <v>106835</v>
      </c>
      <c r="F542">
        <v>68</v>
      </c>
      <c r="G542" s="2">
        <v>242506280</v>
      </c>
      <c r="H542" s="2">
        <v>2540594</v>
      </c>
      <c r="I542" s="2">
        <v>702113761</v>
      </c>
      <c r="J542">
        <v>152</v>
      </c>
      <c r="K542" s="2">
        <v>1115</v>
      </c>
      <c r="L542">
        <v>0</v>
      </c>
      <c r="M542" t="str">
        <f t="shared" si="8"/>
        <v>After 2020</v>
      </c>
    </row>
    <row r="543" spans="1:13">
      <c r="A543" t="s">
        <v>877</v>
      </c>
      <c r="B543" t="s">
        <v>642</v>
      </c>
      <c r="C543" s="1">
        <v>44504</v>
      </c>
      <c r="D543" s="2">
        <v>818199643</v>
      </c>
      <c r="E543" s="2">
        <v>147373</v>
      </c>
      <c r="F543">
        <v>70</v>
      </c>
      <c r="G543" s="2">
        <v>300558745</v>
      </c>
      <c r="H543" s="2">
        <v>1923570</v>
      </c>
      <c r="I543" s="2">
        <v>591641859</v>
      </c>
      <c r="J543">
        <v>223</v>
      </c>
      <c r="K543" s="2">
        <v>1085</v>
      </c>
      <c r="L543">
        <v>0</v>
      </c>
      <c r="M543" t="str">
        <f t="shared" si="8"/>
        <v>After 2020</v>
      </c>
    </row>
    <row r="544" spans="1:13">
      <c r="A544" t="s">
        <v>878</v>
      </c>
      <c r="B544" t="s">
        <v>879</v>
      </c>
      <c r="C544" s="1">
        <v>45163</v>
      </c>
      <c r="D544" s="2">
        <v>205555865</v>
      </c>
      <c r="E544" s="2">
        <v>18831</v>
      </c>
      <c r="F544">
        <v>70</v>
      </c>
      <c r="G544" s="2">
        <v>62487981</v>
      </c>
      <c r="H544" s="2">
        <v>1546366</v>
      </c>
      <c r="I544" s="2">
        <v>237154932</v>
      </c>
      <c r="J544">
        <v>71</v>
      </c>
      <c r="K544">
        <v>504</v>
      </c>
      <c r="L544">
        <v>0</v>
      </c>
      <c r="M544" t="str">
        <f t="shared" si="8"/>
        <v>After 2020</v>
      </c>
    </row>
    <row r="545" spans="1:13" hidden="1">
      <c r="A545" t="s">
        <v>880</v>
      </c>
      <c r="B545" t="s">
        <v>881</v>
      </c>
      <c r="C545" s="1">
        <v>43362</v>
      </c>
      <c r="D545" s="2">
        <v>1156060152</v>
      </c>
      <c r="E545" s="2">
        <v>189320</v>
      </c>
      <c r="F545">
        <v>76</v>
      </c>
      <c r="G545" s="2">
        <v>402381959</v>
      </c>
      <c r="H545" s="2">
        <v>5703867</v>
      </c>
      <c r="I545" s="2">
        <v>153710600</v>
      </c>
      <c r="J545">
        <v>31</v>
      </c>
      <c r="L545">
        <v>1</v>
      </c>
      <c r="M545" t="str">
        <f t="shared" si="8"/>
        <v>2010-2020</v>
      </c>
    </row>
    <row r="546" spans="1:13" hidden="1">
      <c r="A546" t="s">
        <v>882</v>
      </c>
      <c r="B546" t="s">
        <v>883</v>
      </c>
      <c r="C546" s="1">
        <v>45183</v>
      </c>
      <c r="L546">
        <v>0</v>
      </c>
      <c r="M546" t="str">
        <f t="shared" si="8"/>
        <v>After 2020</v>
      </c>
    </row>
    <row r="547" spans="1:13">
      <c r="A547" t="s">
        <v>884</v>
      </c>
      <c r="B547" t="s">
        <v>576</v>
      </c>
      <c r="C547" s="1">
        <v>43210</v>
      </c>
      <c r="D547" s="2">
        <v>785389574</v>
      </c>
      <c r="E547" s="2">
        <v>70607</v>
      </c>
      <c r="F547">
        <v>61</v>
      </c>
      <c r="G547" s="2">
        <v>2377255570</v>
      </c>
      <c r="H547" s="2">
        <v>10176631</v>
      </c>
      <c r="I547" s="2">
        <v>989856037</v>
      </c>
      <c r="J547">
        <v>86</v>
      </c>
      <c r="K547">
        <v>113</v>
      </c>
      <c r="L547">
        <v>0</v>
      </c>
      <c r="M547" t="str">
        <f t="shared" si="8"/>
        <v>2010-2020</v>
      </c>
    </row>
    <row r="548" spans="1:13">
      <c r="A548" t="s">
        <v>885</v>
      </c>
      <c r="B548" t="s">
        <v>301</v>
      </c>
      <c r="C548" s="1">
        <v>44204</v>
      </c>
      <c r="D548" s="2">
        <v>717226454</v>
      </c>
      <c r="E548" s="2">
        <v>73851</v>
      </c>
      <c r="F548">
        <v>79</v>
      </c>
      <c r="G548" s="2">
        <v>404363419</v>
      </c>
      <c r="H548" s="2">
        <v>2296639</v>
      </c>
      <c r="I548" s="2">
        <v>86145458</v>
      </c>
      <c r="J548">
        <v>41</v>
      </c>
      <c r="K548">
        <v>273</v>
      </c>
      <c r="L548">
        <v>0</v>
      </c>
      <c r="M548" t="str">
        <f t="shared" si="8"/>
        <v>After 2020</v>
      </c>
    </row>
    <row r="549" spans="1:13">
      <c r="A549" t="s">
        <v>886</v>
      </c>
      <c r="B549" t="s">
        <v>72</v>
      </c>
      <c r="C549" s="1">
        <v>44733</v>
      </c>
      <c r="D549" s="2">
        <v>443564590</v>
      </c>
      <c r="E549" s="2">
        <v>80121</v>
      </c>
      <c r="F549">
        <v>64</v>
      </c>
      <c r="G549" s="2">
        <v>122345818</v>
      </c>
      <c r="H549" s="2">
        <v>1753026</v>
      </c>
      <c r="I549" s="2">
        <v>1231848412</v>
      </c>
      <c r="J549">
        <v>210</v>
      </c>
      <c r="K549" s="2">
        <v>1089</v>
      </c>
      <c r="L549">
        <v>0</v>
      </c>
      <c r="M549" t="str">
        <f t="shared" si="8"/>
        <v>After 2020</v>
      </c>
    </row>
    <row r="550" spans="1:13" hidden="1">
      <c r="A550" t="s">
        <v>887</v>
      </c>
      <c r="B550" t="s">
        <v>888</v>
      </c>
      <c r="C550" s="1">
        <v>45271</v>
      </c>
      <c r="D550" s="2">
        <v>9396018</v>
      </c>
      <c r="E550">
        <v>139</v>
      </c>
      <c r="G550" s="2">
        <v>286293095</v>
      </c>
      <c r="H550" s="2">
        <v>1983672</v>
      </c>
      <c r="L550">
        <v>0</v>
      </c>
      <c r="M550" t="str">
        <f t="shared" si="8"/>
        <v>After 2020</v>
      </c>
    </row>
    <row r="551" spans="1:13">
      <c r="A551" t="s">
        <v>889</v>
      </c>
      <c r="B551" t="s">
        <v>890</v>
      </c>
      <c r="C551" s="1">
        <v>44582</v>
      </c>
      <c r="D551" s="2">
        <v>668285368</v>
      </c>
      <c r="E551" s="2">
        <v>120095</v>
      </c>
      <c r="F551">
        <v>74</v>
      </c>
      <c r="G551" s="2">
        <v>135561359</v>
      </c>
      <c r="H551" s="2">
        <v>1695128</v>
      </c>
      <c r="I551" s="2">
        <v>2877613437</v>
      </c>
      <c r="J551">
        <v>21</v>
      </c>
      <c r="K551">
        <v>338</v>
      </c>
      <c r="L551">
        <v>1</v>
      </c>
      <c r="M551" t="str">
        <f t="shared" si="8"/>
        <v>After 2020</v>
      </c>
    </row>
    <row r="552" spans="1:13">
      <c r="A552" t="s">
        <v>891</v>
      </c>
      <c r="B552" t="s">
        <v>892</v>
      </c>
      <c r="C552" s="1">
        <v>42390</v>
      </c>
      <c r="D552" s="2">
        <v>1285237951</v>
      </c>
      <c r="E552" s="2">
        <v>166761</v>
      </c>
      <c r="F552">
        <v>76</v>
      </c>
      <c r="G552" s="2">
        <v>1383536938</v>
      </c>
      <c r="H552" s="2">
        <v>11277243</v>
      </c>
      <c r="I552" s="2">
        <v>14808888629</v>
      </c>
      <c r="J552">
        <v>124</v>
      </c>
      <c r="K552">
        <v>549</v>
      </c>
      <c r="L552">
        <v>0</v>
      </c>
      <c r="M552" t="str">
        <f t="shared" si="8"/>
        <v>2010-2020</v>
      </c>
    </row>
    <row r="553" spans="1:13">
      <c r="A553" t="s">
        <v>893</v>
      </c>
      <c r="B553" t="s">
        <v>266</v>
      </c>
      <c r="C553" s="1">
        <v>44337</v>
      </c>
      <c r="D553" s="2">
        <v>1564979439</v>
      </c>
      <c r="E553" s="2">
        <v>150597</v>
      </c>
      <c r="F553">
        <v>80</v>
      </c>
      <c r="G553" s="2">
        <v>500794182</v>
      </c>
      <c r="H553" s="2">
        <v>7451635</v>
      </c>
      <c r="I553" s="2">
        <v>2639611818</v>
      </c>
      <c r="J553">
        <v>147</v>
      </c>
      <c r="K553">
        <v>182</v>
      </c>
      <c r="L553">
        <v>0</v>
      </c>
      <c r="M553" t="str">
        <f t="shared" si="8"/>
        <v>After 2020</v>
      </c>
    </row>
    <row r="554" spans="1:13">
      <c r="A554" t="s">
        <v>894</v>
      </c>
      <c r="B554" t="s">
        <v>236</v>
      </c>
      <c r="C554" s="1">
        <v>42629</v>
      </c>
      <c r="D554" s="2">
        <v>2396737761</v>
      </c>
      <c r="E554" s="2">
        <v>381756</v>
      </c>
      <c r="F554">
        <v>82</v>
      </c>
      <c r="G554" s="2">
        <v>1334796210</v>
      </c>
      <c r="H554" s="2">
        <v>12947143</v>
      </c>
      <c r="I554" s="2">
        <v>1545294272</v>
      </c>
      <c r="J554">
        <v>210</v>
      </c>
      <c r="K554">
        <v>51</v>
      </c>
      <c r="L554">
        <v>1</v>
      </c>
      <c r="M554" t="str">
        <f t="shared" si="8"/>
        <v>2010-2020</v>
      </c>
    </row>
    <row r="555" spans="1:13" hidden="1">
      <c r="A555" t="s">
        <v>895</v>
      </c>
      <c r="B555" t="s">
        <v>896</v>
      </c>
      <c r="C555" s="1">
        <v>44393</v>
      </c>
      <c r="L555">
        <v>0</v>
      </c>
      <c r="M555" t="str">
        <f t="shared" si="8"/>
        <v>After 2020</v>
      </c>
    </row>
    <row r="556" spans="1:13">
      <c r="A556" t="s">
        <v>897</v>
      </c>
      <c r="B556" t="s">
        <v>459</v>
      </c>
      <c r="C556" s="1">
        <v>44344</v>
      </c>
      <c r="D556" s="2">
        <v>811810737</v>
      </c>
      <c r="E556" s="2">
        <v>117049</v>
      </c>
      <c r="F556">
        <v>67</v>
      </c>
      <c r="G556" s="2">
        <v>874107993</v>
      </c>
      <c r="H556" s="2">
        <v>4127669</v>
      </c>
      <c r="I556" s="2">
        <v>1748578220</v>
      </c>
      <c r="J556">
        <v>108</v>
      </c>
      <c r="K556">
        <v>105</v>
      </c>
      <c r="L556">
        <v>0</v>
      </c>
      <c r="M556" t="str">
        <f t="shared" si="8"/>
        <v>After 2020</v>
      </c>
    </row>
    <row r="557" spans="1:13">
      <c r="A557" t="s">
        <v>898</v>
      </c>
      <c r="B557" t="s">
        <v>836</v>
      </c>
      <c r="C557" s="1">
        <v>44519</v>
      </c>
      <c r="D557" s="2">
        <v>241632869</v>
      </c>
      <c r="E557" s="2">
        <v>58384</v>
      </c>
      <c r="F557">
        <v>67</v>
      </c>
      <c r="G557" s="2">
        <v>179211319</v>
      </c>
      <c r="H557" s="2">
        <v>1646854</v>
      </c>
      <c r="I557" s="2">
        <v>3549690741</v>
      </c>
      <c r="J557">
        <v>38</v>
      </c>
      <c r="K557">
        <v>550</v>
      </c>
      <c r="L557">
        <v>1</v>
      </c>
      <c r="M557" t="str">
        <f t="shared" si="8"/>
        <v>After 2020</v>
      </c>
    </row>
    <row r="558" spans="1:13">
      <c r="A558" t="s">
        <v>899</v>
      </c>
      <c r="B558" t="s">
        <v>252</v>
      </c>
      <c r="C558" s="1">
        <v>43567</v>
      </c>
      <c r="D558" s="2">
        <v>1165842896</v>
      </c>
      <c r="E558" s="2">
        <v>62333</v>
      </c>
      <c r="F558">
        <v>70</v>
      </c>
      <c r="G558" s="2">
        <v>2104797932</v>
      </c>
      <c r="H558" s="2">
        <v>35291841</v>
      </c>
      <c r="I558" s="2">
        <v>2199922028</v>
      </c>
      <c r="J558">
        <v>111</v>
      </c>
      <c r="K558">
        <v>62</v>
      </c>
      <c r="L558">
        <v>0</v>
      </c>
      <c r="M558" t="str">
        <f t="shared" si="8"/>
        <v>2010-2020</v>
      </c>
    </row>
    <row r="559" spans="1:13" hidden="1">
      <c r="A559" t="s">
        <v>900</v>
      </c>
      <c r="B559" t="s">
        <v>901</v>
      </c>
      <c r="C559" s="1">
        <v>45308</v>
      </c>
      <c r="D559" s="2">
        <v>846435891</v>
      </c>
      <c r="E559">
        <v>1</v>
      </c>
      <c r="L559">
        <v>0</v>
      </c>
      <c r="M559" t="str">
        <f t="shared" si="8"/>
        <v>After 2020</v>
      </c>
    </row>
    <row r="560" spans="1:13">
      <c r="A560" t="s">
        <v>902</v>
      </c>
      <c r="B560" t="s">
        <v>903</v>
      </c>
      <c r="C560" s="1">
        <v>44448</v>
      </c>
      <c r="D560" s="2">
        <v>533416336</v>
      </c>
      <c r="E560" s="2">
        <v>51383</v>
      </c>
      <c r="F560">
        <v>68</v>
      </c>
      <c r="G560" s="2">
        <v>293168763</v>
      </c>
      <c r="H560" s="2">
        <v>2744278</v>
      </c>
      <c r="I560" s="2">
        <v>4418855338</v>
      </c>
      <c r="J560">
        <v>49</v>
      </c>
      <c r="K560">
        <v>23</v>
      </c>
      <c r="L560">
        <v>0</v>
      </c>
      <c r="M560" t="str">
        <f t="shared" si="8"/>
        <v>After 2020</v>
      </c>
    </row>
    <row r="561" spans="1:13">
      <c r="A561" t="s">
        <v>904</v>
      </c>
      <c r="B561" t="s">
        <v>295</v>
      </c>
      <c r="C561" s="1">
        <v>44442</v>
      </c>
      <c r="D561" s="2">
        <v>559759920</v>
      </c>
      <c r="E561" s="2">
        <v>159492</v>
      </c>
      <c r="F561">
        <v>67</v>
      </c>
      <c r="G561" s="2">
        <v>190901062</v>
      </c>
      <c r="H561" s="2">
        <v>2026532</v>
      </c>
      <c r="I561" s="2">
        <v>2410691959</v>
      </c>
      <c r="J561">
        <v>102</v>
      </c>
      <c r="K561">
        <v>750</v>
      </c>
      <c r="L561">
        <v>1</v>
      </c>
      <c r="M561" t="str">
        <f t="shared" si="8"/>
        <v>After 2020</v>
      </c>
    </row>
    <row r="562" spans="1:13" hidden="1">
      <c r="A562" t="s">
        <v>905</v>
      </c>
      <c r="B562" t="s">
        <v>888</v>
      </c>
      <c r="C562" s="1">
        <v>45387</v>
      </c>
      <c r="D562" s="2">
        <v>1319711</v>
      </c>
      <c r="E562">
        <v>27</v>
      </c>
      <c r="G562" s="2">
        <v>105682742</v>
      </c>
      <c r="H562" s="2">
        <v>819009</v>
      </c>
      <c r="L562">
        <v>0</v>
      </c>
      <c r="M562" t="str">
        <f t="shared" si="8"/>
        <v>After 2020</v>
      </c>
    </row>
    <row r="563" spans="1:13" hidden="1">
      <c r="A563" t="s">
        <v>906</v>
      </c>
      <c r="B563" t="s">
        <v>332</v>
      </c>
      <c r="C563" s="1">
        <v>45450</v>
      </c>
      <c r="D563" s="2">
        <v>8757910</v>
      </c>
      <c r="E563" s="2">
        <v>1184</v>
      </c>
      <c r="F563">
        <v>71</v>
      </c>
      <c r="G563" s="2">
        <v>3466744</v>
      </c>
      <c r="H563" s="2">
        <v>141011</v>
      </c>
      <c r="I563" s="2">
        <v>25443365</v>
      </c>
      <c r="J563">
        <v>51</v>
      </c>
      <c r="L563">
        <v>1</v>
      </c>
      <c r="M563" t="str">
        <f t="shared" si="8"/>
        <v>After 2020</v>
      </c>
    </row>
    <row r="564" spans="1:13">
      <c r="A564" t="s">
        <v>907</v>
      </c>
      <c r="B564" t="s">
        <v>688</v>
      </c>
      <c r="C564" s="1">
        <v>44274</v>
      </c>
      <c r="D564" s="2">
        <v>1053626902</v>
      </c>
      <c r="E564" s="2">
        <v>240281</v>
      </c>
      <c r="F564">
        <v>77</v>
      </c>
      <c r="G564" s="2">
        <v>286243073</v>
      </c>
      <c r="H564" s="2">
        <v>5394802</v>
      </c>
      <c r="I564" s="2">
        <v>1755214047</v>
      </c>
      <c r="J564">
        <v>117</v>
      </c>
      <c r="K564">
        <v>185</v>
      </c>
      <c r="L564">
        <v>1</v>
      </c>
      <c r="M564" t="str">
        <f t="shared" si="8"/>
        <v>After 2020</v>
      </c>
    </row>
    <row r="565" spans="1:13">
      <c r="A565" t="s">
        <v>908</v>
      </c>
      <c r="B565" t="s">
        <v>53</v>
      </c>
      <c r="C565" s="1">
        <v>44680</v>
      </c>
      <c r="D565" s="2">
        <v>395167576</v>
      </c>
      <c r="E565" s="2">
        <v>135307</v>
      </c>
      <c r="F565">
        <v>71</v>
      </c>
      <c r="G565" s="2">
        <v>117364602</v>
      </c>
      <c r="H565" s="2">
        <v>803990</v>
      </c>
      <c r="I565" s="2">
        <v>66661123</v>
      </c>
      <c r="J565">
        <v>31</v>
      </c>
      <c r="K565">
        <v>135</v>
      </c>
      <c r="L565">
        <v>1</v>
      </c>
      <c r="M565" t="str">
        <f t="shared" si="8"/>
        <v>After 2020</v>
      </c>
    </row>
    <row r="566" spans="1:13">
      <c r="A566" t="s">
        <v>909</v>
      </c>
      <c r="B566" t="s">
        <v>299</v>
      </c>
      <c r="C566" s="1">
        <v>45198</v>
      </c>
      <c r="D566" s="2">
        <v>573249007</v>
      </c>
      <c r="E566" s="2">
        <v>27154</v>
      </c>
      <c r="F566">
        <v>74</v>
      </c>
      <c r="G566" s="2">
        <v>166687005</v>
      </c>
      <c r="H566" s="2">
        <v>4539515</v>
      </c>
      <c r="I566" s="2">
        <v>66859275</v>
      </c>
      <c r="J566">
        <v>19</v>
      </c>
      <c r="K566">
        <v>25</v>
      </c>
      <c r="L566">
        <v>1</v>
      </c>
      <c r="M566" t="str">
        <f t="shared" si="8"/>
        <v>After 2020</v>
      </c>
    </row>
    <row r="567" spans="1:13" hidden="1">
      <c r="A567" t="s">
        <v>910</v>
      </c>
      <c r="B567" t="s">
        <v>546</v>
      </c>
      <c r="C567" s="1">
        <v>42818</v>
      </c>
      <c r="D567" s="2">
        <v>2123458039</v>
      </c>
      <c r="E567" s="2">
        <v>59071</v>
      </c>
      <c r="F567">
        <v>24</v>
      </c>
      <c r="G567" s="2">
        <v>243662429</v>
      </c>
      <c r="H567" s="2">
        <v>2597999</v>
      </c>
      <c r="I567" s="2">
        <v>17150790</v>
      </c>
      <c r="J567">
        <v>210</v>
      </c>
      <c r="L567">
        <v>1</v>
      </c>
      <c r="M567" t="str">
        <f t="shared" si="8"/>
        <v>2010-2020</v>
      </c>
    </row>
    <row r="568" spans="1:13">
      <c r="A568" t="s">
        <v>911</v>
      </c>
      <c r="B568" t="s">
        <v>912</v>
      </c>
      <c r="C568" s="1">
        <v>44862</v>
      </c>
      <c r="D568" s="2">
        <v>378282960</v>
      </c>
      <c r="E568" s="2">
        <v>66018</v>
      </c>
      <c r="F568">
        <v>65</v>
      </c>
      <c r="G568" s="2">
        <v>44883383</v>
      </c>
      <c r="H568" s="2">
        <v>477531</v>
      </c>
      <c r="I568" s="2">
        <v>1367774822</v>
      </c>
      <c r="J568">
        <v>109</v>
      </c>
      <c r="K568">
        <v>4</v>
      </c>
      <c r="L568">
        <v>0</v>
      </c>
      <c r="M568" t="str">
        <f t="shared" si="8"/>
        <v>After 2020</v>
      </c>
    </row>
    <row r="569" spans="1:13">
      <c r="A569" t="s">
        <v>913</v>
      </c>
      <c r="B569" t="s">
        <v>631</v>
      </c>
      <c r="C569" s="1">
        <v>45135</v>
      </c>
      <c r="D569" s="2">
        <v>226519256</v>
      </c>
      <c r="E569" s="2">
        <v>43558</v>
      </c>
      <c r="F569">
        <v>75</v>
      </c>
      <c r="G569" s="2">
        <v>51312470</v>
      </c>
      <c r="H569" s="2">
        <v>504978</v>
      </c>
      <c r="I569" s="2">
        <v>2439093</v>
      </c>
      <c r="J569">
        <v>89</v>
      </c>
      <c r="K569">
        <v>35</v>
      </c>
      <c r="L569">
        <v>0</v>
      </c>
      <c r="M569" t="str">
        <f t="shared" si="8"/>
        <v>After 2020</v>
      </c>
    </row>
    <row r="570" spans="1:13" hidden="1">
      <c r="A570" t="s">
        <v>914</v>
      </c>
      <c r="B570" t="s">
        <v>915</v>
      </c>
      <c r="C570" s="1">
        <v>44802</v>
      </c>
      <c r="D570" s="2">
        <v>142732</v>
      </c>
      <c r="E570">
        <v>90</v>
      </c>
      <c r="F570">
        <v>21</v>
      </c>
      <c r="G570" s="2">
        <v>195295</v>
      </c>
      <c r="H570" s="2">
        <v>5143</v>
      </c>
      <c r="I570" s="2">
        <v>5316677737</v>
      </c>
      <c r="L570">
        <v>0</v>
      </c>
      <c r="M570" t="str">
        <f t="shared" si="8"/>
        <v>After 2020</v>
      </c>
    </row>
    <row r="571" spans="1:13" hidden="1">
      <c r="A571" t="s">
        <v>916</v>
      </c>
      <c r="B571" t="s">
        <v>917</v>
      </c>
      <c r="C571" s="1">
        <v>43049</v>
      </c>
      <c r="D571" s="2">
        <v>2011121774</v>
      </c>
      <c r="E571" s="2">
        <v>314601</v>
      </c>
      <c r="F571">
        <v>77</v>
      </c>
      <c r="G571" s="2">
        <v>545470329</v>
      </c>
      <c r="H571" s="2">
        <v>2971579</v>
      </c>
      <c r="I571" s="2">
        <v>943751388</v>
      </c>
      <c r="J571">
        <v>441</v>
      </c>
      <c r="L571">
        <v>0</v>
      </c>
      <c r="M571" t="str">
        <f t="shared" si="8"/>
        <v>2010-2020</v>
      </c>
    </row>
    <row r="572" spans="1:13">
      <c r="A572" t="s">
        <v>918</v>
      </c>
      <c r="B572" t="s">
        <v>313</v>
      </c>
      <c r="C572" s="1">
        <v>43552</v>
      </c>
      <c r="D572" s="2">
        <v>770653954</v>
      </c>
      <c r="E572" s="2">
        <v>81459</v>
      </c>
      <c r="F572">
        <v>66</v>
      </c>
      <c r="G572" s="2">
        <v>2296478541</v>
      </c>
      <c r="H572" s="2">
        <v>10488884</v>
      </c>
      <c r="I572" s="2">
        <v>353024939</v>
      </c>
      <c r="J572">
        <v>194</v>
      </c>
      <c r="K572">
        <v>431</v>
      </c>
      <c r="L572">
        <v>0</v>
      </c>
      <c r="M572" t="str">
        <f t="shared" si="8"/>
        <v>2010-2020</v>
      </c>
    </row>
    <row r="573" spans="1:13" hidden="1">
      <c r="A573" t="s">
        <v>919</v>
      </c>
      <c r="B573" t="s">
        <v>920</v>
      </c>
      <c r="C573" s="1">
        <v>45411</v>
      </c>
      <c r="D573" s="2">
        <v>32189908</v>
      </c>
      <c r="E573" s="2">
        <v>1646</v>
      </c>
      <c r="F573">
        <v>60</v>
      </c>
      <c r="G573" s="2">
        <v>56484359</v>
      </c>
      <c r="H573" s="2">
        <v>869830</v>
      </c>
      <c r="I573" s="2">
        <v>19697730</v>
      </c>
      <c r="J573">
        <v>26</v>
      </c>
      <c r="L573">
        <v>0</v>
      </c>
      <c r="M573" t="str">
        <f t="shared" si="8"/>
        <v>After 2020</v>
      </c>
    </row>
    <row r="574" spans="1:13">
      <c r="A574" t="s">
        <v>921</v>
      </c>
      <c r="B574" t="s">
        <v>459</v>
      </c>
      <c r="C574" s="1">
        <v>43644</v>
      </c>
      <c r="D574" s="2">
        <v>1706325903</v>
      </c>
      <c r="E574" s="2">
        <v>149957</v>
      </c>
      <c r="F574">
        <v>79</v>
      </c>
      <c r="G574" s="2">
        <v>1527773578</v>
      </c>
      <c r="H574" s="2">
        <v>6954777</v>
      </c>
      <c r="I574" s="2">
        <v>143346183</v>
      </c>
      <c r="J574">
        <v>157</v>
      </c>
      <c r="K574">
        <v>24</v>
      </c>
      <c r="L574">
        <v>0</v>
      </c>
      <c r="M574" t="str">
        <f t="shared" si="8"/>
        <v>2010-2020</v>
      </c>
    </row>
    <row r="575" spans="1:13" hidden="1">
      <c r="A575" t="s">
        <v>922</v>
      </c>
      <c r="B575" t="s">
        <v>923</v>
      </c>
      <c r="C575" s="1">
        <v>43054</v>
      </c>
      <c r="D575" s="2">
        <v>1432473324</v>
      </c>
      <c r="E575" s="2">
        <v>235239</v>
      </c>
      <c r="F575">
        <v>74</v>
      </c>
      <c r="G575" s="2">
        <v>1652679786</v>
      </c>
      <c r="H575" s="2">
        <v>14105895</v>
      </c>
      <c r="I575" s="2">
        <v>481312317</v>
      </c>
      <c r="J575">
        <v>182</v>
      </c>
      <c r="L575">
        <v>0</v>
      </c>
      <c r="M575" t="str">
        <f t="shared" si="8"/>
        <v>2010-2020</v>
      </c>
    </row>
    <row r="576" spans="1:13">
      <c r="A576" t="s">
        <v>924</v>
      </c>
      <c r="B576" t="s">
        <v>892</v>
      </c>
      <c r="C576" s="1">
        <v>41640</v>
      </c>
      <c r="D576" s="2">
        <v>1729264620</v>
      </c>
      <c r="E576" s="2">
        <v>171065</v>
      </c>
      <c r="F576">
        <v>75</v>
      </c>
      <c r="G576" s="2">
        <v>3137616905</v>
      </c>
      <c r="H576" s="2">
        <v>17150946</v>
      </c>
      <c r="I576" s="2">
        <v>1176707701</v>
      </c>
      <c r="J576">
        <v>216</v>
      </c>
      <c r="K576">
        <v>257</v>
      </c>
      <c r="L576">
        <v>0</v>
      </c>
      <c r="M576" t="str">
        <f t="shared" si="8"/>
        <v>2010-2020</v>
      </c>
    </row>
    <row r="577" spans="1:13">
      <c r="A577" t="s">
        <v>925</v>
      </c>
      <c r="B577" t="s">
        <v>926</v>
      </c>
      <c r="C577" s="1">
        <v>43293</v>
      </c>
      <c r="D577" s="2">
        <v>1736530084</v>
      </c>
      <c r="E577" s="2">
        <v>174867</v>
      </c>
      <c r="F577">
        <v>73</v>
      </c>
      <c r="G577" s="2">
        <v>885823017</v>
      </c>
      <c r="H577" s="2">
        <v>4489619</v>
      </c>
      <c r="I577" s="2">
        <v>116720227</v>
      </c>
      <c r="J577">
        <v>173</v>
      </c>
      <c r="K577">
        <v>198</v>
      </c>
      <c r="L577">
        <v>0</v>
      </c>
      <c r="M577" t="str">
        <f t="shared" si="8"/>
        <v>2010-2020</v>
      </c>
    </row>
    <row r="578" spans="1:13">
      <c r="A578" t="s">
        <v>927</v>
      </c>
      <c r="B578" t="s">
        <v>28</v>
      </c>
      <c r="C578" s="1">
        <v>43847</v>
      </c>
      <c r="D578" s="2">
        <v>1456635235</v>
      </c>
      <c r="E578" s="2">
        <v>241715</v>
      </c>
      <c r="F578">
        <v>78</v>
      </c>
      <c r="G578" s="2">
        <v>657464189</v>
      </c>
      <c r="H578" s="2">
        <v>10293443</v>
      </c>
      <c r="I578" s="2">
        <v>310162794</v>
      </c>
      <c r="J578">
        <v>76</v>
      </c>
      <c r="K578">
        <v>110</v>
      </c>
      <c r="L578">
        <v>1</v>
      </c>
      <c r="M578" t="str">
        <f t="shared" si="8"/>
        <v>2010-2020</v>
      </c>
    </row>
    <row r="579" spans="1:13">
      <c r="A579" t="s">
        <v>928</v>
      </c>
      <c r="B579" t="s">
        <v>260</v>
      </c>
      <c r="C579" s="1">
        <v>41640</v>
      </c>
      <c r="D579" s="2">
        <v>815661095</v>
      </c>
      <c r="E579" s="2">
        <v>92401</v>
      </c>
      <c r="F579">
        <v>70</v>
      </c>
      <c r="G579" s="2">
        <v>2725121387</v>
      </c>
      <c r="H579" s="2">
        <v>10672692</v>
      </c>
      <c r="I579" s="2">
        <v>620379145</v>
      </c>
      <c r="J579">
        <v>130</v>
      </c>
      <c r="K579">
        <v>399</v>
      </c>
      <c r="L579">
        <v>1</v>
      </c>
      <c r="M579" t="str">
        <f t="shared" ref="M579:M642" si="9">IF(YEAR(C579)&lt;2010,"Before 2010",IF(YEAR(C579)&lt;=2020,"2010-2020","After 2020"))</f>
        <v>2010-2020</v>
      </c>
    </row>
    <row r="580" spans="1:13" hidden="1">
      <c r="A580" t="s">
        <v>929</v>
      </c>
      <c r="B580" t="s">
        <v>930</v>
      </c>
      <c r="C580" s="1">
        <v>44907</v>
      </c>
      <c r="D580" s="2">
        <v>218291402</v>
      </c>
      <c r="E580" s="2">
        <v>10974</v>
      </c>
      <c r="F580">
        <v>66</v>
      </c>
      <c r="G580" s="2">
        <v>687030830</v>
      </c>
      <c r="H580" s="2">
        <v>4823376</v>
      </c>
      <c r="I580" s="2">
        <v>568124616</v>
      </c>
      <c r="J580">
        <v>27</v>
      </c>
      <c r="L580">
        <v>0</v>
      </c>
      <c r="M580" t="str">
        <f t="shared" si="9"/>
        <v>After 2020</v>
      </c>
    </row>
    <row r="581" spans="1:13" hidden="1">
      <c r="A581" t="s">
        <v>931</v>
      </c>
      <c r="B581" t="s">
        <v>932</v>
      </c>
      <c r="C581" s="1">
        <v>45216</v>
      </c>
      <c r="D581" s="2">
        <v>64754747</v>
      </c>
      <c r="E581" s="2">
        <v>15452</v>
      </c>
      <c r="G581" s="2">
        <v>45962989</v>
      </c>
      <c r="H581" s="2">
        <v>688170</v>
      </c>
      <c r="I581" s="2">
        <v>1354562740</v>
      </c>
      <c r="J581">
        <v>2</v>
      </c>
      <c r="K581">
        <v>78</v>
      </c>
      <c r="L581">
        <v>1</v>
      </c>
      <c r="M581" t="str">
        <f t="shared" si="9"/>
        <v>After 2020</v>
      </c>
    </row>
    <row r="582" spans="1:13" hidden="1">
      <c r="A582" t="s">
        <v>933</v>
      </c>
      <c r="B582" t="s">
        <v>934</v>
      </c>
      <c r="C582" s="1">
        <v>45065</v>
      </c>
      <c r="D582" s="2">
        <v>276505971</v>
      </c>
      <c r="E582" s="2">
        <v>18698</v>
      </c>
      <c r="F582">
        <v>73</v>
      </c>
      <c r="G582" s="2">
        <v>356244269</v>
      </c>
      <c r="H582" s="2">
        <v>3597189</v>
      </c>
      <c r="I582" s="2">
        <v>193157167</v>
      </c>
      <c r="J582">
        <v>20</v>
      </c>
      <c r="L582">
        <v>0</v>
      </c>
      <c r="M582" t="str">
        <f t="shared" si="9"/>
        <v>After 2020</v>
      </c>
    </row>
    <row r="583" spans="1:13" hidden="1">
      <c r="A583" t="s">
        <v>935</v>
      </c>
      <c r="B583" t="s">
        <v>936</v>
      </c>
      <c r="C583" s="1">
        <v>44211</v>
      </c>
      <c r="D583" s="2">
        <v>979440925</v>
      </c>
      <c r="E583" s="2">
        <v>257132</v>
      </c>
      <c r="F583">
        <v>72</v>
      </c>
      <c r="G583" s="2">
        <v>43045405</v>
      </c>
      <c r="H583" s="2">
        <v>285558</v>
      </c>
      <c r="I583" s="2">
        <v>269812694</v>
      </c>
      <c r="J583">
        <v>286</v>
      </c>
      <c r="L583">
        <v>0</v>
      </c>
      <c r="M583" t="str">
        <f t="shared" si="9"/>
        <v>After 2020</v>
      </c>
    </row>
    <row r="584" spans="1:13">
      <c r="A584" t="s">
        <v>937</v>
      </c>
      <c r="B584" t="s">
        <v>938</v>
      </c>
      <c r="C584" s="1">
        <v>45058</v>
      </c>
      <c r="D584" s="2">
        <v>337650898</v>
      </c>
      <c r="E584" s="2">
        <v>44292</v>
      </c>
      <c r="F584">
        <v>75</v>
      </c>
      <c r="G584" s="2">
        <v>226249916</v>
      </c>
      <c r="H584" s="2">
        <v>862952</v>
      </c>
      <c r="I584" s="2">
        <v>505139679</v>
      </c>
      <c r="J584">
        <v>59</v>
      </c>
      <c r="K584">
        <v>67</v>
      </c>
      <c r="L584">
        <v>0</v>
      </c>
      <c r="M584" t="str">
        <f t="shared" si="9"/>
        <v>After 2020</v>
      </c>
    </row>
    <row r="585" spans="1:13">
      <c r="A585" t="s">
        <v>939</v>
      </c>
      <c r="B585" t="s">
        <v>892</v>
      </c>
      <c r="C585" s="1">
        <v>42355</v>
      </c>
      <c r="D585" s="2">
        <v>1779046979</v>
      </c>
      <c r="E585" s="2">
        <v>161840</v>
      </c>
      <c r="F585">
        <v>70</v>
      </c>
      <c r="G585" s="2">
        <v>2306432379</v>
      </c>
      <c r="H585" s="2">
        <v>13236478</v>
      </c>
      <c r="I585" s="2">
        <v>925857941</v>
      </c>
      <c r="J585">
        <v>196</v>
      </c>
      <c r="K585">
        <v>236</v>
      </c>
      <c r="L585">
        <v>0</v>
      </c>
      <c r="M585" t="str">
        <f t="shared" si="9"/>
        <v>2010-2020</v>
      </c>
    </row>
    <row r="586" spans="1:13">
      <c r="A586" t="s">
        <v>940</v>
      </c>
      <c r="B586" t="s">
        <v>285</v>
      </c>
      <c r="C586" s="1">
        <v>43833</v>
      </c>
      <c r="D586" s="2">
        <v>792379282</v>
      </c>
      <c r="E586" s="2">
        <v>96177</v>
      </c>
      <c r="F586">
        <v>62</v>
      </c>
      <c r="G586" s="2">
        <v>887226751</v>
      </c>
      <c r="H586" s="2">
        <v>13188871</v>
      </c>
      <c r="I586" s="2">
        <v>2580705782</v>
      </c>
      <c r="J586">
        <v>171</v>
      </c>
      <c r="K586">
        <v>169</v>
      </c>
      <c r="L586">
        <v>0</v>
      </c>
      <c r="M586" t="str">
        <f t="shared" si="9"/>
        <v>2010-2020</v>
      </c>
    </row>
    <row r="587" spans="1:13">
      <c r="A587" t="s">
        <v>941</v>
      </c>
      <c r="B587" t="s">
        <v>942</v>
      </c>
      <c r="C587" s="1">
        <v>45093</v>
      </c>
      <c r="D587" s="2">
        <v>119798692</v>
      </c>
      <c r="E587" s="2">
        <v>16874</v>
      </c>
      <c r="F587">
        <v>65</v>
      </c>
      <c r="G587" s="2">
        <v>57621851</v>
      </c>
      <c r="H587" s="2">
        <v>673949</v>
      </c>
      <c r="I587" s="2">
        <v>138101105</v>
      </c>
      <c r="J587">
        <v>55</v>
      </c>
      <c r="K587">
        <v>382</v>
      </c>
      <c r="L587">
        <v>1</v>
      </c>
      <c r="M587" t="str">
        <f t="shared" si="9"/>
        <v>After 2020</v>
      </c>
    </row>
    <row r="588" spans="1:13">
      <c r="A588" t="s">
        <v>943</v>
      </c>
      <c r="B588" t="s">
        <v>288</v>
      </c>
      <c r="C588" s="1">
        <v>44022</v>
      </c>
      <c r="D588" s="2">
        <v>901486450</v>
      </c>
      <c r="E588" s="2">
        <v>157381</v>
      </c>
      <c r="F588">
        <v>71</v>
      </c>
      <c r="G588" s="2">
        <v>419337114</v>
      </c>
      <c r="H588" s="2">
        <v>4349040</v>
      </c>
      <c r="I588" s="2">
        <v>482804184</v>
      </c>
      <c r="J588">
        <v>30</v>
      </c>
      <c r="K588">
        <v>23</v>
      </c>
      <c r="L588">
        <v>1</v>
      </c>
      <c r="M588" t="str">
        <f t="shared" si="9"/>
        <v>2010-2020</v>
      </c>
    </row>
    <row r="589" spans="1:13" hidden="1">
      <c r="A589" t="s">
        <v>944</v>
      </c>
      <c r="B589" t="s">
        <v>945</v>
      </c>
      <c r="C589" s="1">
        <v>45225</v>
      </c>
      <c r="E589">
        <v>3</v>
      </c>
      <c r="G589" s="2">
        <v>355029539</v>
      </c>
      <c r="H589" s="2">
        <v>2185177</v>
      </c>
      <c r="L589">
        <v>0</v>
      </c>
      <c r="M589" t="str">
        <f t="shared" si="9"/>
        <v>After 2020</v>
      </c>
    </row>
    <row r="590" spans="1:13">
      <c r="A590" t="s">
        <v>946</v>
      </c>
      <c r="B590" t="s">
        <v>133</v>
      </c>
      <c r="C590" s="1">
        <v>42986</v>
      </c>
      <c r="D590" s="2">
        <v>2061017397</v>
      </c>
      <c r="E590" s="2">
        <v>157801</v>
      </c>
      <c r="F590">
        <v>78</v>
      </c>
      <c r="G590" s="2">
        <v>1988375859</v>
      </c>
      <c r="H590" s="2">
        <v>11184649</v>
      </c>
      <c r="I590" s="2">
        <v>118957400</v>
      </c>
      <c r="J590">
        <v>174</v>
      </c>
      <c r="K590">
        <v>30</v>
      </c>
      <c r="L590">
        <v>0</v>
      </c>
      <c r="M590" t="str">
        <f t="shared" si="9"/>
        <v>2010-2020</v>
      </c>
    </row>
    <row r="591" spans="1:13" hidden="1">
      <c r="A591" t="s">
        <v>947</v>
      </c>
      <c r="B591" t="s">
        <v>948</v>
      </c>
      <c r="C591" s="1">
        <v>45170</v>
      </c>
      <c r="D591" s="2">
        <v>178413226</v>
      </c>
      <c r="E591" s="2">
        <v>22972</v>
      </c>
      <c r="F591">
        <v>78</v>
      </c>
      <c r="G591" s="2">
        <v>270988549</v>
      </c>
      <c r="H591" s="2">
        <v>1664863</v>
      </c>
      <c r="I591" s="2">
        <v>729015072</v>
      </c>
      <c r="J591">
        <v>20</v>
      </c>
      <c r="L591">
        <v>0</v>
      </c>
      <c r="M591" t="str">
        <f t="shared" si="9"/>
        <v>After 2020</v>
      </c>
    </row>
    <row r="592" spans="1:13">
      <c r="A592" t="s">
        <v>949</v>
      </c>
      <c r="B592" t="s">
        <v>950</v>
      </c>
      <c r="C592" s="1">
        <v>44797</v>
      </c>
      <c r="D592" s="2">
        <v>85207310</v>
      </c>
      <c r="E592" s="2">
        <v>31737</v>
      </c>
      <c r="F592">
        <v>62</v>
      </c>
      <c r="G592" s="2">
        <v>59927668</v>
      </c>
      <c r="H592" s="2">
        <v>420475</v>
      </c>
      <c r="I592" s="2">
        <v>1493815667</v>
      </c>
      <c r="J592">
        <v>18</v>
      </c>
      <c r="K592">
        <v>8</v>
      </c>
      <c r="L592">
        <v>1</v>
      </c>
      <c r="M592" t="str">
        <f t="shared" si="9"/>
        <v>After 2020</v>
      </c>
    </row>
    <row r="593" spans="1:13" hidden="1">
      <c r="A593" t="s">
        <v>951</v>
      </c>
      <c r="B593" t="s">
        <v>952</v>
      </c>
      <c r="C593" s="1">
        <v>45020</v>
      </c>
      <c r="D593" s="2">
        <v>361219290</v>
      </c>
      <c r="E593" s="2">
        <v>34991</v>
      </c>
      <c r="F593">
        <v>72</v>
      </c>
      <c r="G593" s="2">
        <v>319150330</v>
      </c>
      <c r="H593" s="2">
        <v>1101883</v>
      </c>
      <c r="I593" s="2">
        <v>947077415</v>
      </c>
      <c r="J593">
        <v>13</v>
      </c>
      <c r="L593">
        <v>0</v>
      </c>
      <c r="M593" t="str">
        <f t="shared" si="9"/>
        <v>After 2020</v>
      </c>
    </row>
    <row r="594" spans="1:13">
      <c r="A594" t="s">
        <v>953</v>
      </c>
      <c r="B594" t="s">
        <v>311</v>
      </c>
      <c r="C594" s="1">
        <v>42636</v>
      </c>
      <c r="D594" s="2">
        <v>2043626431</v>
      </c>
      <c r="E594" s="2">
        <v>185796</v>
      </c>
      <c r="F594">
        <v>80</v>
      </c>
      <c r="G594" s="2">
        <v>1683710842</v>
      </c>
      <c r="H594" s="2">
        <v>12626585</v>
      </c>
      <c r="I594" s="2">
        <v>544400947</v>
      </c>
      <c r="J594">
        <v>190</v>
      </c>
      <c r="K594">
        <v>546</v>
      </c>
      <c r="L594">
        <v>0</v>
      </c>
      <c r="M594" t="str">
        <f t="shared" si="9"/>
        <v>2010-2020</v>
      </c>
    </row>
    <row r="595" spans="1:13" hidden="1">
      <c r="A595" t="s">
        <v>954</v>
      </c>
      <c r="B595" t="s">
        <v>955</v>
      </c>
      <c r="C595" s="1">
        <v>45328</v>
      </c>
      <c r="D595" s="2">
        <v>34996527</v>
      </c>
      <c r="E595">
        <v>983</v>
      </c>
      <c r="F595">
        <v>69</v>
      </c>
      <c r="G595" s="2">
        <v>170115238</v>
      </c>
      <c r="H595" s="2">
        <v>1923890</v>
      </c>
      <c r="I595" s="2">
        <v>87900</v>
      </c>
      <c r="J595">
        <v>1</v>
      </c>
      <c r="L595">
        <v>0</v>
      </c>
      <c r="M595" t="str">
        <f t="shared" si="9"/>
        <v>After 2020</v>
      </c>
    </row>
    <row r="596" spans="1:13">
      <c r="A596" t="s">
        <v>956</v>
      </c>
      <c r="B596" t="s">
        <v>957</v>
      </c>
      <c r="C596" s="1">
        <v>43818</v>
      </c>
      <c r="D596" s="2">
        <v>1128612961</v>
      </c>
      <c r="E596" s="2">
        <v>184002</v>
      </c>
      <c r="F596">
        <v>69</v>
      </c>
      <c r="G596" s="2">
        <v>473684535</v>
      </c>
      <c r="H596" s="2">
        <v>3364098</v>
      </c>
      <c r="I596" s="2">
        <v>602190373</v>
      </c>
      <c r="J596">
        <v>267</v>
      </c>
      <c r="K596">
        <v>112</v>
      </c>
      <c r="L596">
        <v>0</v>
      </c>
      <c r="M596" t="str">
        <f t="shared" si="9"/>
        <v>2010-2020</v>
      </c>
    </row>
    <row r="597" spans="1:13" hidden="1">
      <c r="A597" t="s">
        <v>958</v>
      </c>
      <c r="B597" t="s">
        <v>959</v>
      </c>
      <c r="C597" s="1">
        <v>44862</v>
      </c>
      <c r="G597" s="2">
        <v>928039252</v>
      </c>
      <c r="H597" s="2">
        <v>1154421</v>
      </c>
      <c r="L597">
        <v>1</v>
      </c>
      <c r="M597" t="str">
        <f t="shared" si="9"/>
        <v>After 2020</v>
      </c>
    </row>
    <row r="598" spans="1:13">
      <c r="A598" t="s">
        <v>960</v>
      </c>
      <c r="B598" t="s">
        <v>961</v>
      </c>
      <c r="C598" s="1">
        <v>45338</v>
      </c>
      <c r="D598" s="2">
        <v>233969547</v>
      </c>
      <c r="E598" s="2">
        <v>19001</v>
      </c>
      <c r="F598">
        <v>87</v>
      </c>
      <c r="G598" s="2">
        <v>15918146</v>
      </c>
      <c r="H598" s="2">
        <v>259139</v>
      </c>
      <c r="I598" s="2">
        <v>7383118</v>
      </c>
      <c r="J598">
        <v>84</v>
      </c>
      <c r="K598">
        <v>292</v>
      </c>
      <c r="L598">
        <v>0</v>
      </c>
      <c r="M598" t="str">
        <f t="shared" si="9"/>
        <v>After 2020</v>
      </c>
    </row>
    <row r="599" spans="1:13">
      <c r="A599" t="s">
        <v>962</v>
      </c>
      <c r="B599" t="s">
        <v>61</v>
      </c>
      <c r="C599" s="1">
        <v>41640</v>
      </c>
      <c r="D599" s="2">
        <v>1409692678</v>
      </c>
      <c r="E599" s="2">
        <v>162649</v>
      </c>
      <c r="F599">
        <v>74</v>
      </c>
      <c r="G599" s="2">
        <v>3622416832</v>
      </c>
      <c r="H599" s="2">
        <v>14917829</v>
      </c>
      <c r="I599" s="2">
        <v>2080409767</v>
      </c>
      <c r="J599">
        <v>301</v>
      </c>
      <c r="K599">
        <v>520</v>
      </c>
      <c r="L599">
        <v>0</v>
      </c>
      <c r="M599" t="str">
        <f t="shared" si="9"/>
        <v>2010-2020</v>
      </c>
    </row>
    <row r="600" spans="1:13" hidden="1">
      <c r="A600" t="s">
        <v>963</v>
      </c>
      <c r="B600" t="s">
        <v>964</v>
      </c>
      <c r="C600" s="1">
        <v>45163</v>
      </c>
      <c r="D600" s="2">
        <v>224798632</v>
      </c>
      <c r="E600" s="2">
        <v>37906</v>
      </c>
      <c r="G600" s="2">
        <v>96276929</v>
      </c>
      <c r="H600" s="2">
        <v>1777074</v>
      </c>
      <c r="I600" s="2">
        <v>2266242364</v>
      </c>
      <c r="J600">
        <v>3</v>
      </c>
      <c r="L600">
        <v>1</v>
      </c>
      <c r="M600" t="str">
        <f t="shared" si="9"/>
        <v>After 2020</v>
      </c>
    </row>
    <row r="601" spans="1:13">
      <c r="A601" t="s">
        <v>965</v>
      </c>
      <c r="B601" t="s">
        <v>966</v>
      </c>
      <c r="C601" s="1">
        <v>43994</v>
      </c>
      <c r="D601" s="2">
        <v>1099019265</v>
      </c>
      <c r="E601" s="2">
        <v>107383</v>
      </c>
      <c r="F601">
        <v>78</v>
      </c>
      <c r="G601" s="2">
        <v>1230683305</v>
      </c>
      <c r="H601" s="2">
        <v>4830196</v>
      </c>
      <c r="I601" s="2">
        <v>973281040</v>
      </c>
      <c r="J601">
        <v>104</v>
      </c>
      <c r="K601">
        <v>38</v>
      </c>
      <c r="L601">
        <v>0</v>
      </c>
      <c r="M601" t="str">
        <f t="shared" si="9"/>
        <v>2010-2020</v>
      </c>
    </row>
    <row r="602" spans="1:13">
      <c r="A602" t="s">
        <v>967</v>
      </c>
      <c r="B602" t="s">
        <v>170</v>
      </c>
      <c r="C602" s="1">
        <v>44279</v>
      </c>
      <c r="D602" s="2">
        <v>574357002</v>
      </c>
      <c r="E602" s="2">
        <v>69491</v>
      </c>
      <c r="F602">
        <v>69</v>
      </c>
      <c r="G602" s="2">
        <v>1180418876</v>
      </c>
      <c r="H602" s="2">
        <v>5566219</v>
      </c>
      <c r="I602" s="2">
        <v>627030538</v>
      </c>
      <c r="J602">
        <v>91</v>
      </c>
      <c r="K602">
        <v>32</v>
      </c>
      <c r="L602">
        <v>0</v>
      </c>
      <c r="M602" t="str">
        <f t="shared" si="9"/>
        <v>After 2020</v>
      </c>
    </row>
    <row r="603" spans="1:13">
      <c r="A603" t="s">
        <v>968</v>
      </c>
      <c r="B603" t="s">
        <v>32</v>
      </c>
      <c r="C603" s="1">
        <v>44680</v>
      </c>
      <c r="D603" s="2">
        <v>725214939</v>
      </c>
      <c r="E603" s="2">
        <v>107667</v>
      </c>
      <c r="F603">
        <v>74</v>
      </c>
      <c r="G603" s="2">
        <v>204956968</v>
      </c>
      <c r="H603" s="2">
        <v>2396003</v>
      </c>
      <c r="I603" s="2">
        <v>2046007902</v>
      </c>
      <c r="J603">
        <v>48</v>
      </c>
      <c r="K603">
        <v>47</v>
      </c>
      <c r="L603">
        <v>0</v>
      </c>
      <c r="M603" t="str">
        <f t="shared" si="9"/>
        <v>After 2020</v>
      </c>
    </row>
    <row r="604" spans="1:13">
      <c r="A604" t="s">
        <v>969</v>
      </c>
      <c r="B604" t="s">
        <v>148</v>
      </c>
      <c r="C604" s="1">
        <v>44862</v>
      </c>
      <c r="D604" s="2">
        <v>469322271</v>
      </c>
      <c r="E604" s="2">
        <v>68997</v>
      </c>
      <c r="F604">
        <v>73</v>
      </c>
      <c r="G604" s="2">
        <v>77831118</v>
      </c>
      <c r="H604" s="2">
        <v>981474</v>
      </c>
      <c r="I604" s="2">
        <v>419727783</v>
      </c>
      <c r="J604">
        <v>64</v>
      </c>
      <c r="K604" s="2">
        <v>1150</v>
      </c>
      <c r="L604">
        <v>1</v>
      </c>
      <c r="M604" t="str">
        <f t="shared" si="9"/>
        <v>After 2020</v>
      </c>
    </row>
    <row r="605" spans="1:13" hidden="1">
      <c r="A605" t="s">
        <v>970</v>
      </c>
      <c r="B605" t="s">
        <v>971</v>
      </c>
      <c r="C605" s="1">
        <v>45400</v>
      </c>
      <c r="D605" s="2">
        <v>34304595</v>
      </c>
      <c r="E605" s="2">
        <v>1805</v>
      </c>
      <c r="F605">
        <v>71</v>
      </c>
      <c r="G605" s="2">
        <v>65487083</v>
      </c>
      <c r="H605" s="2">
        <v>469277</v>
      </c>
      <c r="J605">
        <v>6</v>
      </c>
      <c r="L605">
        <v>0</v>
      </c>
      <c r="M605" t="str">
        <f t="shared" si="9"/>
        <v>After 2020</v>
      </c>
    </row>
    <row r="606" spans="1:13" hidden="1">
      <c r="A606" t="s">
        <v>972</v>
      </c>
      <c r="B606" t="s">
        <v>53</v>
      </c>
      <c r="C606" s="1">
        <v>45373</v>
      </c>
      <c r="D606" s="2">
        <v>68542565</v>
      </c>
      <c r="E606" s="2">
        <v>13345</v>
      </c>
      <c r="G606" s="2">
        <v>17365209</v>
      </c>
      <c r="H606" s="2">
        <v>248471</v>
      </c>
      <c r="J606">
        <v>12</v>
      </c>
      <c r="L606">
        <v>1</v>
      </c>
      <c r="M606" t="str">
        <f t="shared" si="9"/>
        <v>After 2020</v>
      </c>
    </row>
    <row r="607" spans="1:13">
      <c r="A607" t="s">
        <v>973</v>
      </c>
      <c r="B607" t="s">
        <v>974</v>
      </c>
      <c r="C607" s="1">
        <v>45050</v>
      </c>
      <c r="D607" s="2">
        <v>333339751</v>
      </c>
      <c r="E607" s="2">
        <v>41237</v>
      </c>
      <c r="F607">
        <v>69</v>
      </c>
      <c r="G607" s="2">
        <v>164941550</v>
      </c>
      <c r="H607" s="2">
        <v>1130932</v>
      </c>
      <c r="I607" s="2">
        <v>1585272275</v>
      </c>
      <c r="J607">
        <v>44</v>
      </c>
      <c r="K607">
        <v>135</v>
      </c>
      <c r="L607">
        <v>0</v>
      </c>
      <c r="M607" t="str">
        <f t="shared" si="9"/>
        <v>After 2020</v>
      </c>
    </row>
    <row r="608" spans="1:13" hidden="1">
      <c r="A608" t="s">
        <v>975</v>
      </c>
      <c r="B608" t="s">
        <v>976</v>
      </c>
      <c r="C608" s="1">
        <v>45197</v>
      </c>
      <c r="D608" s="2">
        <v>6921900</v>
      </c>
      <c r="E608" s="2">
        <v>1554</v>
      </c>
      <c r="G608" s="2">
        <v>119888947</v>
      </c>
      <c r="H608" s="2">
        <v>390939</v>
      </c>
      <c r="I608" s="2">
        <v>497979360</v>
      </c>
      <c r="J608">
        <v>1</v>
      </c>
      <c r="L608">
        <v>0</v>
      </c>
      <c r="M608" t="str">
        <f t="shared" si="9"/>
        <v>After 2020</v>
      </c>
    </row>
    <row r="609" spans="1:13">
      <c r="A609" t="s">
        <v>977</v>
      </c>
      <c r="B609" t="s">
        <v>127</v>
      </c>
      <c r="C609" s="1">
        <v>43188</v>
      </c>
      <c r="D609" s="2">
        <v>1780889877</v>
      </c>
      <c r="E609" s="2">
        <v>229909</v>
      </c>
      <c r="F609">
        <v>79</v>
      </c>
      <c r="G609" s="2">
        <v>1366385062</v>
      </c>
      <c r="H609" s="2">
        <v>10766000</v>
      </c>
      <c r="I609" s="2">
        <v>742902070</v>
      </c>
      <c r="J609">
        <v>121</v>
      </c>
      <c r="K609">
        <v>4</v>
      </c>
      <c r="L609">
        <v>0</v>
      </c>
      <c r="M609" t="str">
        <f t="shared" si="9"/>
        <v>2010-2020</v>
      </c>
    </row>
    <row r="610" spans="1:13">
      <c r="A610" t="s">
        <v>97</v>
      </c>
      <c r="B610" t="s">
        <v>978</v>
      </c>
      <c r="C610" s="1">
        <v>43735</v>
      </c>
      <c r="D610" s="2">
        <v>932911098</v>
      </c>
      <c r="E610" s="2">
        <v>180309</v>
      </c>
      <c r="F610">
        <v>66</v>
      </c>
      <c r="G610" s="2">
        <v>412062322</v>
      </c>
      <c r="H610" s="2">
        <v>4053612</v>
      </c>
      <c r="I610" s="2">
        <v>5676756004</v>
      </c>
      <c r="J610">
        <v>265</v>
      </c>
      <c r="K610">
        <v>274</v>
      </c>
      <c r="L610">
        <v>0</v>
      </c>
      <c r="M610" t="str">
        <f t="shared" si="9"/>
        <v>2010-2020</v>
      </c>
    </row>
    <row r="611" spans="1:13" hidden="1">
      <c r="A611" t="s">
        <v>979</v>
      </c>
      <c r="B611" t="s">
        <v>51</v>
      </c>
      <c r="C611" s="1">
        <v>45429</v>
      </c>
      <c r="D611" s="2">
        <v>74533081</v>
      </c>
      <c r="E611" s="2">
        <v>4192</v>
      </c>
      <c r="F611">
        <v>84</v>
      </c>
      <c r="G611" s="2">
        <v>4455957</v>
      </c>
      <c r="H611" s="2">
        <v>101176</v>
      </c>
      <c r="J611">
        <v>60</v>
      </c>
      <c r="K611">
        <v>1</v>
      </c>
      <c r="L611">
        <v>0</v>
      </c>
      <c r="M611" t="str">
        <f t="shared" si="9"/>
        <v>After 2020</v>
      </c>
    </row>
    <row r="612" spans="1:13" hidden="1">
      <c r="A612" t="s">
        <v>980</v>
      </c>
      <c r="B612" t="s">
        <v>981</v>
      </c>
      <c r="C612" s="1">
        <v>43270</v>
      </c>
      <c r="D612" s="2">
        <v>341040837</v>
      </c>
      <c r="E612" s="2">
        <v>36912</v>
      </c>
      <c r="F612">
        <v>60</v>
      </c>
      <c r="G612" s="2">
        <v>2922815312</v>
      </c>
      <c r="H612" s="2">
        <v>10451653</v>
      </c>
      <c r="I612" s="2">
        <v>24802266</v>
      </c>
      <c r="J612">
        <v>23</v>
      </c>
      <c r="L612">
        <v>0</v>
      </c>
      <c r="M612" t="str">
        <f t="shared" si="9"/>
        <v>2010-2020</v>
      </c>
    </row>
    <row r="613" spans="1:13" hidden="1">
      <c r="A613" t="s">
        <v>982</v>
      </c>
      <c r="B613" t="s">
        <v>983</v>
      </c>
      <c r="C613" s="1">
        <v>43686</v>
      </c>
      <c r="D613" s="2">
        <v>484542375</v>
      </c>
      <c r="E613" s="2">
        <v>97431</v>
      </c>
      <c r="F613">
        <v>64</v>
      </c>
      <c r="G613" s="2">
        <v>164470388</v>
      </c>
      <c r="H613" s="2">
        <v>1490017</v>
      </c>
      <c r="I613" s="2">
        <v>999433711</v>
      </c>
      <c r="J613">
        <v>13</v>
      </c>
      <c r="L613">
        <v>1</v>
      </c>
      <c r="M613" t="str">
        <f t="shared" si="9"/>
        <v>2010-2020</v>
      </c>
    </row>
    <row r="614" spans="1:13" hidden="1">
      <c r="A614" t="s">
        <v>984</v>
      </c>
      <c r="B614" t="s">
        <v>985</v>
      </c>
      <c r="C614" s="1">
        <v>44497</v>
      </c>
      <c r="D614" s="2">
        <v>43286859</v>
      </c>
      <c r="E614" s="2">
        <v>3192</v>
      </c>
      <c r="F614">
        <v>49</v>
      </c>
      <c r="G614" s="2">
        <v>1427016787</v>
      </c>
      <c r="H614" s="2">
        <v>19325402</v>
      </c>
      <c r="J614">
        <v>4</v>
      </c>
      <c r="L614">
        <v>0</v>
      </c>
      <c r="M614" t="str">
        <f t="shared" si="9"/>
        <v>After 2020</v>
      </c>
    </row>
    <row r="615" spans="1:13" hidden="1">
      <c r="A615" t="s">
        <v>986</v>
      </c>
      <c r="B615" t="s">
        <v>116</v>
      </c>
      <c r="C615" s="1">
        <v>43056</v>
      </c>
      <c r="D615" s="2">
        <v>935042457</v>
      </c>
      <c r="E615" s="2">
        <v>92728</v>
      </c>
      <c r="F615">
        <v>68</v>
      </c>
      <c r="G615" s="2">
        <v>2463300079</v>
      </c>
      <c r="H615" s="2">
        <v>11133796</v>
      </c>
      <c r="I615" s="2">
        <v>139512356</v>
      </c>
      <c r="J615">
        <v>92</v>
      </c>
      <c r="L615">
        <v>0</v>
      </c>
      <c r="M615" t="str">
        <f t="shared" si="9"/>
        <v>2010-2020</v>
      </c>
    </row>
    <row r="616" spans="1:13">
      <c r="A616" t="s">
        <v>987</v>
      </c>
      <c r="B616" t="s">
        <v>53</v>
      </c>
      <c r="C616" s="1">
        <v>42736</v>
      </c>
      <c r="D616" s="2">
        <v>1596770801</v>
      </c>
      <c r="E616" s="2">
        <v>281838</v>
      </c>
      <c r="F616">
        <v>77</v>
      </c>
      <c r="G616" s="2">
        <v>1296329209</v>
      </c>
      <c r="H616" s="2">
        <v>14241982</v>
      </c>
      <c r="I616" s="2">
        <v>2521784913</v>
      </c>
      <c r="J616">
        <v>220</v>
      </c>
      <c r="K616">
        <v>40</v>
      </c>
      <c r="L616">
        <v>1</v>
      </c>
      <c r="M616" t="str">
        <f t="shared" si="9"/>
        <v>2010-2020</v>
      </c>
    </row>
    <row r="617" spans="1:13" hidden="1">
      <c r="A617" t="s">
        <v>988</v>
      </c>
      <c r="B617" t="s">
        <v>989</v>
      </c>
      <c r="C617" s="1">
        <v>45439</v>
      </c>
      <c r="D617" s="2">
        <v>7269751</v>
      </c>
      <c r="E617">
        <v>133</v>
      </c>
      <c r="F617">
        <v>70</v>
      </c>
      <c r="G617" s="2">
        <v>27108087</v>
      </c>
      <c r="H617" s="2">
        <v>190541</v>
      </c>
      <c r="J617">
        <v>13</v>
      </c>
      <c r="L617">
        <v>0</v>
      </c>
      <c r="M617" t="str">
        <f t="shared" si="9"/>
        <v>After 2020</v>
      </c>
    </row>
    <row r="618" spans="1:13">
      <c r="A618" t="s">
        <v>990</v>
      </c>
      <c r="B618" t="s">
        <v>256</v>
      </c>
      <c r="C618" s="1">
        <v>43602</v>
      </c>
      <c r="D618" s="2">
        <v>1920784716</v>
      </c>
      <c r="E618" s="2">
        <v>211573</v>
      </c>
      <c r="F618">
        <v>77</v>
      </c>
      <c r="G618" s="2">
        <v>814045992</v>
      </c>
      <c r="H618" s="2">
        <v>8072383</v>
      </c>
      <c r="I618" s="2">
        <v>1042158771</v>
      </c>
      <c r="J618">
        <v>203</v>
      </c>
      <c r="K618">
        <v>68</v>
      </c>
      <c r="L618">
        <v>0</v>
      </c>
      <c r="M618" t="str">
        <f t="shared" si="9"/>
        <v>2010-2020</v>
      </c>
    </row>
    <row r="619" spans="1:13">
      <c r="A619" t="s">
        <v>991</v>
      </c>
      <c r="B619" t="s">
        <v>992</v>
      </c>
      <c r="C619" s="1">
        <v>44455</v>
      </c>
      <c r="D619" s="2">
        <v>428189728</v>
      </c>
      <c r="E619" s="2">
        <v>95507</v>
      </c>
      <c r="F619">
        <v>67</v>
      </c>
      <c r="G619" s="2">
        <v>84966187</v>
      </c>
      <c r="H619" s="2">
        <v>868089</v>
      </c>
      <c r="I619" s="2">
        <v>11653604916</v>
      </c>
      <c r="J619">
        <v>100</v>
      </c>
      <c r="K619">
        <v>122</v>
      </c>
      <c r="L619">
        <v>1</v>
      </c>
      <c r="M619" t="str">
        <f t="shared" si="9"/>
        <v>After 2020</v>
      </c>
    </row>
    <row r="620" spans="1:13" hidden="1">
      <c r="A620" t="s">
        <v>993</v>
      </c>
      <c r="B620" t="s">
        <v>53</v>
      </c>
      <c r="C620" s="1">
        <v>45373</v>
      </c>
      <c r="D620" s="2">
        <v>69705399</v>
      </c>
      <c r="E620" s="2">
        <v>13782</v>
      </c>
      <c r="G620" s="2">
        <v>11537917</v>
      </c>
      <c r="H620" s="2">
        <v>283398</v>
      </c>
      <c r="J620">
        <v>7</v>
      </c>
      <c r="L620">
        <v>1</v>
      </c>
      <c r="M620" t="str">
        <f t="shared" si="9"/>
        <v>After 2020</v>
      </c>
    </row>
    <row r="621" spans="1:13" hidden="1">
      <c r="A621" t="s">
        <v>994</v>
      </c>
      <c r="B621" t="s">
        <v>995</v>
      </c>
      <c r="C621" s="1">
        <v>45247</v>
      </c>
      <c r="D621" s="2">
        <v>124486631</v>
      </c>
      <c r="E621">
        <v>18</v>
      </c>
      <c r="L621">
        <v>0</v>
      </c>
      <c r="M621" t="str">
        <f t="shared" si="9"/>
        <v>After 2020</v>
      </c>
    </row>
    <row r="622" spans="1:13" hidden="1">
      <c r="A622" t="s">
        <v>996</v>
      </c>
      <c r="B622" t="s">
        <v>997</v>
      </c>
      <c r="C622" s="1">
        <v>45061</v>
      </c>
      <c r="D622" s="2">
        <v>289304213</v>
      </c>
      <c r="E622" s="2">
        <v>25925</v>
      </c>
      <c r="F622">
        <v>72</v>
      </c>
      <c r="G622" s="2">
        <v>336281559</v>
      </c>
      <c r="H622" s="2">
        <v>3407011</v>
      </c>
      <c r="I622" s="2">
        <v>1992738757</v>
      </c>
      <c r="J622">
        <v>33</v>
      </c>
      <c r="L622">
        <v>0</v>
      </c>
      <c r="M622" t="str">
        <f t="shared" si="9"/>
        <v>After 2020</v>
      </c>
    </row>
    <row r="623" spans="1:13" hidden="1">
      <c r="A623" t="s">
        <v>998</v>
      </c>
      <c r="B623" t="s">
        <v>999</v>
      </c>
      <c r="C623" s="1">
        <v>45363</v>
      </c>
      <c r="D623" s="2">
        <v>10371919</v>
      </c>
      <c r="E623">
        <v>142</v>
      </c>
      <c r="G623" s="2">
        <v>130361314</v>
      </c>
      <c r="H623" s="2">
        <v>1078319</v>
      </c>
      <c r="L623">
        <v>0</v>
      </c>
      <c r="M623" t="str">
        <f t="shared" si="9"/>
        <v>After 2020</v>
      </c>
    </row>
    <row r="624" spans="1:13">
      <c r="A624" t="s">
        <v>1000</v>
      </c>
      <c r="B624" t="s">
        <v>781</v>
      </c>
      <c r="C624" s="1">
        <v>44295</v>
      </c>
      <c r="D624" s="2">
        <v>923823292</v>
      </c>
      <c r="E624" s="2">
        <v>218155</v>
      </c>
      <c r="F624">
        <v>72</v>
      </c>
      <c r="G624" s="2">
        <v>300905049</v>
      </c>
      <c r="H624" s="2">
        <v>3235053</v>
      </c>
      <c r="I624" s="2">
        <v>619442138</v>
      </c>
      <c r="J624">
        <v>143</v>
      </c>
      <c r="K624">
        <v>554</v>
      </c>
      <c r="L624">
        <v>1</v>
      </c>
      <c r="M624" t="str">
        <f t="shared" si="9"/>
        <v>After 2020</v>
      </c>
    </row>
    <row r="625" spans="1:13">
      <c r="A625" t="s">
        <v>1001</v>
      </c>
      <c r="B625" t="s">
        <v>1002</v>
      </c>
      <c r="C625" s="1">
        <v>45002</v>
      </c>
      <c r="D625" s="2">
        <v>513353284</v>
      </c>
      <c r="E625" s="2">
        <v>73253</v>
      </c>
      <c r="F625">
        <v>80</v>
      </c>
      <c r="G625" s="2">
        <v>91324061</v>
      </c>
      <c r="H625" s="2">
        <v>1419414</v>
      </c>
      <c r="I625" s="2">
        <v>152008937</v>
      </c>
      <c r="J625">
        <v>70</v>
      </c>
      <c r="K625">
        <v>20</v>
      </c>
      <c r="L625">
        <v>0</v>
      </c>
      <c r="M625" t="str">
        <f t="shared" si="9"/>
        <v>After 2020</v>
      </c>
    </row>
    <row r="626" spans="1:13" hidden="1">
      <c r="A626" t="s">
        <v>1003</v>
      </c>
      <c r="B626" t="s">
        <v>1004</v>
      </c>
      <c r="C626" s="1">
        <v>44757</v>
      </c>
      <c r="E626">
        <v>1</v>
      </c>
      <c r="G626" s="2">
        <v>1067013260</v>
      </c>
      <c r="H626" s="2">
        <v>2057980</v>
      </c>
      <c r="L626">
        <v>0</v>
      </c>
      <c r="M626" t="str">
        <f t="shared" si="9"/>
        <v>After 2020</v>
      </c>
    </row>
    <row r="627" spans="1:13" hidden="1">
      <c r="A627" t="s">
        <v>1005</v>
      </c>
      <c r="B627" t="s">
        <v>1006</v>
      </c>
      <c r="C627" s="1">
        <v>44846</v>
      </c>
      <c r="D627" s="2">
        <v>467454503</v>
      </c>
      <c r="E627" s="2">
        <v>25221</v>
      </c>
      <c r="F627">
        <v>71</v>
      </c>
      <c r="G627" s="2">
        <v>627711778</v>
      </c>
      <c r="H627" s="2">
        <v>7180269</v>
      </c>
      <c r="I627" s="2">
        <v>189880241</v>
      </c>
      <c r="J627">
        <v>18</v>
      </c>
      <c r="L627">
        <v>0</v>
      </c>
      <c r="M627" t="str">
        <f t="shared" si="9"/>
        <v>After 2020</v>
      </c>
    </row>
    <row r="628" spans="1:13">
      <c r="A628" t="s">
        <v>1007</v>
      </c>
      <c r="B628" t="s">
        <v>1008</v>
      </c>
      <c r="C628" s="1">
        <v>44203</v>
      </c>
      <c r="D628" s="2">
        <v>571532926</v>
      </c>
      <c r="E628" s="2">
        <v>95775</v>
      </c>
      <c r="F628">
        <v>66</v>
      </c>
      <c r="G628" s="2">
        <v>480128955</v>
      </c>
      <c r="H628" s="2">
        <v>4921945</v>
      </c>
      <c r="I628" s="2">
        <v>2362426981</v>
      </c>
      <c r="J628">
        <v>143</v>
      </c>
      <c r="K628">
        <v>921</v>
      </c>
      <c r="L628">
        <v>1</v>
      </c>
      <c r="M628" t="str">
        <f t="shared" si="9"/>
        <v>After 2020</v>
      </c>
    </row>
    <row r="629" spans="1:13">
      <c r="A629" t="s">
        <v>1009</v>
      </c>
      <c r="B629" t="s">
        <v>170</v>
      </c>
      <c r="C629" s="1">
        <v>44799</v>
      </c>
      <c r="D629" s="2">
        <v>427247328</v>
      </c>
      <c r="E629" s="2">
        <v>42444</v>
      </c>
      <c r="F629">
        <v>66</v>
      </c>
      <c r="G629" s="2">
        <v>547409394</v>
      </c>
      <c r="H629" s="2">
        <v>3332851</v>
      </c>
      <c r="I629" s="2">
        <v>275273861</v>
      </c>
      <c r="J629">
        <v>38</v>
      </c>
      <c r="K629">
        <v>104</v>
      </c>
      <c r="L629">
        <v>0</v>
      </c>
      <c r="M629" t="str">
        <f t="shared" si="9"/>
        <v>After 2020</v>
      </c>
    </row>
    <row r="630" spans="1:13" hidden="1">
      <c r="A630" t="s">
        <v>1010</v>
      </c>
      <c r="B630" t="s">
        <v>1011</v>
      </c>
      <c r="C630" s="1">
        <v>42789</v>
      </c>
      <c r="D630" s="2">
        <v>1116304877</v>
      </c>
      <c r="E630" s="2">
        <v>120975</v>
      </c>
      <c r="F630">
        <v>66</v>
      </c>
      <c r="G630" s="2">
        <v>2024330020</v>
      </c>
      <c r="H630" s="2">
        <v>12350722</v>
      </c>
      <c r="I630" s="2">
        <v>816827324</v>
      </c>
      <c r="J630">
        <v>5</v>
      </c>
      <c r="L630">
        <v>1</v>
      </c>
      <c r="M630" t="str">
        <f t="shared" si="9"/>
        <v>2010-2020</v>
      </c>
    </row>
    <row r="631" spans="1:13">
      <c r="A631" t="s">
        <v>1012</v>
      </c>
      <c r="B631" t="s">
        <v>1013</v>
      </c>
      <c r="C631" s="1">
        <v>42736</v>
      </c>
      <c r="D631" s="2">
        <v>1176693861</v>
      </c>
      <c r="E631" s="2">
        <v>132271</v>
      </c>
      <c r="F631">
        <v>69</v>
      </c>
      <c r="G631" s="2">
        <v>2570135916</v>
      </c>
      <c r="H631" s="2">
        <v>11563688</v>
      </c>
      <c r="I631" s="2">
        <v>254943718</v>
      </c>
      <c r="J631">
        <v>84</v>
      </c>
      <c r="K631">
        <v>50</v>
      </c>
      <c r="L631">
        <v>1</v>
      </c>
      <c r="M631" t="str">
        <f t="shared" si="9"/>
        <v>2010-2020</v>
      </c>
    </row>
    <row r="632" spans="1:13">
      <c r="A632" t="s">
        <v>1014</v>
      </c>
      <c r="B632" t="s">
        <v>236</v>
      </c>
      <c r="C632" s="1">
        <v>43315</v>
      </c>
      <c r="D632" s="2">
        <v>2134271997</v>
      </c>
      <c r="E632" s="2">
        <v>330314</v>
      </c>
      <c r="F632">
        <v>77</v>
      </c>
      <c r="G632" s="2">
        <v>271517371</v>
      </c>
      <c r="H632" s="2">
        <v>2036075</v>
      </c>
      <c r="I632" s="2">
        <v>2562546341</v>
      </c>
      <c r="J632">
        <v>286</v>
      </c>
      <c r="K632">
        <v>107</v>
      </c>
      <c r="L632">
        <v>1</v>
      </c>
      <c r="M632" t="str">
        <f t="shared" si="9"/>
        <v>2010-2020</v>
      </c>
    </row>
    <row r="633" spans="1:13" hidden="1">
      <c r="A633" t="s">
        <v>1015</v>
      </c>
      <c r="B633" t="s">
        <v>695</v>
      </c>
      <c r="C633" s="1">
        <v>45359</v>
      </c>
      <c r="D633" s="2">
        <v>89787741</v>
      </c>
      <c r="E633" s="2">
        <v>16536</v>
      </c>
      <c r="J633">
        <v>49</v>
      </c>
      <c r="L633">
        <v>1</v>
      </c>
      <c r="M633" t="str">
        <f t="shared" si="9"/>
        <v>After 2020</v>
      </c>
    </row>
    <row r="634" spans="1:13">
      <c r="A634" t="s">
        <v>1016</v>
      </c>
      <c r="B634" t="s">
        <v>772</v>
      </c>
      <c r="C634" s="1">
        <v>45100</v>
      </c>
      <c r="D634" s="2">
        <v>470659154</v>
      </c>
      <c r="E634" s="2">
        <v>53386</v>
      </c>
      <c r="F634">
        <v>71</v>
      </c>
      <c r="G634" s="2">
        <v>143805714</v>
      </c>
      <c r="H634" s="2">
        <v>2019310</v>
      </c>
      <c r="I634" s="2">
        <v>1220529181</v>
      </c>
      <c r="J634">
        <v>68</v>
      </c>
      <c r="K634" s="2">
        <v>1012</v>
      </c>
      <c r="L634">
        <v>1</v>
      </c>
      <c r="M634" t="str">
        <f t="shared" si="9"/>
        <v>After 2020</v>
      </c>
    </row>
    <row r="635" spans="1:13">
      <c r="A635" t="s">
        <v>1017</v>
      </c>
      <c r="B635" t="s">
        <v>221</v>
      </c>
      <c r="C635" s="1">
        <v>44729</v>
      </c>
      <c r="D635" s="2">
        <v>470340261</v>
      </c>
      <c r="E635" s="2">
        <v>68177</v>
      </c>
      <c r="F635">
        <v>75</v>
      </c>
      <c r="G635" s="2">
        <v>123212252</v>
      </c>
      <c r="H635" s="2">
        <v>623104</v>
      </c>
      <c r="I635" s="2">
        <v>395041727</v>
      </c>
      <c r="J635">
        <v>45</v>
      </c>
      <c r="K635">
        <v>106</v>
      </c>
      <c r="L635">
        <v>0</v>
      </c>
      <c r="M635" t="str">
        <f t="shared" si="9"/>
        <v>After 2020</v>
      </c>
    </row>
    <row r="636" spans="1:13">
      <c r="A636" t="s">
        <v>1018</v>
      </c>
      <c r="B636" t="s">
        <v>1019</v>
      </c>
      <c r="C636" s="1">
        <v>45351</v>
      </c>
      <c r="D636" s="2">
        <v>111170278</v>
      </c>
      <c r="E636" s="2">
        <v>12493</v>
      </c>
      <c r="F636">
        <v>81</v>
      </c>
      <c r="G636" s="2">
        <v>50014053</v>
      </c>
      <c r="H636" s="2">
        <v>797138</v>
      </c>
      <c r="I636" s="2">
        <v>34861500</v>
      </c>
      <c r="J636">
        <v>27</v>
      </c>
      <c r="K636">
        <v>41</v>
      </c>
      <c r="L636">
        <v>0</v>
      </c>
      <c r="M636" t="str">
        <f t="shared" si="9"/>
        <v>After 2020</v>
      </c>
    </row>
    <row r="637" spans="1:13">
      <c r="A637" t="s">
        <v>1020</v>
      </c>
      <c r="B637" t="s">
        <v>411</v>
      </c>
      <c r="C637" s="1">
        <v>44928</v>
      </c>
      <c r="D637" s="2">
        <v>675591495</v>
      </c>
      <c r="E637" s="2">
        <v>53019</v>
      </c>
      <c r="F637">
        <v>75</v>
      </c>
      <c r="G637" s="2">
        <v>296668872</v>
      </c>
      <c r="H637" s="2">
        <v>3652203</v>
      </c>
      <c r="I637" s="2">
        <v>2441354214</v>
      </c>
      <c r="J637">
        <v>43</v>
      </c>
      <c r="K637">
        <v>25</v>
      </c>
      <c r="L637">
        <v>0</v>
      </c>
      <c r="M637" t="str">
        <f t="shared" si="9"/>
        <v>After 2020</v>
      </c>
    </row>
    <row r="638" spans="1:13" hidden="1">
      <c r="A638" t="s">
        <v>1021</v>
      </c>
      <c r="B638" t="s">
        <v>1022</v>
      </c>
      <c r="C638" s="1">
        <v>44043</v>
      </c>
      <c r="D638" s="2">
        <v>2947162</v>
      </c>
      <c r="E638" s="2">
        <v>2732</v>
      </c>
      <c r="G638" s="2">
        <v>12422083</v>
      </c>
      <c r="H638" s="2">
        <v>154802</v>
      </c>
      <c r="I638" s="2">
        <v>1846083524</v>
      </c>
      <c r="L638">
        <v>0</v>
      </c>
      <c r="M638" t="str">
        <f t="shared" si="9"/>
        <v>2010-2020</v>
      </c>
    </row>
    <row r="639" spans="1:13">
      <c r="A639" t="s">
        <v>1023</v>
      </c>
      <c r="B639" t="s">
        <v>444</v>
      </c>
      <c r="C639" s="1">
        <v>44826</v>
      </c>
      <c r="D639" s="2">
        <v>396549329</v>
      </c>
      <c r="E639" s="2">
        <v>56179</v>
      </c>
      <c r="F639">
        <v>67</v>
      </c>
      <c r="G639" s="2">
        <v>185441424</v>
      </c>
      <c r="H639" s="2">
        <v>1023796</v>
      </c>
      <c r="I639" s="2">
        <v>5233247603</v>
      </c>
      <c r="J639">
        <v>43</v>
      </c>
      <c r="K639">
        <v>174</v>
      </c>
      <c r="L639">
        <v>1</v>
      </c>
      <c r="M639" t="str">
        <f t="shared" si="9"/>
        <v>After 2020</v>
      </c>
    </row>
    <row r="640" spans="1:13">
      <c r="A640" t="s">
        <v>1024</v>
      </c>
      <c r="B640" t="s">
        <v>1025</v>
      </c>
      <c r="C640" s="1">
        <v>42300</v>
      </c>
      <c r="D640" s="2">
        <v>1452194416</v>
      </c>
      <c r="E640" s="2">
        <v>164935</v>
      </c>
      <c r="F640">
        <v>75</v>
      </c>
      <c r="G640" s="2">
        <v>1487688794</v>
      </c>
      <c r="H640" s="2">
        <v>13819002</v>
      </c>
      <c r="I640" s="2">
        <v>1030123230</v>
      </c>
      <c r="J640">
        <v>154</v>
      </c>
      <c r="K640">
        <v>146</v>
      </c>
      <c r="L640">
        <v>0</v>
      </c>
      <c r="M640" t="str">
        <f t="shared" si="9"/>
        <v>2010-2020</v>
      </c>
    </row>
    <row r="641" spans="1:13">
      <c r="A641" t="s">
        <v>1026</v>
      </c>
      <c r="B641" t="s">
        <v>1027</v>
      </c>
      <c r="C641" s="1">
        <v>44989</v>
      </c>
      <c r="D641" s="2">
        <v>323657766</v>
      </c>
      <c r="E641" s="2">
        <v>28785</v>
      </c>
      <c r="F641">
        <v>69</v>
      </c>
      <c r="G641" s="2">
        <v>373726087</v>
      </c>
      <c r="H641" s="2">
        <v>2491193</v>
      </c>
      <c r="I641" s="2">
        <v>623071891</v>
      </c>
      <c r="J641">
        <v>9</v>
      </c>
      <c r="K641">
        <v>1</v>
      </c>
      <c r="L641">
        <v>1</v>
      </c>
      <c r="M641" t="str">
        <f t="shared" si="9"/>
        <v>After 2020</v>
      </c>
    </row>
    <row r="642" spans="1:13">
      <c r="A642" t="s">
        <v>1028</v>
      </c>
      <c r="B642" t="s">
        <v>139</v>
      </c>
      <c r="C642" s="1">
        <v>45240</v>
      </c>
      <c r="D642" s="2">
        <v>198043685</v>
      </c>
      <c r="E642" s="2">
        <v>11991</v>
      </c>
      <c r="F642">
        <v>78</v>
      </c>
      <c r="G642" s="2">
        <v>203832651</v>
      </c>
      <c r="H642" s="2">
        <v>2922155</v>
      </c>
      <c r="I642" s="2">
        <v>442468610</v>
      </c>
      <c r="J642">
        <v>26</v>
      </c>
      <c r="K642">
        <v>7</v>
      </c>
      <c r="L642">
        <v>0</v>
      </c>
      <c r="M642" t="str">
        <f t="shared" si="9"/>
        <v>After 2020</v>
      </c>
    </row>
    <row r="643" spans="1:13">
      <c r="A643" t="s">
        <v>1029</v>
      </c>
      <c r="B643" t="s">
        <v>1030</v>
      </c>
      <c r="C643" s="1">
        <v>44015</v>
      </c>
      <c r="D643" s="2">
        <v>1196521179</v>
      </c>
      <c r="E643" s="2">
        <v>190615</v>
      </c>
      <c r="F643">
        <v>74</v>
      </c>
      <c r="G643" s="2">
        <v>362915972</v>
      </c>
      <c r="H643" s="2">
        <v>1650951</v>
      </c>
      <c r="I643" s="2">
        <v>269796885</v>
      </c>
      <c r="J643">
        <v>383</v>
      </c>
      <c r="K643">
        <v>498</v>
      </c>
      <c r="L643">
        <v>0</v>
      </c>
      <c r="M643" t="str">
        <f t="shared" ref="M643:M706" si="10">IF(YEAR(C643)&lt;2010,"Before 2010",IF(YEAR(C643)&lt;=2020,"2010-2020","After 2020"))</f>
        <v>2010-2020</v>
      </c>
    </row>
    <row r="644" spans="1:13">
      <c r="A644" t="s">
        <v>1031</v>
      </c>
      <c r="B644" t="s">
        <v>141</v>
      </c>
      <c r="C644" s="1">
        <v>43616</v>
      </c>
      <c r="D644" s="2">
        <v>1448173030</v>
      </c>
      <c r="E644" s="2">
        <v>156477</v>
      </c>
      <c r="F644">
        <v>70</v>
      </c>
      <c r="G644" s="2">
        <v>1341625876</v>
      </c>
      <c r="H644" s="2">
        <v>6392667</v>
      </c>
      <c r="I644" s="2">
        <v>354361373</v>
      </c>
      <c r="J644">
        <v>145</v>
      </c>
      <c r="K644">
        <v>58</v>
      </c>
      <c r="L644">
        <v>1</v>
      </c>
      <c r="M644" t="str">
        <f t="shared" si="10"/>
        <v>2010-2020</v>
      </c>
    </row>
    <row r="645" spans="1:13">
      <c r="A645" t="s">
        <v>1032</v>
      </c>
      <c r="B645" t="s">
        <v>1033</v>
      </c>
      <c r="C645" s="1">
        <v>44778</v>
      </c>
      <c r="D645" s="2">
        <v>459712644</v>
      </c>
      <c r="E645" s="2">
        <v>86820</v>
      </c>
      <c r="F645">
        <v>69</v>
      </c>
      <c r="G645" s="2">
        <v>116599191</v>
      </c>
      <c r="H645" s="2">
        <v>1422757</v>
      </c>
      <c r="I645" s="2">
        <v>749847975</v>
      </c>
      <c r="J645">
        <v>57</v>
      </c>
      <c r="K645">
        <v>428</v>
      </c>
      <c r="L645">
        <v>0</v>
      </c>
      <c r="M645" t="str">
        <f t="shared" si="10"/>
        <v>After 2020</v>
      </c>
    </row>
    <row r="646" spans="1:13" hidden="1">
      <c r="A646" t="s">
        <v>1034</v>
      </c>
      <c r="B646" t="s">
        <v>155</v>
      </c>
      <c r="C646" s="1">
        <v>45394</v>
      </c>
      <c r="D646" s="2">
        <v>687919107</v>
      </c>
      <c r="E646">
        <v>91</v>
      </c>
      <c r="L646">
        <v>0</v>
      </c>
      <c r="M646" t="str">
        <f t="shared" si="10"/>
        <v>After 2020</v>
      </c>
    </row>
    <row r="647" spans="1:13" hidden="1">
      <c r="A647" t="s">
        <v>1035</v>
      </c>
      <c r="B647" t="s">
        <v>1036</v>
      </c>
      <c r="C647" s="1">
        <v>44606</v>
      </c>
      <c r="D647" s="2">
        <v>360068693</v>
      </c>
      <c r="E647" s="2">
        <v>58995</v>
      </c>
      <c r="F647">
        <v>64</v>
      </c>
      <c r="G647" s="2">
        <v>149041400</v>
      </c>
      <c r="H647" s="2">
        <v>1103249</v>
      </c>
      <c r="I647" s="2">
        <v>4865262796</v>
      </c>
      <c r="J647">
        <v>35</v>
      </c>
      <c r="L647">
        <v>0</v>
      </c>
      <c r="M647" t="str">
        <f t="shared" si="10"/>
        <v>After 2020</v>
      </c>
    </row>
    <row r="648" spans="1:13" hidden="1">
      <c r="A648" t="s">
        <v>1037</v>
      </c>
      <c r="B648" t="s">
        <v>1038</v>
      </c>
      <c r="C648" s="1">
        <v>44960</v>
      </c>
      <c r="D648" s="2">
        <v>16264949</v>
      </c>
      <c r="E648" s="2">
        <v>4532</v>
      </c>
      <c r="F648">
        <v>48</v>
      </c>
      <c r="G648" s="2">
        <v>2287199</v>
      </c>
      <c r="H648" s="2">
        <v>35193</v>
      </c>
      <c r="I648" s="2">
        <v>1820623806</v>
      </c>
      <c r="J648">
        <v>2</v>
      </c>
      <c r="L648">
        <v>0</v>
      </c>
      <c r="M648" t="str">
        <f t="shared" si="10"/>
        <v>After 2020</v>
      </c>
    </row>
    <row r="649" spans="1:13">
      <c r="A649" t="s">
        <v>1039</v>
      </c>
      <c r="B649" t="s">
        <v>1040</v>
      </c>
      <c r="C649" s="1">
        <v>44639</v>
      </c>
      <c r="D649" s="2">
        <v>1039482815</v>
      </c>
      <c r="E649" s="2">
        <v>99333</v>
      </c>
      <c r="F649">
        <v>79</v>
      </c>
      <c r="G649" s="2">
        <v>14074005</v>
      </c>
      <c r="H649" s="2">
        <v>277824</v>
      </c>
      <c r="I649" s="2">
        <v>6824133</v>
      </c>
      <c r="J649">
        <v>133</v>
      </c>
      <c r="K649">
        <v>661</v>
      </c>
      <c r="L649">
        <v>0</v>
      </c>
      <c r="M649" t="str">
        <f t="shared" si="10"/>
        <v>After 2020</v>
      </c>
    </row>
    <row r="650" spans="1:13" hidden="1">
      <c r="A650" t="s">
        <v>1041</v>
      </c>
      <c r="B650" t="s">
        <v>1042</v>
      </c>
      <c r="C650" s="1">
        <v>44435</v>
      </c>
      <c r="D650" s="2">
        <v>53437</v>
      </c>
      <c r="E650">
        <v>4</v>
      </c>
      <c r="G650" s="2">
        <v>1498796051</v>
      </c>
      <c r="H650" s="2">
        <v>11372639</v>
      </c>
      <c r="I650" s="2">
        <v>950474</v>
      </c>
      <c r="L650">
        <v>0</v>
      </c>
      <c r="M650" t="str">
        <f t="shared" si="10"/>
        <v>After 2020</v>
      </c>
    </row>
    <row r="651" spans="1:13">
      <c r="A651" t="s">
        <v>1043</v>
      </c>
      <c r="B651" t="s">
        <v>1044</v>
      </c>
      <c r="C651" s="1">
        <v>40909</v>
      </c>
      <c r="D651" s="2">
        <v>477162323</v>
      </c>
      <c r="E651" s="2">
        <v>103211</v>
      </c>
      <c r="F651">
        <v>67</v>
      </c>
      <c r="G651" s="2">
        <v>5849588091</v>
      </c>
      <c r="H651" s="2">
        <v>31460015</v>
      </c>
      <c r="I651" s="2">
        <v>578660460</v>
      </c>
      <c r="J651">
        <v>93</v>
      </c>
      <c r="K651">
        <v>77</v>
      </c>
      <c r="L651">
        <v>0</v>
      </c>
      <c r="M651" t="str">
        <f t="shared" si="10"/>
        <v>2010-2020</v>
      </c>
    </row>
    <row r="652" spans="1:13">
      <c r="A652" t="s">
        <v>1045</v>
      </c>
      <c r="B652" t="s">
        <v>1046</v>
      </c>
      <c r="C652" s="1">
        <v>42965</v>
      </c>
      <c r="D652" s="2">
        <v>889098343</v>
      </c>
      <c r="E652" s="2">
        <v>84086</v>
      </c>
      <c r="F652">
        <v>69</v>
      </c>
      <c r="G652" s="2">
        <v>2707034440</v>
      </c>
      <c r="H652" s="2">
        <v>9483547</v>
      </c>
      <c r="I652" s="2">
        <v>312894649</v>
      </c>
      <c r="J652">
        <v>58</v>
      </c>
      <c r="K652">
        <v>88</v>
      </c>
      <c r="L652">
        <v>0</v>
      </c>
      <c r="M652" t="str">
        <f t="shared" si="10"/>
        <v>2010-2020</v>
      </c>
    </row>
    <row r="653" spans="1:13">
      <c r="A653" t="s">
        <v>1047</v>
      </c>
      <c r="B653" t="s">
        <v>258</v>
      </c>
      <c r="C653" s="1">
        <v>42370</v>
      </c>
      <c r="D653" s="2">
        <v>1006124005</v>
      </c>
      <c r="E653" s="2">
        <v>96248</v>
      </c>
      <c r="F653">
        <v>72</v>
      </c>
      <c r="G653" s="2">
        <v>3290132416</v>
      </c>
      <c r="H653" s="2">
        <v>13447183</v>
      </c>
      <c r="I653" s="2">
        <v>270324375</v>
      </c>
      <c r="J653">
        <v>114</v>
      </c>
      <c r="K653">
        <v>74</v>
      </c>
      <c r="L653">
        <v>0</v>
      </c>
      <c r="M653" t="str">
        <f t="shared" si="10"/>
        <v>2010-2020</v>
      </c>
    </row>
    <row r="654" spans="1:13">
      <c r="A654" t="s">
        <v>1048</v>
      </c>
      <c r="B654" t="s">
        <v>295</v>
      </c>
      <c r="C654" s="1">
        <v>44057</v>
      </c>
      <c r="D654" s="2">
        <v>962634706</v>
      </c>
      <c r="E654" s="2">
        <v>222576</v>
      </c>
      <c r="F654">
        <v>69</v>
      </c>
      <c r="G654" s="2">
        <v>645367972</v>
      </c>
      <c r="H654" s="2">
        <v>5525087</v>
      </c>
      <c r="I654" s="2">
        <v>232612189</v>
      </c>
      <c r="J654">
        <v>170</v>
      </c>
      <c r="K654">
        <v>49</v>
      </c>
      <c r="L654">
        <v>1</v>
      </c>
      <c r="M654" t="str">
        <f t="shared" si="10"/>
        <v>2010-2020</v>
      </c>
    </row>
    <row r="655" spans="1:13">
      <c r="A655" t="s">
        <v>1049</v>
      </c>
      <c r="B655" t="s">
        <v>47</v>
      </c>
      <c r="C655" s="1">
        <v>43154</v>
      </c>
      <c r="D655" s="2">
        <v>1517935273</v>
      </c>
      <c r="E655" s="2">
        <v>183827</v>
      </c>
      <c r="F655">
        <v>70</v>
      </c>
      <c r="G655" s="2">
        <v>1316530001</v>
      </c>
      <c r="H655" s="2">
        <v>8403766</v>
      </c>
      <c r="I655" s="2">
        <v>41586060</v>
      </c>
      <c r="J655">
        <v>92</v>
      </c>
      <c r="K655">
        <v>160</v>
      </c>
      <c r="L655">
        <v>1</v>
      </c>
      <c r="M655" t="str">
        <f t="shared" si="10"/>
        <v>2010-2020</v>
      </c>
    </row>
    <row r="656" spans="1:13" hidden="1">
      <c r="A656" t="s">
        <v>1050</v>
      </c>
      <c r="B656" t="s">
        <v>1051</v>
      </c>
      <c r="C656" s="1">
        <v>45113</v>
      </c>
      <c r="D656" s="2">
        <v>191488217</v>
      </c>
      <c r="E656" s="2">
        <v>46669</v>
      </c>
      <c r="F656">
        <v>72</v>
      </c>
      <c r="G656" s="2">
        <v>205292316</v>
      </c>
      <c r="H656" s="2">
        <v>1160425</v>
      </c>
      <c r="I656" s="2">
        <v>143392887</v>
      </c>
      <c r="J656">
        <v>35</v>
      </c>
      <c r="L656">
        <v>0</v>
      </c>
      <c r="M656" t="str">
        <f t="shared" si="10"/>
        <v>After 2020</v>
      </c>
    </row>
    <row r="657" spans="1:13">
      <c r="A657" t="s">
        <v>1052</v>
      </c>
      <c r="B657" t="s">
        <v>1053</v>
      </c>
      <c r="C657" s="1">
        <v>45135</v>
      </c>
      <c r="D657" s="2">
        <v>320174752</v>
      </c>
      <c r="E657" s="2">
        <v>51073</v>
      </c>
      <c r="F657">
        <v>73</v>
      </c>
      <c r="G657" s="2">
        <v>104188558</v>
      </c>
      <c r="H657" s="2">
        <v>465006</v>
      </c>
      <c r="I657" s="2">
        <v>1510621389</v>
      </c>
      <c r="J657">
        <v>48</v>
      </c>
      <c r="K657">
        <v>9</v>
      </c>
      <c r="L657">
        <v>1</v>
      </c>
      <c r="M657" t="str">
        <f t="shared" si="10"/>
        <v>After 2020</v>
      </c>
    </row>
    <row r="658" spans="1:13" hidden="1">
      <c r="A658" t="s">
        <v>1054</v>
      </c>
      <c r="B658" t="s">
        <v>182</v>
      </c>
      <c r="C658" s="1">
        <v>45301</v>
      </c>
      <c r="D658" s="2">
        <v>150203467</v>
      </c>
      <c r="E658" s="2">
        <v>33551</v>
      </c>
      <c r="G658" s="2">
        <v>15371828</v>
      </c>
      <c r="H658" s="2">
        <v>236178</v>
      </c>
      <c r="J658">
        <v>24</v>
      </c>
      <c r="K658">
        <v>4</v>
      </c>
      <c r="L658">
        <v>1</v>
      </c>
      <c r="M658" t="str">
        <f t="shared" si="10"/>
        <v>After 2020</v>
      </c>
    </row>
    <row r="659" spans="1:13">
      <c r="A659" t="s">
        <v>752</v>
      </c>
      <c r="B659" t="s">
        <v>1055</v>
      </c>
      <c r="C659" s="1">
        <v>42342</v>
      </c>
      <c r="D659" s="2">
        <v>1943842010</v>
      </c>
      <c r="E659" s="2">
        <v>221874</v>
      </c>
      <c r="F659">
        <v>75</v>
      </c>
      <c r="G659" s="2">
        <v>439888055</v>
      </c>
      <c r="H659" s="2">
        <v>5232880</v>
      </c>
      <c r="I659" s="2">
        <v>4682512450</v>
      </c>
      <c r="J659">
        <v>103</v>
      </c>
      <c r="K659">
        <v>4</v>
      </c>
      <c r="L659">
        <v>0</v>
      </c>
      <c r="M659" t="str">
        <f t="shared" si="10"/>
        <v>2010-2020</v>
      </c>
    </row>
    <row r="660" spans="1:13">
      <c r="A660" t="s">
        <v>1056</v>
      </c>
      <c r="B660" t="s">
        <v>378</v>
      </c>
      <c r="C660" s="1">
        <v>44847</v>
      </c>
      <c r="D660" s="2">
        <v>86103527</v>
      </c>
      <c r="E660" s="2">
        <v>24888</v>
      </c>
      <c r="F660">
        <v>62</v>
      </c>
      <c r="G660" s="2">
        <v>211940922</v>
      </c>
      <c r="H660" s="2">
        <v>1076420</v>
      </c>
      <c r="I660" s="2">
        <v>1387044831</v>
      </c>
      <c r="J660">
        <v>20</v>
      </c>
      <c r="K660">
        <v>4</v>
      </c>
      <c r="L660">
        <v>1</v>
      </c>
      <c r="M660" t="str">
        <f t="shared" si="10"/>
        <v>After 2020</v>
      </c>
    </row>
    <row r="661" spans="1:13">
      <c r="A661" t="s">
        <v>1057</v>
      </c>
      <c r="B661" t="s">
        <v>1058</v>
      </c>
      <c r="C661" s="1">
        <v>44683</v>
      </c>
      <c r="D661" s="2">
        <v>355203657</v>
      </c>
      <c r="E661" s="2">
        <v>146218</v>
      </c>
      <c r="F661">
        <v>74</v>
      </c>
      <c r="G661" s="2">
        <v>46743730</v>
      </c>
      <c r="H661" s="2">
        <v>381567</v>
      </c>
      <c r="I661" s="2">
        <v>1767047572</v>
      </c>
      <c r="J661">
        <v>112</v>
      </c>
      <c r="K661">
        <v>369</v>
      </c>
      <c r="L661">
        <v>0</v>
      </c>
      <c r="M661" t="str">
        <f t="shared" si="10"/>
        <v>After 2020</v>
      </c>
    </row>
    <row r="662" spans="1:13">
      <c r="A662" t="s">
        <v>1059</v>
      </c>
      <c r="B662" t="s">
        <v>47</v>
      </c>
      <c r="C662" s="1">
        <v>43458</v>
      </c>
      <c r="D662" s="2">
        <v>1680612367</v>
      </c>
      <c r="E662" s="2">
        <v>201840</v>
      </c>
      <c r="F662">
        <v>74</v>
      </c>
      <c r="G662" s="2">
        <v>630890897</v>
      </c>
      <c r="H662" s="2">
        <v>5912252</v>
      </c>
      <c r="I662" s="2">
        <v>477810652</v>
      </c>
      <c r="J662">
        <v>137</v>
      </c>
      <c r="K662" s="2">
        <v>1478</v>
      </c>
      <c r="L662">
        <v>1</v>
      </c>
      <c r="M662" t="str">
        <f t="shared" si="10"/>
        <v>2010-2020</v>
      </c>
    </row>
    <row r="663" spans="1:13">
      <c r="A663" t="s">
        <v>1060</v>
      </c>
      <c r="B663" t="s">
        <v>233</v>
      </c>
      <c r="C663" s="1">
        <v>40909</v>
      </c>
      <c r="D663" s="2">
        <v>1836362703</v>
      </c>
      <c r="E663" s="2">
        <v>236427</v>
      </c>
      <c r="F663">
        <v>75</v>
      </c>
      <c r="G663" s="2">
        <v>1838544809</v>
      </c>
      <c r="H663" s="2">
        <v>12824587</v>
      </c>
      <c r="I663" s="2">
        <v>640674307</v>
      </c>
      <c r="J663">
        <v>111</v>
      </c>
      <c r="K663">
        <v>650</v>
      </c>
      <c r="L663">
        <v>0</v>
      </c>
      <c r="M663" t="str">
        <f t="shared" si="10"/>
        <v>2010-2020</v>
      </c>
    </row>
    <row r="664" spans="1:13">
      <c r="A664" t="s">
        <v>1061</v>
      </c>
      <c r="B664" t="s">
        <v>1062</v>
      </c>
      <c r="C664" s="1">
        <v>43750</v>
      </c>
      <c r="D664" s="2">
        <v>961358721</v>
      </c>
      <c r="E664" s="2">
        <v>155959</v>
      </c>
      <c r="F664">
        <v>65</v>
      </c>
      <c r="G664" s="2">
        <v>1188737111</v>
      </c>
      <c r="H664" s="2">
        <v>7547115</v>
      </c>
      <c r="I664" s="2">
        <v>307352160</v>
      </c>
      <c r="J664">
        <v>201</v>
      </c>
      <c r="K664">
        <v>115</v>
      </c>
      <c r="L664">
        <v>1</v>
      </c>
      <c r="M664" t="str">
        <f t="shared" si="10"/>
        <v>2010-2020</v>
      </c>
    </row>
    <row r="665" spans="1:13">
      <c r="A665" t="s">
        <v>1063</v>
      </c>
      <c r="B665" t="s">
        <v>1064</v>
      </c>
      <c r="C665" s="1">
        <v>43700</v>
      </c>
      <c r="D665" s="2">
        <v>1265080733</v>
      </c>
      <c r="E665" s="2">
        <v>198773</v>
      </c>
      <c r="F665">
        <v>70</v>
      </c>
      <c r="G665" s="2">
        <v>356598545</v>
      </c>
      <c r="H665" s="2">
        <v>5539172</v>
      </c>
      <c r="I665" s="2">
        <v>579006925</v>
      </c>
      <c r="J665">
        <v>120</v>
      </c>
      <c r="K665">
        <v>182</v>
      </c>
      <c r="L665">
        <v>1</v>
      </c>
      <c r="M665" t="str">
        <f t="shared" si="10"/>
        <v>2010-2020</v>
      </c>
    </row>
    <row r="666" spans="1:13">
      <c r="A666" t="s">
        <v>1065</v>
      </c>
      <c r="B666" t="s">
        <v>133</v>
      </c>
      <c r="C666" s="1">
        <v>43476</v>
      </c>
      <c r="D666" s="2">
        <v>1349115675</v>
      </c>
      <c r="E666" s="2">
        <v>113525</v>
      </c>
      <c r="F666">
        <v>71</v>
      </c>
      <c r="G666" s="2">
        <v>1029803478</v>
      </c>
      <c r="H666" s="2">
        <v>4717155</v>
      </c>
      <c r="I666" s="2">
        <v>102120652</v>
      </c>
      <c r="J666">
        <v>180</v>
      </c>
      <c r="K666">
        <v>524</v>
      </c>
      <c r="L666">
        <v>0</v>
      </c>
      <c r="M666" t="str">
        <f t="shared" si="10"/>
        <v>2010-2020</v>
      </c>
    </row>
    <row r="667" spans="1:13">
      <c r="A667" t="s">
        <v>1066</v>
      </c>
      <c r="B667" t="s">
        <v>1067</v>
      </c>
      <c r="C667" s="1">
        <v>43882</v>
      </c>
      <c r="D667" s="2">
        <v>1157206056</v>
      </c>
      <c r="E667" s="2">
        <v>189404</v>
      </c>
      <c r="F667">
        <v>75</v>
      </c>
      <c r="G667" s="2">
        <v>158131164</v>
      </c>
      <c r="H667" s="2">
        <v>1488878</v>
      </c>
      <c r="I667" s="2">
        <v>3272868374</v>
      </c>
      <c r="J667">
        <v>191</v>
      </c>
      <c r="K667">
        <v>255</v>
      </c>
      <c r="L667">
        <v>0</v>
      </c>
      <c r="M667" t="str">
        <f t="shared" si="10"/>
        <v>2010-2020</v>
      </c>
    </row>
    <row r="668" spans="1:13">
      <c r="A668" t="s">
        <v>1068</v>
      </c>
      <c r="B668" t="s">
        <v>1069</v>
      </c>
      <c r="C668" s="1">
        <v>44449</v>
      </c>
      <c r="D668" s="2">
        <v>690010618</v>
      </c>
      <c r="E668" s="2">
        <v>145080</v>
      </c>
      <c r="F668">
        <v>69</v>
      </c>
      <c r="G668" s="2">
        <v>366093721</v>
      </c>
      <c r="H668" s="2">
        <v>7390377</v>
      </c>
      <c r="I668" s="2">
        <v>2787939961</v>
      </c>
      <c r="J668">
        <v>24</v>
      </c>
      <c r="K668">
        <v>151</v>
      </c>
      <c r="L668">
        <v>0</v>
      </c>
      <c r="M668" t="str">
        <f t="shared" si="10"/>
        <v>After 2020</v>
      </c>
    </row>
    <row r="669" spans="1:13">
      <c r="A669" t="s">
        <v>1070</v>
      </c>
      <c r="B669" t="s">
        <v>1071</v>
      </c>
      <c r="C669" s="1">
        <v>42122</v>
      </c>
      <c r="D669" s="2">
        <v>954073526</v>
      </c>
      <c r="E669" s="2">
        <v>162233</v>
      </c>
      <c r="F669">
        <v>77</v>
      </c>
      <c r="G669" s="2">
        <v>1153379467</v>
      </c>
      <c r="H669" s="2">
        <v>6645883</v>
      </c>
      <c r="I669" s="2">
        <v>243324273</v>
      </c>
      <c r="J669">
        <v>117</v>
      </c>
      <c r="K669">
        <v>100</v>
      </c>
      <c r="L669">
        <v>0</v>
      </c>
      <c r="M669" t="str">
        <f t="shared" si="10"/>
        <v>2010-2020</v>
      </c>
    </row>
    <row r="670" spans="1:13">
      <c r="A670" t="s">
        <v>1072</v>
      </c>
      <c r="B670" t="s">
        <v>291</v>
      </c>
      <c r="C670" s="1">
        <v>44231</v>
      </c>
      <c r="D670" s="2">
        <v>646916214</v>
      </c>
      <c r="E670" s="2">
        <v>97970</v>
      </c>
      <c r="F670">
        <v>65</v>
      </c>
      <c r="G670" s="2">
        <v>496850951</v>
      </c>
      <c r="H670" s="2">
        <v>6266644</v>
      </c>
      <c r="I670" s="2">
        <v>6912025468</v>
      </c>
      <c r="J670">
        <v>173</v>
      </c>
      <c r="K670">
        <v>869</v>
      </c>
      <c r="L670">
        <v>1</v>
      </c>
      <c r="M670" t="str">
        <f t="shared" si="10"/>
        <v>After 2020</v>
      </c>
    </row>
    <row r="671" spans="1:13" hidden="1">
      <c r="A671" t="s">
        <v>1073</v>
      </c>
      <c r="B671" t="s">
        <v>141</v>
      </c>
      <c r="C671" s="1">
        <v>45194</v>
      </c>
      <c r="D671" s="2">
        <v>253455087</v>
      </c>
      <c r="E671" s="2">
        <v>45343</v>
      </c>
      <c r="G671" s="2">
        <v>71940311</v>
      </c>
      <c r="H671" s="2">
        <v>1117686</v>
      </c>
      <c r="I671" s="2">
        <v>96982970</v>
      </c>
      <c r="J671">
        <v>32</v>
      </c>
      <c r="K671">
        <v>381</v>
      </c>
      <c r="L671">
        <v>1</v>
      </c>
      <c r="M671" t="str">
        <f t="shared" si="10"/>
        <v>After 2020</v>
      </c>
    </row>
    <row r="672" spans="1:13" hidden="1">
      <c r="A672" t="s">
        <v>1074</v>
      </c>
      <c r="B672" t="s">
        <v>99</v>
      </c>
      <c r="C672" s="1">
        <v>45366</v>
      </c>
      <c r="D672" s="2">
        <v>57374288</v>
      </c>
      <c r="E672" s="2">
        <v>10723</v>
      </c>
      <c r="G672" s="2">
        <v>10657679</v>
      </c>
      <c r="H672" s="2">
        <v>209937</v>
      </c>
      <c r="I672" s="2">
        <v>9200000</v>
      </c>
      <c r="J672">
        <v>37</v>
      </c>
      <c r="K672">
        <v>366</v>
      </c>
      <c r="L672">
        <v>1</v>
      </c>
      <c r="M672" t="str">
        <f t="shared" si="10"/>
        <v>After 2020</v>
      </c>
    </row>
    <row r="673" spans="1:13">
      <c r="A673" t="s">
        <v>1075</v>
      </c>
      <c r="B673" t="s">
        <v>642</v>
      </c>
      <c r="C673" s="1">
        <v>44420</v>
      </c>
      <c r="D673" s="2">
        <v>686371118</v>
      </c>
      <c r="E673" s="2">
        <v>95938</v>
      </c>
      <c r="F673">
        <v>69</v>
      </c>
      <c r="G673" s="2">
        <v>479721274</v>
      </c>
      <c r="H673" s="2">
        <v>3066965</v>
      </c>
      <c r="I673" s="2">
        <v>2298614237</v>
      </c>
      <c r="J673">
        <v>130</v>
      </c>
      <c r="K673">
        <v>945</v>
      </c>
      <c r="L673">
        <v>1</v>
      </c>
      <c r="M673" t="str">
        <f t="shared" si="10"/>
        <v>After 2020</v>
      </c>
    </row>
    <row r="674" spans="1:13">
      <c r="A674" t="s">
        <v>1076</v>
      </c>
      <c r="B674" t="s">
        <v>522</v>
      </c>
      <c r="C674" s="1">
        <v>45099</v>
      </c>
      <c r="D674" s="2">
        <v>502536183</v>
      </c>
      <c r="E674" s="2">
        <v>37578</v>
      </c>
      <c r="F674">
        <v>77</v>
      </c>
      <c r="G674" s="2">
        <v>151406654</v>
      </c>
      <c r="H674" s="2">
        <v>886902</v>
      </c>
      <c r="I674" s="2">
        <v>866457165</v>
      </c>
      <c r="J674">
        <v>40</v>
      </c>
      <c r="K674">
        <v>312</v>
      </c>
      <c r="L674">
        <v>1</v>
      </c>
      <c r="M674" t="str">
        <f t="shared" si="10"/>
        <v>After 2020</v>
      </c>
    </row>
    <row r="675" spans="1:13" hidden="1">
      <c r="A675" t="s">
        <v>1077</v>
      </c>
      <c r="B675" t="s">
        <v>1078</v>
      </c>
      <c r="C675" s="1">
        <v>45023</v>
      </c>
      <c r="D675" s="2">
        <v>24215252</v>
      </c>
      <c r="E675" s="2">
        <v>12008</v>
      </c>
      <c r="F675">
        <v>48</v>
      </c>
      <c r="G675" s="2">
        <v>12381597</v>
      </c>
      <c r="H675" s="2">
        <v>191468</v>
      </c>
      <c r="I675" s="2">
        <v>3302969819</v>
      </c>
      <c r="J675">
        <v>1</v>
      </c>
      <c r="L675">
        <v>1</v>
      </c>
      <c r="M675" t="str">
        <f t="shared" si="10"/>
        <v>After 2020</v>
      </c>
    </row>
    <row r="676" spans="1:13">
      <c r="A676" t="s">
        <v>1079</v>
      </c>
      <c r="B676" t="s">
        <v>1080</v>
      </c>
      <c r="C676" s="1">
        <v>44575</v>
      </c>
      <c r="D676" s="2">
        <v>548724288</v>
      </c>
      <c r="E676" s="2">
        <v>170892</v>
      </c>
      <c r="F676">
        <v>79</v>
      </c>
      <c r="G676" s="2">
        <v>91605414</v>
      </c>
      <c r="H676" s="2">
        <v>1539359</v>
      </c>
      <c r="I676" s="2">
        <v>813374956</v>
      </c>
      <c r="J676">
        <v>53</v>
      </c>
      <c r="K676">
        <v>538</v>
      </c>
      <c r="L676">
        <v>1</v>
      </c>
      <c r="M676" t="str">
        <f t="shared" si="10"/>
        <v>After 2020</v>
      </c>
    </row>
    <row r="677" spans="1:13">
      <c r="A677" t="s">
        <v>1081</v>
      </c>
      <c r="B677" t="s">
        <v>70</v>
      </c>
      <c r="C677" s="1">
        <v>45002</v>
      </c>
      <c r="D677" s="2">
        <v>488979989</v>
      </c>
      <c r="E677" s="2">
        <v>32825</v>
      </c>
      <c r="F677">
        <v>84</v>
      </c>
      <c r="G677" s="2">
        <v>88126911</v>
      </c>
      <c r="H677" s="2">
        <v>1378287</v>
      </c>
      <c r="I677" s="2">
        <v>443060258</v>
      </c>
      <c r="J677">
        <v>60</v>
      </c>
      <c r="K677">
        <v>400</v>
      </c>
      <c r="L677">
        <v>1</v>
      </c>
      <c r="M677" t="str">
        <f t="shared" si="10"/>
        <v>After 2020</v>
      </c>
    </row>
    <row r="678" spans="1:13">
      <c r="A678" t="s">
        <v>1082</v>
      </c>
      <c r="B678" t="s">
        <v>1083</v>
      </c>
      <c r="C678" s="1">
        <v>44499</v>
      </c>
      <c r="D678" s="2">
        <v>416955991</v>
      </c>
      <c r="E678" s="2">
        <v>123862</v>
      </c>
      <c r="F678">
        <v>63</v>
      </c>
      <c r="G678" s="2">
        <v>174009595</v>
      </c>
      <c r="H678" s="2">
        <v>1640732</v>
      </c>
      <c r="I678" s="2">
        <v>1163709610</v>
      </c>
      <c r="J678">
        <v>65</v>
      </c>
      <c r="K678">
        <v>350</v>
      </c>
      <c r="L678">
        <v>1</v>
      </c>
      <c r="M678" t="str">
        <f t="shared" si="10"/>
        <v>After 2020</v>
      </c>
    </row>
    <row r="679" spans="1:13">
      <c r="A679" t="s">
        <v>1084</v>
      </c>
      <c r="B679" t="s">
        <v>233</v>
      </c>
      <c r="C679" s="1">
        <v>43298</v>
      </c>
      <c r="D679" s="2">
        <v>1228556153</v>
      </c>
      <c r="E679" s="2">
        <v>154255</v>
      </c>
      <c r="F679">
        <v>75</v>
      </c>
      <c r="G679" s="2">
        <v>1220581919</v>
      </c>
      <c r="H679" s="2">
        <v>10953316</v>
      </c>
      <c r="I679" s="2">
        <v>396994100</v>
      </c>
      <c r="J679">
        <v>72</v>
      </c>
      <c r="K679">
        <v>175</v>
      </c>
      <c r="L679">
        <v>0</v>
      </c>
      <c r="M679" t="str">
        <f t="shared" si="10"/>
        <v>2010-2020</v>
      </c>
    </row>
    <row r="680" spans="1:13" hidden="1">
      <c r="A680" t="s">
        <v>1085</v>
      </c>
      <c r="B680" t="s">
        <v>1086</v>
      </c>
      <c r="C680" s="1">
        <v>45079</v>
      </c>
      <c r="D680" s="2">
        <v>44557662</v>
      </c>
      <c r="E680" s="2">
        <v>9405</v>
      </c>
      <c r="F680">
        <v>59</v>
      </c>
      <c r="G680" s="2">
        <v>88674781</v>
      </c>
      <c r="H680" s="2">
        <v>431451</v>
      </c>
      <c r="I680" s="2">
        <v>1729443890</v>
      </c>
      <c r="J680">
        <v>1</v>
      </c>
      <c r="L680">
        <v>1</v>
      </c>
      <c r="M680" t="str">
        <f t="shared" si="10"/>
        <v>After 2020</v>
      </c>
    </row>
    <row r="681" spans="1:13">
      <c r="A681" t="s">
        <v>1087</v>
      </c>
      <c r="B681" t="s">
        <v>1088</v>
      </c>
      <c r="C681" s="1">
        <v>43826</v>
      </c>
      <c r="D681" s="2">
        <v>709850383</v>
      </c>
      <c r="E681" s="2">
        <v>165912</v>
      </c>
      <c r="F681">
        <v>70</v>
      </c>
      <c r="G681" s="2">
        <v>75540671</v>
      </c>
      <c r="H681" s="2">
        <v>750424</v>
      </c>
      <c r="I681" s="2">
        <v>1876371239</v>
      </c>
      <c r="J681">
        <v>69</v>
      </c>
      <c r="K681">
        <v>103</v>
      </c>
      <c r="L681">
        <v>1</v>
      </c>
      <c r="M681" t="str">
        <f t="shared" si="10"/>
        <v>2010-2020</v>
      </c>
    </row>
    <row r="682" spans="1:13" hidden="1">
      <c r="A682" t="s">
        <v>1089</v>
      </c>
      <c r="B682" t="s">
        <v>739</v>
      </c>
      <c r="C682" s="1">
        <v>45431</v>
      </c>
      <c r="D682" s="2">
        <v>945093</v>
      </c>
      <c r="E682">
        <v>63</v>
      </c>
      <c r="G682" s="2">
        <v>39278201</v>
      </c>
      <c r="H682" s="2">
        <v>656672</v>
      </c>
      <c r="J682">
        <v>2</v>
      </c>
      <c r="L682">
        <v>0</v>
      </c>
      <c r="M682" t="str">
        <f t="shared" si="10"/>
        <v>After 2020</v>
      </c>
    </row>
    <row r="683" spans="1:13">
      <c r="A683" t="s">
        <v>1090</v>
      </c>
      <c r="B683" t="s">
        <v>1091</v>
      </c>
      <c r="C683" s="1">
        <v>43243</v>
      </c>
      <c r="D683" s="2">
        <v>1602076880</v>
      </c>
      <c r="E683" s="2">
        <v>207598</v>
      </c>
      <c r="F683">
        <v>75</v>
      </c>
      <c r="G683" s="2">
        <v>284427491</v>
      </c>
      <c r="H683" s="2">
        <v>2509207</v>
      </c>
      <c r="I683" s="2">
        <v>790904602</v>
      </c>
      <c r="J683">
        <v>20</v>
      </c>
      <c r="K683">
        <v>550</v>
      </c>
      <c r="L683">
        <v>0</v>
      </c>
      <c r="M683" t="str">
        <f t="shared" si="10"/>
        <v>2010-2020</v>
      </c>
    </row>
    <row r="684" spans="1:13" hidden="1">
      <c r="A684" t="s">
        <v>1092</v>
      </c>
      <c r="B684" t="s">
        <v>1093</v>
      </c>
      <c r="C684" s="1">
        <v>44889</v>
      </c>
      <c r="G684" s="2">
        <v>829051158</v>
      </c>
      <c r="H684" s="2">
        <v>2899554</v>
      </c>
      <c r="L684">
        <v>0</v>
      </c>
      <c r="M684" t="str">
        <f t="shared" si="10"/>
        <v>After 2020</v>
      </c>
    </row>
    <row r="685" spans="1:13" hidden="1">
      <c r="A685" t="s">
        <v>1094</v>
      </c>
      <c r="B685" t="s">
        <v>1095</v>
      </c>
      <c r="C685" s="1">
        <v>44939</v>
      </c>
      <c r="D685" s="2">
        <v>168087455</v>
      </c>
      <c r="E685" s="2">
        <v>33442</v>
      </c>
      <c r="F685">
        <v>71</v>
      </c>
      <c r="G685" s="2">
        <v>139656144</v>
      </c>
      <c r="H685" s="2">
        <v>2054412</v>
      </c>
      <c r="I685" s="2">
        <v>1559678788</v>
      </c>
      <c r="L685">
        <v>0</v>
      </c>
      <c r="M685" t="str">
        <f t="shared" si="10"/>
        <v>After 2020</v>
      </c>
    </row>
    <row r="686" spans="1:13">
      <c r="A686" t="s">
        <v>1096</v>
      </c>
      <c r="B686" t="s">
        <v>81</v>
      </c>
      <c r="C686" s="1">
        <v>42461</v>
      </c>
      <c r="D686" s="2">
        <v>1427792654</v>
      </c>
      <c r="E686" s="2">
        <v>120921</v>
      </c>
      <c r="F686">
        <v>70</v>
      </c>
      <c r="G686" s="2">
        <v>2458018861</v>
      </c>
      <c r="H686" s="2">
        <v>14668122</v>
      </c>
      <c r="I686" s="2">
        <v>413361240</v>
      </c>
      <c r="J686">
        <v>128</v>
      </c>
      <c r="K686">
        <v>116</v>
      </c>
      <c r="L686">
        <v>1</v>
      </c>
      <c r="M686" t="str">
        <f t="shared" si="10"/>
        <v>2010-2020</v>
      </c>
    </row>
    <row r="687" spans="1:13" hidden="1">
      <c r="A687" t="s">
        <v>300</v>
      </c>
      <c r="B687" t="s">
        <v>301</v>
      </c>
      <c r="C687" s="1">
        <v>44957</v>
      </c>
      <c r="D687" s="2">
        <v>922010059</v>
      </c>
      <c r="E687" s="2">
        <v>5520</v>
      </c>
      <c r="F687">
        <v>50</v>
      </c>
      <c r="J687">
        <v>49</v>
      </c>
      <c r="L687">
        <v>0</v>
      </c>
      <c r="M687" t="str">
        <f t="shared" si="10"/>
        <v>After 2020</v>
      </c>
    </row>
    <row r="688" spans="1:13">
      <c r="A688" t="s">
        <v>1097</v>
      </c>
      <c r="B688" t="s">
        <v>1098</v>
      </c>
      <c r="C688" s="1">
        <v>44330</v>
      </c>
      <c r="D688" s="2">
        <v>452542081</v>
      </c>
      <c r="E688" s="2">
        <v>81642</v>
      </c>
      <c r="F688">
        <v>63</v>
      </c>
      <c r="G688" s="2">
        <v>575228171</v>
      </c>
      <c r="H688" s="2">
        <v>13396525</v>
      </c>
      <c r="I688" s="2">
        <v>10270227664</v>
      </c>
      <c r="J688">
        <v>77</v>
      </c>
      <c r="K688">
        <v>119</v>
      </c>
      <c r="L688">
        <v>1</v>
      </c>
      <c r="M688" t="str">
        <f t="shared" si="10"/>
        <v>After 2020</v>
      </c>
    </row>
    <row r="689" spans="1:13" hidden="1">
      <c r="A689" t="s">
        <v>1099</v>
      </c>
      <c r="B689" t="s">
        <v>157</v>
      </c>
      <c r="C689" s="1">
        <v>45384</v>
      </c>
      <c r="D689" s="2">
        <v>126619484</v>
      </c>
      <c r="E689" s="2">
        <v>6242</v>
      </c>
      <c r="F689">
        <v>79</v>
      </c>
      <c r="G689" s="2">
        <v>55418429</v>
      </c>
      <c r="H689" s="2">
        <v>1848749</v>
      </c>
      <c r="I689" s="2">
        <v>556900</v>
      </c>
      <c r="J689">
        <v>10</v>
      </c>
      <c r="L689">
        <v>1</v>
      </c>
      <c r="M689" t="str">
        <f t="shared" si="10"/>
        <v>After 2020</v>
      </c>
    </row>
    <row r="690" spans="1:13" hidden="1">
      <c r="A690" t="s">
        <v>1100</v>
      </c>
      <c r="B690" t="s">
        <v>143</v>
      </c>
      <c r="C690" s="1">
        <v>45380</v>
      </c>
      <c r="D690" s="2">
        <v>11610247</v>
      </c>
      <c r="E690">
        <v>2</v>
      </c>
      <c r="L690">
        <v>1</v>
      </c>
      <c r="M690" t="str">
        <f t="shared" si="10"/>
        <v>After 2020</v>
      </c>
    </row>
    <row r="691" spans="1:13">
      <c r="A691" t="s">
        <v>1101</v>
      </c>
      <c r="B691" t="s">
        <v>1102</v>
      </c>
      <c r="C691" s="1">
        <v>45204</v>
      </c>
      <c r="D691" s="2">
        <v>363816146</v>
      </c>
      <c r="E691" s="2">
        <v>16161</v>
      </c>
      <c r="F691">
        <v>80</v>
      </c>
      <c r="G691" s="2">
        <v>189158687</v>
      </c>
      <c r="H691" s="2">
        <v>768324</v>
      </c>
      <c r="I691" s="2">
        <v>114779266</v>
      </c>
      <c r="J691">
        <v>24</v>
      </c>
      <c r="K691">
        <v>32</v>
      </c>
      <c r="L691">
        <v>1</v>
      </c>
      <c r="M691" t="str">
        <f t="shared" si="10"/>
        <v>After 2020</v>
      </c>
    </row>
    <row r="692" spans="1:13">
      <c r="A692" t="s">
        <v>1103</v>
      </c>
      <c r="B692" t="s">
        <v>68</v>
      </c>
      <c r="C692" s="1">
        <v>43776</v>
      </c>
      <c r="D692" s="2">
        <v>1056939084</v>
      </c>
      <c r="E692" s="2">
        <v>154003</v>
      </c>
      <c r="F692">
        <v>75</v>
      </c>
      <c r="G692" s="2">
        <v>702463556</v>
      </c>
      <c r="H692" s="2">
        <v>8269225</v>
      </c>
      <c r="I692" s="2">
        <v>3347862526</v>
      </c>
      <c r="J692">
        <v>155</v>
      </c>
      <c r="K692">
        <v>57</v>
      </c>
      <c r="L692">
        <v>1</v>
      </c>
      <c r="M692" t="str">
        <f t="shared" si="10"/>
        <v>2010-2020</v>
      </c>
    </row>
    <row r="693" spans="1:13">
      <c r="A693" t="s">
        <v>1104</v>
      </c>
      <c r="B693" t="s">
        <v>1105</v>
      </c>
      <c r="C693" s="1">
        <v>45142</v>
      </c>
      <c r="D693" s="2">
        <v>36007719</v>
      </c>
      <c r="E693" s="2">
        <v>11757</v>
      </c>
      <c r="F693">
        <v>53</v>
      </c>
      <c r="G693" s="2">
        <v>66350451</v>
      </c>
      <c r="H693" s="2">
        <v>833138</v>
      </c>
      <c r="I693" s="2">
        <v>344537974</v>
      </c>
      <c r="J693">
        <v>16</v>
      </c>
      <c r="K693">
        <v>41</v>
      </c>
      <c r="L693">
        <v>1</v>
      </c>
      <c r="M693" t="str">
        <f t="shared" si="10"/>
        <v>After 2020</v>
      </c>
    </row>
    <row r="694" spans="1:13" hidden="1">
      <c r="A694" t="s">
        <v>1106</v>
      </c>
      <c r="B694" t="s">
        <v>1107</v>
      </c>
      <c r="C694" s="1">
        <v>45227</v>
      </c>
      <c r="D694" s="2">
        <v>214352397</v>
      </c>
      <c r="E694" s="2">
        <v>9450</v>
      </c>
      <c r="F694">
        <v>76</v>
      </c>
      <c r="G694" s="2">
        <v>240762258</v>
      </c>
      <c r="H694" s="2">
        <v>2003670</v>
      </c>
      <c r="I694">
        <v>190</v>
      </c>
      <c r="J694">
        <v>14</v>
      </c>
      <c r="L694">
        <v>0</v>
      </c>
      <c r="M694" t="str">
        <f t="shared" si="10"/>
        <v>After 2020</v>
      </c>
    </row>
    <row r="695" spans="1:13" hidden="1">
      <c r="A695" t="s">
        <v>1108</v>
      </c>
      <c r="B695" t="s">
        <v>1109</v>
      </c>
      <c r="C695" s="1">
        <v>44463</v>
      </c>
      <c r="D695" s="2">
        <v>1269607301</v>
      </c>
      <c r="E695" s="2">
        <v>124247</v>
      </c>
      <c r="F695">
        <v>71</v>
      </c>
      <c r="G695" s="2">
        <v>518912320</v>
      </c>
      <c r="H695" s="2">
        <v>17373598</v>
      </c>
      <c r="I695" s="2">
        <v>1700398150</v>
      </c>
      <c r="K695">
        <v>545</v>
      </c>
      <c r="L695">
        <v>0</v>
      </c>
      <c r="M695" t="str">
        <f t="shared" si="10"/>
        <v>After 2020</v>
      </c>
    </row>
    <row r="696" spans="1:13">
      <c r="A696" t="s">
        <v>1110</v>
      </c>
      <c r="B696" t="s">
        <v>1111</v>
      </c>
      <c r="C696" s="1">
        <v>44984</v>
      </c>
      <c r="D696" s="2">
        <v>157446814</v>
      </c>
      <c r="E696" s="2">
        <v>54118</v>
      </c>
      <c r="F696">
        <v>64</v>
      </c>
      <c r="G696" s="2">
        <v>120010894</v>
      </c>
      <c r="H696" s="2">
        <v>962140</v>
      </c>
      <c r="I696" s="2">
        <v>142468312</v>
      </c>
      <c r="J696">
        <v>31</v>
      </c>
      <c r="K696">
        <v>145</v>
      </c>
      <c r="L696">
        <v>1</v>
      </c>
      <c r="M696" t="str">
        <f t="shared" si="10"/>
        <v>After 2020</v>
      </c>
    </row>
    <row r="697" spans="1:13">
      <c r="A697" t="s">
        <v>1112</v>
      </c>
      <c r="B697" t="s">
        <v>1113</v>
      </c>
      <c r="C697" s="1">
        <v>44477</v>
      </c>
      <c r="D697" s="2">
        <v>248749251</v>
      </c>
      <c r="E697" s="2">
        <v>103369</v>
      </c>
      <c r="F697">
        <v>61</v>
      </c>
      <c r="G697" s="2">
        <v>318002064</v>
      </c>
      <c r="H697" s="2">
        <v>2874323</v>
      </c>
      <c r="I697" s="2">
        <v>142448123</v>
      </c>
      <c r="J697">
        <v>44</v>
      </c>
      <c r="K697">
        <v>178</v>
      </c>
      <c r="L697">
        <v>1</v>
      </c>
      <c r="M697" t="str">
        <f t="shared" si="10"/>
        <v>After 2020</v>
      </c>
    </row>
    <row r="698" spans="1:13" hidden="1">
      <c r="A698" t="s">
        <v>1114</v>
      </c>
      <c r="B698" t="s">
        <v>123</v>
      </c>
      <c r="C698" s="1">
        <v>42822</v>
      </c>
      <c r="D698" s="2">
        <v>473328</v>
      </c>
      <c r="E698">
        <v>17</v>
      </c>
      <c r="F698">
        <v>7</v>
      </c>
      <c r="G698" s="2">
        <v>3777105479</v>
      </c>
      <c r="H698" s="2">
        <v>15214286</v>
      </c>
      <c r="L698">
        <v>0</v>
      </c>
      <c r="M698" t="str">
        <f t="shared" si="10"/>
        <v>2010-2020</v>
      </c>
    </row>
    <row r="699" spans="1:13" hidden="1">
      <c r="A699" t="s">
        <v>1115</v>
      </c>
      <c r="B699" t="s">
        <v>602</v>
      </c>
      <c r="C699" s="1">
        <v>45210</v>
      </c>
      <c r="D699" s="2">
        <v>226233020</v>
      </c>
      <c r="E699" s="2">
        <v>14009</v>
      </c>
      <c r="F699">
        <v>77</v>
      </c>
      <c r="G699" s="2">
        <v>232513811</v>
      </c>
      <c r="H699" s="2">
        <v>1040989</v>
      </c>
      <c r="I699" s="2">
        <v>588601</v>
      </c>
      <c r="J699">
        <v>10</v>
      </c>
      <c r="L699">
        <v>0</v>
      </c>
      <c r="M699" t="str">
        <f t="shared" si="10"/>
        <v>After 2020</v>
      </c>
    </row>
    <row r="700" spans="1:13" hidden="1">
      <c r="A700" t="s">
        <v>1116</v>
      </c>
      <c r="B700" t="s">
        <v>258</v>
      </c>
      <c r="C700" s="1">
        <v>45372</v>
      </c>
      <c r="D700" s="2">
        <v>44416140</v>
      </c>
      <c r="E700" s="2">
        <v>3482</v>
      </c>
      <c r="G700" s="2">
        <v>37587721</v>
      </c>
      <c r="H700" s="2">
        <v>723249</v>
      </c>
      <c r="J700">
        <v>50</v>
      </c>
      <c r="K700">
        <v>316</v>
      </c>
      <c r="L700">
        <v>0</v>
      </c>
      <c r="M700" t="str">
        <f t="shared" si="10"/>
        <v>After 2020</v>
      </c>
    </row>
    <row r="701" spans="1:13">
      <c r="A701" t="s">
        <v>1117</v>
      </c>
      <c r="B701" t="s">
        <v>357</v>
      </c>
      <c r="C701" s="1">
        <v>43042</v>
      </c>
      <c r="D701" s="2">
        <v>1650167380</v>
      </c>
      <c r="E701" s="2">
        <v>145231</v>
      </c>
      <c r="F701">
        <v>66</v>
      </c>
      <c r="G701" s="2">
        <v>1225467157</v>
      </c>
      <c r="H701" s="2">
        <v>7096961</v>
      </c>
      <c r="I701" s="2">
        <v>405895763</v>
      </c>
      <c r="J701">
        <v>153</v>
      </c>
      <c r="K701">
        <v>152</v>
      </c>
      <c r="L701">
        <v>1</v>
      </c>
      <c r="M701" t="str">
        <f t="shared" si="10"/>
        <v>2010-2020</v>
      </c>
    </row>
    <row r="702" spans="1:13" hidden="1">
      <c r="A702" t="s">
        <v>1118</v>
      </c>
      <c r="B702" t="s">
        <v>295</v>
      </c>
      <c r="C702" s="1">
        <v>45184</v>
      </c>
      <c r="D702" s="2">
        <v>202169670</v>
      </c>
      <c r="E702" s="2">
        <v>54946</v>
      </c>
      <c r="G702" s="2">
        <v>4800069</v>
      </c>
      <c r="H702" s="2">
        <v>76129</v>
      </c>
      <c r="I702" s="2">
        <v>26954111</v>
      </c>
      <c r="J702">
        <v>29</v>
      </c>
      <c r="K702">
        <v>10</v>
      </c>
      <c r="L702">
        <v>1</v>
      </c>
      <c r="M702" t="str">
        <f t="shared" si="10"/>
        <v>After 2020</v>
      </c>
    </row>
    <row r="703" spans="1:13">
      <c r="A703" t="s">
        <v>1119</v>
      </c>
      <c r="B703" t="s">
        <v>51</v>
      </c>
      <c r="C703" s="1">
        <v>44147</v>
      </c>
      <c r="D703" s="2">
        <v>805133547</v>
      </c>
      <c r="E703" s="2">
        <v>132298</v>
      </c>
      <c r="F703">
        <v>67</v>
      </c>
      <c r="G703" s="2">
        <v>357556016</v>
      </c>
      <c r="H703" s="2">
        <v>9930750</v>
      </c>
      <c r="I703" s="2">
        <v>2252801256</v>
      </c>
      <c r="J703">
        <v>229</v>
      </c>
      <c r="K703" s="2">
        <v>1356</v>
      </c>
      <c r="L703">
        <v>0</v>
      </c>
      <c r="M703" t="str">
        <f t="shared" si="10"/>
        <v>2010-2020</v>
      </c>
    </row>
    <row r="704" spans="1:13">
      <c r="A704" t="s">
        <v>1120</v>
      </c>
      <c r="B704" t="s">
        <v>256</v>
      </c>
      <c r="C704" s="1">
        <v>45030</v>
      </c>
      <c r="D704" s="2">
        <v>245513981</v>
      </c>
      <c r="E704" s="2">
        <v>37111</v>
      </c>
      <c r="F704">
        <v>71</v>
      </c>
      <c r="G704" s="2">
        <v>99697837</v>
      </c>
      <c r="H704" s="2">
        <v>1375852</v>
      </c>
      <c r="I704" s="2">
        <v>76397270</v>
      </c>
      <c r="J704">
        <v>66</v>
      </c>
      <c r="K704">
        <v>97</v>
      </c>
      <c r="L704">
        <v>0</v>
      </c>
      <c r="M704" t="str">
        <f t="shared" si="10"/>
        <v>After 2020</v>
      </c>
    </row>
    <row r="705" spans="1:13" hidden="1">
      <c r="A705" t="s">
        <v>1121</v>
      </c>
      <c r="B705" t="s">
        <v>112</v>
      </c>
      <c r="C705" s="1">
        <v>43301</v>
      </c>
      <c r="G705" s="2">
        <v>3090849766</v>
      </c>
      <c r="H705" s="2">
        <v>18323060</v>
      </c>
      <c r="L705">
        <v>0</v>
      </c>
      <c r="M705" t="str">
        <f t="shared" si="10"/>
        <v>2010-2020</v>
      </c>
    </row>
    <row r="706" spans="1:13">
      <c r="A706" t="s">
        <v>1122</v>
      </c>
      <c r="B706" t="s">
        <v>311</v>
      </c>
      <c r="C706" s="1">
        <v>42045</v>
      </c>
      <c r="D706" s="2">
        <v>1907768690</v>
      </c>
      <c r="E706" s="2">
        <v>170905</v>
      </c>
      <c r="F706">
        <v>69</v>
      </c>
      <c r="G706" s="2">
        <v>2115112270</v>
      </c>
      <c r="H706" s="2">
        <v>16309142</v>
      </c>
      <c r="I706" s="2">
        <v>403748250</v>
      </c>
      <c r="J706">
        <v>206</v>
      </c>
      <c r="K706">
        <v>259</v>
      </c>
      <c r="L706">
        <v>0</v>
      </c>
      <c r="M706" t="str">
        <f t="shared" si="10"/>
        <v>2010-2020</v>
      </c>
    </row>
    <row r="707" spans="1:13">
      <c r="A707" t="s">
        <v>1123</v>
      </c>
      <c r="B707" t="s">
        <v>1124</v>
      </c>
      <c r="C707" s="1">
        <v>45135</v>
      </c>
      <c r="D707" s="2">
        <v>212122034</v>
      </c>
      <c r="E707" s="2">
        <v>61462</v>
      </c>
      <c r="F707">
        <v>80</v>
      </c>
      <c r="G707" s="2">
        <v>49794673</v>
      </c>
      <c r="H707" s="2">
        <v>997193</v>
      </c>
      <c r="I707" s="2">
        <v>555529368</v>
      </c>
      <c r="J707">
        <v>78</v>
      </c>
      <c r="K707">
        <v>183</v>
      </c>
      <c r="L707">
        <v>0</v>
      </c>
      <c r="M707" t="str">
        <f t="shared" ref="M707:M770" si="11">IF(YEAR(C707)&lt;2010,"Before 2010",IF(YEAR(C707)&lt;=2020,"2010-2020","After 2020"))</f>
        <v>After 2020</v>
      </c>
    </row>
    <row r="708" spans="1:13" hidden="1">
      <c r="A708" t="s">
        <v>1125</v>
      </c>
      <c r="B708" t="s">
        <v>345</v>
      </c>
      <c r="C708" s="1">
        <v>45231</v>
      </c>
      <c r="D708" s="2">
        <v>12375503</v>
      </c>
      <c r="E708" s="2">
        <v>1146</v>
      </c>
      <c r="G708" s="2">
        <v>4496444</v>
      </c>
      <c r="H708" s="2">
        <v>25217</v>
      </c>
      <c r="I708" s="2">
        <v>68519117</v>
      </c>
      <c r="J708">
        <v>5</v>
      </c>
      <c r="K708">
        <v>2</v>
      </c>
      <c r="L708">
        <v>0</v>
      </c>
      <c r="M708" t="str">
        <f t="shared" si="11"/>
        <v>After 2020</v>
      </c>
    </row>
    <row r="709" spans="1:13" hidden="1">
      <c r="A709" t="s">
        <v>1126</v>
      </c>
      <c r="B709" t="s">
        <v>1127</v>
      </c>
      <c r="C709" s="1">
        <v>45163</v>
      </c>
      <c r="D709" s="2">
        <v>98795736</v>
      </c>
      <c r="E709" s="2">
        <v>8721</v>
      </c>
      <c r="F709">
        <v>67</v>
      </c>
      <c r="G709" s="2">
        <v>236734405</v>
      </c>
      <c r="H709" s="2">
        <v>1554966</v>
      </c>
      <c r="I709" s="2">
        <v>319127773</v>
      </c>
      <c r="J709">
        <v>8</v>
      </c>
      <c r="L709">
        <v>1</v>
      </c>
      <c r="M709" t="str">
        <f t="shared" si="11"/>
        <v>After 2020</v>
      </c>
    </row>
    <row r="710" spans="1:13">
      <c r="A710" t="s">
        <v>1128</v>
      </c>
      <c r="B710" t="s">
        <v>1129</v>
      </c>
      <c r="C710" s="1">
        <v>44930</v>
      </c>
      <c r="D710" s="2">
        <v>134208327</v>
      </c>
      <c r="E710" s="2">
        <v>45328</v>
      </c>
      <c r="F710">
        <v>61</v>
      </c>
      <c r="G710" s="2">
        <v>93787998</v>
      </c>
      <c r="H710" s="2">
        <v>947363</v>
      </c>
      <c r="I710" s="2">
        <v>2460084219</v>
      </c>
      <c r="J710">
        <v>16</v>
      </c>
      <c r="K710">
        <v>29</v>
      </c>
      <c r="L710">
        <v>0</v>
      </c>
      <c r="M710" t="str">
        <f t="shared" si="11"/>
        <v>After 2020</v>
      </c>
    </row>
    <row r="711" spans="1:13" hidden="1">
      <c r="A711" t="s">
        <v>1130</v>
      </c>
      <c r="B711" t="s">
        <v>1131</v>
      </c>
      <c r="C711" s="1">
        <v>45266</v>
      </c>
      <c r="D711" s="2">
        <v>56885072</v>
      </c>
      <c r="E711" s="2">
        <v>4639</v>
      </c>
      <c r="G711" s="2">
        <v>221866727</v>
      </c>
      <c r="H711" s="2">
        <v>3018127</v>
      </c>
      <c r="J711">
        <v>7</v>
      </c>
      <c r="L711">
        <v>0</v>
      </c>
      <c r="M711" t="str">
        <f t="shared" si="11"/>
        <v>After 2020</v>
      </c>
    </row>
    <row r="712" spans="1:13">
      <c r="A712" t="s">
        <v>1132</v>
      </c>
      <c r="B712" t="s">
        <v>295</v>
      </c>
      <c r="C712" s="1">
        <v>44442</v>
      </c>
      <c r="D712" s="2">
        <v>819136167</v>
      </c>
      <c r="E712" s="2">
        <v>220374</v>
      </c>
      <c r="F712">
        <v>75</v>
      </c>
      <c r="G712" s="2">
        <v>173633158</v>
      </c>
      <c r="H712" s="2">
        <v>1399290</v>
      </c>
      <c r="I712" s="2">
        <v>327393753</v>
      </c>
      <c r="J712">
        <v>67</v>
      </c>
      <c r="K712">
        <v>81</v>
      </c>
      <c r="L712">
        <v>1</v>
      </c>
      <c r="M712" t="str">
        <f t="shared" si="11"/>
        <v>After 2020</v>
      </c>
    </row>
    <row r="713" spans="1:13">
      <c r="A713" t="s">
        <v>1133</v>
      </c>
      <c r="B713" t="s">
        <v>576</v>
      </c>
      <c r="C713" s="1">
        <v>42930</v>
      </c>
      <c r="D713" s="2">
        <v>709559454</v>
      </c>
      <c r="E713" s="2">
        <v>66677</v>
      </c>
      <c r="F713">
        <v>66</v>
      </c>
      <c r="G713" s="2">
        <v>2660240919</v>
      </c>
      <c r="H713" s="2">
        <v>9901740</v>
      </c>
      <c r="I713" s="2">
        <v>258215382</v>
      </c>
      <c r="J713">
        <v>84</v>
      </c>
      <c r="K713">
        <v>117</v>
      </c>
      <c r="L713">
        <v>0</v>
      </c>
      <c r="M713" t="str">
        <f t="shared" si="11"/>
        <v>2010-2020</v>
      </c>
    </row>
    <row r="714" spans="1:13">
      <c r="A714" t="s">
        <v>1134</v>
      </c>
      <c r="B714" t="s">
        <v>332</v>
      </c>
      <c r="C714" s="1">
        <v>44897</v>
      </c>
      <c r="D714" s="2">
        <v>558560568</v>
      </c>
      <c r="E714" s="2">
        <v>61360</v>
      </c>
      <c r="F714">
        <v>75</v>
      </c>
      <c r="G714" s="2">
        <v>228242847</v>
      </c>
      <c r="H714" s="2">
        <v>852495</v>
      </c>
      <c r="I714" s="2">
        <v>1339213086</v>
      </c>
      <c r="J714">
        <v>44</v>
      </c>
      <c r="K714">
        <v>94</v>
      </c>
      <c r="L714">
        <v>1</v>
      </c>
      <c r="M714" t="str">
        <f t="shared" si="11"/>
        <v>After 2020</v>
      </c>
    </row>
    <row r="715" spans="1:13" hidden="1">
      <c r="A715" t="s">
        <v>1135</v>
      </c>
      <c r="B715" t="s">
        <v>155</v>
      </c>
      <c r="C715" s="1">
        <v>45394</v>
      </c>
      <c r="D715" s="2">
        <v>340239513</v>
      </c>
      <c r="E715">
        <v>161</v>
      </c>
      <c r="J715">
        <v>1</v>
      </c>
      <c r="L715">
        <v>0</v>
      </c>
      <c r="M715" t="str">
        <f t="shared" si="11"/>
        <v>After 2020</v>
      </c>
    </row>
    <row r="716" spans="1:13">
      <c r="A716" t="s">
        <v>1136</v>
      </c>
      <c r="B716" t="s">
        <v>1071</v>
      </c>
      <c r="C716" s="1">
        <v>45128</v>
      </c>
      <c r="D716" s="2">
        <v>155443055</v>
      </c>
      <c r="E716" s="2">
        <v>28835</v>
      </c>
      <c r="F716">
        <v>68</v>
      </c>
      <c r="G716" s="2">
        <v>38442511</v>
      </c>
      <c r="H716" s="2">
        <v>291339</v>
      </c>
      <c r="I716" s="2">
        <v>47123023</v>
      </c>
      <c r="J716">
        <v>29</v>
      </c>
      <c r="K716">
        <v>13</v>
      </c>
      <c r="L716">
        <v>0</v>
      </c>
      <c r="M716" t="str">
        <f t="shared" si="11"/>
        <v>After 2020</v>
      </c>
    </row>
    <row r="717" spans="1:13">
      <c r="A717" t="s">
        <v>1137</v>
      </c>
      <c r="B717" t="s">
        <v>163</v>
      </c>
      <c r="C717" s="1">
        <v>45128</v>
      </c>
      <c r="D717" s="2">
        <v>221287566</v>
      </c>
      <c r="E717" s="2">
        <v>20975</v>
      </c>
      <c r="F717">
        <v>70</v>
      </c>
      <c r="G717" s="2">
        <v>291073034</v>
      </c>
      <c r="H717" s="2">
        <v>1012209</v>
      </c>
      <c r="I717" s="2">
        <v>131877555</v>
      </c>
      <c r="J717">
        <v>7</v>
      </c>
      <c r="K717">
        <v>1</v>
      </c>
      <c r="L717">
        <v>0</v>
      </c>
      <c r="M717" t="str">
        <f t="shared" si="11"/>
        <v>After 2020</v>
      </c>
    </row>
    <row r="718" spans="1:13" hidden="1">
      <c r="A718" t="s">
        <v>1138</v>
      </c>
      <c r="B718" t="s">
        <v>1139</v>
      </c>
      <c r="C718" s="1">
        <v>45114</v>
      </c>
      <c r="D718" s="2">
        <v>161280933</v>
      </c>
      <c r="E718" s="2">
        <v>17882</v>
      </c>
      <c r="F718">
        <v>66</v>
      </c>
      <c r="G718" s="2">
        <v>289561672</v>
      </c>
      <c r="H718" s="2">
        <v>967949</v>
      </c>
      <c r="I718" s="2">
        <v>348308009</v>
      </c>
      <c r="J718">
        <v>6</v>
      </c>
      <c r="L718">
        <v>0</v>
      </c>
      <c r="M718" t="str">
        <f t="shared" si="11"/>
        <v>After 2020</v>
      </c>
    </row>
    <row r="719" spans="1:13">
      <c r="A719" t="s">
        <v>1140</v>
      </c>
      <c r="B719" t="s">
        <v>1141</v>
      </c>
      <c r="C719" s="1">
        <v>44890</v>
      </c>
      <c r="D719" s="2">
        <v>21236593</v>
      </c>
      <c r="E719" s="2">
        <v>6366</v>
      </c>
      <c r="F719">
        <v>52</v>
      </c>
      <c r="G719" s="2">
        <v>173334286</v>
      </c>
      <c r="H719" s="2">
        <v>660871</v>
      </c>
      <c r="I719" s="2">
        <v>618545163</v>
      </c>
      <c r="J719">
        <v>3</v>
      </c>
      <c r="K719">
        <v>1</v>
      </c>
      <c r="L719">
        <v>0</v>
      </c>
      <c r="M719" t="str">
        <f t="shared" si="11"/>
        <v>After 2020</v>
      </c>
    </row>
    <row r="720" spans="1:13">
      <c r="A720" t="s">
        <v>1142</v>
      </c>
      <c r="B720" t="s">
        <v>68</v>
      </c>
      <c r="C720" s="1">
        <v>44371</v>
      </c>
      <c r="D720" s="2">
        <v>831648193</v>
      </c>
      <c r="E720" s="2">
        <v>119953</v>
      </c>
      <c r="F720">
        <v>72</v>
      </c>
      <c r="G720" s="2">
        <v>379404120</v>
      </c>
      <c r="H720" s="2">
        <v>3991416</v>
      </c>
      <c r="I720" s="2">
        <v>397005694</v>
      </c>
      <c r="J720">
        <v>131</v>
      </c>
      <c r="K720">
        <v>665</v>
      </c>
      <c r="L720">
        <v>1</v>
      </c>
      <c r="M720" t="str">
        <f t="shared" si="11"/>
        <v>After 2020</v>
      </c>
    </row>
    <row r="721" spans="1:13">
      <c r="A721" t="s">
        <v>1143</v>
      </c>
      <c r="B721" t="s">
        <v>602</v>
      </c>
      <c r="C721" s="1">
        <v>44889</v>
      </c>
      <c r="D721" s="2">
        <v>674025091</v>
      </c>
      <c r="E721" s="2">
        <v>51522</v>
      </c>
      <c r="F721">
        <v>70</v>
      </c>
      <c r="G721" s="2">
        <v>323942993</v>
      </c>
      <c r="H721" s="2">
        <v>1575190</v>
      </c>
      <c r="I721" s="2">
        <v>1294755383</v>
      </c>
      <c r="J721">
        <v>34</v>
      </c>
      <c r="K721">
        <v>13</v>
      </c>
      <c r="L721">
        <v>1</v>
      </c>
      <c r="M721" t="str">
        <f t="shared" si="11"/>
        <v>After 2020</v>
      </c>
    </row>
    <row r="722" spans="1:13">
      <c r="A722" t="s">
        <v>1144</v>
      </c>
      <c r="B722" t="s">
        <v>59</v>
      </c>
      <c r="C722" s="1">
        <v>44175</v>
      </c>
      <c r="D722" s="2">
        <v>700122551</v>
      </c>
      <c r="E722" s="2">
        <v>99936</v>
      </c>
      <c r="F722">
        <v>68</v>
      </c>
      <c r="G722" s="2">
        <v>1036334853</v>
      </c>
      <c r="H722" s="2">
        <v>4939844</v>
      </c>
      <c r="I722" s="2">
        <v>363627962</v>
      </c>
      <c r="J722">
        <v>81</v>
      </c>
      <c r="K722">
        <v>27</v>
      </c>
      <c r="L722">
        <v>0</v>
      </c>
      <c r="M722" t="str">
        <f t="shared" si="11"/>
        <v>2010-2020</v>
      </c>
    </row>
    <row r="723" spans="1:13" hidden="1">
      <c r="A723" t="s">
        <v>1145</v>
      </c>
      <c r="B723" t="s">
        <v>1146</v>
      </c>
      <c r="C723" s="1">
        <v>45387</v>
      </c>
      <c r="D723" s="2">
        <v>17310258</v>
      </c>
      <c r="E723" s="2">
        <v>1840</v>
      </c>
      <c r="G723" s="2">
        <v>43892777</v>
      </c>
      <c r="H723" s="2">
        <v>368031</v>
      </c>
      <c r="I723" s="2">
        <v>1314113353</v>
      </c>
      <c r="J723">
        <v>20</v>
      </c>
      <c r="K723">
        <v>12</v>
      </c>
      <c r="L723">
        <v>0</v>
      </c>
      <c r="M723" t="str">
        <f t="shared" si="11"/>
        <v>After 2020</v>
      </c>
    </row>
    <row r="724" spans="1:13">
      <c r="A724" t="s">
        <v>1147</v>
      </c>
      <c r="B724" t="s">
        <v>1148</v>
      </c>
      <c r="C724" s="1">
        <v>44953</v>
      </c>
      <c r="D724" s="2">
        <v>545234876</v>
      </c>
      <c r="E724" s="2">
        <v>38598</v>
      </c>
      <c r="F724">
        <v>76</v>
      </c>
      <c r="G724" s="2">
        <v>178469204</v>
      </c>
      <c r="H724" s="2">
        <v>907782</v>
      </c>
      <c r="I724" s="2">
        <v>1417345345</v>
      </c>
      <c r="J724">
        <v>15</v>
      </c>
      <c r="K724">
        <v>12</v>
      </c>
      <c r="L724">
        <v>1</v>
      </c>
      <c r="M724" t="str">
        <f t="shared" si="11"/>
        <v>After 2020</v>
      </c>
    </row>
    <row r="725" spans="1:13" hidden="1">
      <c r="A725" t="s">
        <v>1149</v>
      </c>
      <c r="B725" t="s">
        <v>1150</v>
      </c>
      <c r="C725" s="1">
        <v>45266</v>
      </c>
      <c r="D725" s="2">
        <v>4561175</v>
      </c>
      <c r="E725" s="2">
        <v>1911</v>
      </c>
      <c r="G725" s="2">
        <v>5599363</v>
      </c>
      <c r="H725" s="2">
        <v>109997</v>
      </c>
      <c r="I725" s="2">
        <v>16150470</v>
      </c>
      <c r="J725">
        <v>2</v>
      </c>
      <c r="L725">
        <v>0</v>
      </c>
      <c r="M725" t="str">
        <f t="shared" si="11"/>
        <v>After 2020</v>
      </c>
    </row>
    <row r="726" spans="1:13" hidden="1">
      <c r="A726" t="s">
        <v>1151</v>
      </c>
      <c r="B726" t="s">
        <v>1152</v>
      </c>
      <c r="C726" s="1">
        <v>44106</v>
      </c>
      <c r="D726" s="2">
        <v>48929060</v>
      </c>
      <c r="E726" s="2">
        <v>4295</v>
      </c>
      <c r="F726">
        <v>52</v>
      </c>
      <c r="G726" s="2">
        <v>1736697874</v>
      </c>
      <c r="H726" s="2">
        <v>8477892</v>
      </c>
      <c r="I726" s="2">
        <v>163717881</v>
      </c>
      <c r="J726">
        <v>1</v>
      </c>
      <c r="L726">
        <v>0</v>
      </c>
      <c r="M726" t="str">
        <f t="shared" si="11"/>
        <v>2010-2020</v>
      </c>
    </row>
    <row r="727" spans="1:13" hidden="1">
      <c r="A727" t="s">
        <v>1153</v>
      </c>
      <c r="B727" t="s">
        <v>772</v>
      </c>
      <c r="C727" s="1">
        <v>45268</v>
      </c>
      <c r="D727" s="2">
        <v>167977668</v>
      </c>
      <c r="E727" s="2">
        <v>24101</v>
      </c>
      <c r="G727" s="2">
        <v>38901823</v>
      </c>
      <c r="H727" s="2">
        <v>551972</v>
      </c>
      <c r="I727" s="2">
        <v>13158593</v>
      </c>
      <c r="J727">
        <v>29</v>
      </c>
      <c r="K727">
        <v>740</v>
      </c>
      <c r="L727">
        <v>1</v>
      </c>
      <c r="M727" t="str">
        <f t="shared" si="11"/>
        <v>After 2020</v>
      </c>
    </row>
    <row r="728" spans="1:13">
      <c r="A728" t="s">
        <v>1154</v>
      </c>
      <c r="B728" t="s">
        <v>686</v>
      </c>
      <c r="C728" s="1">
        <v>43956</v>
      </c>
      <c r="D728" s="2">
        <v>699336080</v>
      </c>
      <c r="E728" s="2">
        <v>126934</v>
      </c>
      <c r="F728">
        <v>68</v>
      </c>
      <c r="G728" s="2">
        <v>363333168</v>
      </c>
      <c r="H728" s="2">
        <v>3159553</v>
      </c>
      <c r="I728" s="2">
        <v>42692526</v>
      </c>
      <c r="J728">
        <v>177</v>
      </c>
      <c r="K728">
        <v>13</v>
      </c>
      <c r="L728">
        <v>1</v>
      </c>
      <c r="M728" t="str">
        <f t="shared" si="11"/>
        <v>2010-2020</v>
      </c>
    </row>
    <row r="729" spans="1:13">
      <c r="A729" t="s">
        <v>1155</v>
      </c>
      <c r="B729" t="s">
        <v>1156</v>
      </c>
      <c r="C729" s="1">
        <v>44895</v>
      </c>
      <c r="D729" s="2">
        <v>716829483</v>
      </c>
      <c r="E729" s="2">
        <v>99063</v>
      </c>
      <c r="F729">
        <v>68</v>
      </c>
      <c r="G729" s="2">
        <v>131057530</v>
      </c>
      <c r="H729" s="2">
        <v>1300009</v>
      </c>
      <c r="I729" s="2">
        <v>348775704</v>
      </c>
      <c r="J729">
        <v>59</v>
      </c>
      <c r="K729">
        <v>11</v>
      </c>
      <c r="L729">
        <v>1</v>
      </c>
      <c r="M729" t="str">
        <f t="shared" si="11"/>
        <v>After 2020</v>
      </c>
    </row>
    <row r="730" spans="1:13" hidden="1">
      <c r="A730" t="s">
        <v>1157</v>
      </c>
      <c r="B730" t="s">
        <v>1158</v>
      </c>
      <c r="C730" s="1">
        <v>45345</v>
      </c>
      <c r="D730" s="2">
        <v>3475009</v>
      </c>
      <c r="E730">
        <v>328</v>
      </c>
      <c r="G730" s="2">
        <v>3869518</v>
      </c>
      <c r="H730" s="2">
        <v>43717</v>
      </c>
      <c r="I730" s="2">
        <v>50840</v>
      </c>
      <c r="J730">
        <v>7</v>
      </c>
      <c r="L730">
        <v>0</v>
      </c>
      <c r="M730" t="str">
        <f t="shared" si="11"/>
        <v>After 2020</v>
      </c>
    </row>
    <row r="731" spans="1:13">
      <c r="A731" t="s">
        <v>1159</v>
      </c>
      <c r="B731" t="s">
        <v>479</v>
      </c>
      <c r="C731" s="1">
        <v>41275</v>
      </c>
      <c r="D731" s="2">
        <v>1156191242</v>
      </c>
      <c r="E731" s="2">
        <v>146653</v>
      </c>
      <c r="F731">
        <v>73</v>
      </c>
      <c r="G731" s="2">
        <v>4386626671</v>
      </c>
      <c r="H731" s="2">
        <v>19822950</v>
      </c>
      <c r="I731" s="2">
        <v>385015724</v>
      </c>
      <c r="J731">
        <v>237</v>
      </c>
      <c r="K731">
        <v>284</v>
      </c>
      <c r="L731">
        <v>0</v>
      </c>
      <c r="M731" t="str">
        <f t="shared" si="11"/>
        <v>2010-2020</v>
      </c>
    </row>
    <row r="732" spans="1:13">
      <c r="A732" t="s">
        <v>1160</v>
      </c>
      <c r="B732" t="s">
        <v>701</v>
      </c>
      <c r="C732" s="1">
        <v>43624</v>
      </c>
      <c r="D732" s="2">
        <v>1030515485</v>
      </c>
      <c r="E732" s="2">
        <v>157003</v>
      </c>
      <c r="F732">
        <v>70</v>
      </c>
      <c r="G732" s="2">
        <v>809218963</v>
      </c>
      <c r="H732" s="2">
        <v>5861900</v>
      </c>
      <c r="I732" s="2">
        <v>451934036</v>
      </c>
      <c r="J732">
        <v>185</v>
      </c>
      <c r="K732">
        <v>7</v>
      </c>
      <c r="L732">
        <v>1</v>
      </c>
      <c r="M732" t="str">
        <f t="shared" si="11"/>
        <v>2010-2020</v>
      </c>
    </row>
    <row r="733" spans="1:13">
      <c r="A733" t="s">
        <v>1161</v>
      </c>
      <c r="B733" t="s">
        <v>81</v>
      </c>
      <c r="C733" s="1">
        <v>44134</v>
      </c>
      <c r="D733" s="2">
        <v>978617707</v>
      </c>
      <c r="E733" s="2">
        <v>97191</v>
      </c>
      <c r="F733">
        <v>70</v>
      </c>
      <c r="G733" s="2">
        <v>722372895</v>
      </c>
      <c r="H733" s="2">
        <v>11582120</v>
      </c>
      <c r="I733" s="2">
        <v>359903081</v>
      </c>
      <c r="J733">
        <v>109</v>
      </c>
      <c r="K733">
        <v>514</v>
      </c>
      <c r="L733">
        <v>1</v>
      </c>
      <c r="M733" t="str">
        <f t="shared" si="11"/>
        <v>2010-2020</v>
      </c>
    </row>
    <row r="734" spans="1:13">
      <c r="A734" t="s">
        <v>1162</v>
      </c>
      <c r="B734" t="s">
        <v>252</v>
      </c>
      <c r="C734" s="1">
        <v>44386</v>
      </c>
      <c r="D734" s="2">
        <v>675763141</v>
      </c>
      <c r="E734" s="2">
        <v>43682</v>
      </c>
      <c r="F734">
        <v>68</v>
      </c>
      <c r="G734" s="2">
        <v>881072427</v>
      </c>
      <c r="H734" s="2">
        <v>29073682</v>
      </c>
      <c r="I734" s="2">
        <v>3653167411</v>
      </c>
      <c r="J734">
        <v>120</v>
      </c>
      <c r="K734">
        <v>82</v>
      </c>
      <c r="L734">
        <v>0</v>
      </c>
      <c r="M734" t="str">
        <f t="shared" si="11"/>
        <v>After 2020</v>
      </c>
    </row>
    <row r="735" spans="1:13" hidden="1">
      <c r="A735" t="s">
        <v>1163</v>
      </c>
      <c r="B735" t="s">
        <v>504</v>
      </c>
      <c r="C735" s="1">
        <v>43161</v>
      </c>
      <c r="D735" s="2">
        <v>1366479990</v>
      </c>
      <c r="E735" s="2">
        <v>171651</v>
      </c>
      <c r="F735">
        <v>70</v>
      </c>
      <c r="G735" s="2">
        <v>1002422657</v>
      </c>
      <c r="H735" s="2">
        <v>14134657</v>
      </c>
      <c r="I735" s="2">
        <v>1763949180</v>
      </c>
      <c r="J735">
        <v>31</v>
      </c>
      <c r="L735">
        <v>0</v>
      </c>
      <c r="M735" t="str">
        <f t="shared" si="11"/>
        <v>2010-2020</v>
      </c>
    </row>
    <row r="736" spans="1:13">
      <c r="A736" t="s">
        <v>1164</v>
      </c>
      <c r="B736" t="s">
        <v>1165</v>
      </c>
      <c r="C736" s="1">
        <v>45329</v>
      </c>
      <c r="D736" s="2">
        <v>167431139</v>
      </c>
      <c r="E736" s="2">
        <v>10335</v>
      </c>
      <c r="F736">
        <v>90</v>
      </c>
      <c r="G736" s="2">
        <v>28987197</v>
      </c>
      <c r="H736" s="2">
        <v>443524</v>
      </c>
      <c r="I736" s="2">
        <v>235871001</v>
      </c>
      <c r="J736">
        <v>26</v>
      </c>
      <c r="K736">
        <v>416</v>
      </c>
      <c r="L736">
        <v>1</v>
      </c>
      <c r="M736" t="str">
        <f t="shared" si="11"/>
        <v>After 2020</v>
      </c>
    </row>
    <row r="737" spans="1:13" hidden="1">
      <c r="A737" t="s">
        <v>1166</v>
      </c>
      <c r="B737" t="s">
        <v>1167</v>
      </c>
      <c r="C737" s="1">
        <v>45422</v>
      </c>
      <c r="D737" s="2">
        <v>26972053</v>
      </c>
      <c r="E737" s="2">
        <v>3364</v>
      </c>
      <c r="F737">
        <v>76</v>
      </c>
      <c r="G737" s="2">
        <v>18860058</v>
      </c>
      <c r="H737" s="2">
        <v>231781</v>
      </c>
      <c r="J737">
        <v>22</v>
      </c>
      <c r="L737">
        <v>0</v>
      </c>
      <c r="M737" t="str">
        <f t="shared" si="11"/>
        <v>After 2020</v>
      </c>
    </row>
    <row r="738" spans="1:13">
      <c r="A738" t="s">
        <v>1168</v>
      </c>
      <c r="B738" t="s">
        <v>1169</v>
      </c>
      <c r="C738" s="1">
        <v>43340</v>
      </c>
      <c r="D738" s="2">
        <v>952626904</v>
      </c>
      <c r="E738" s="2">
        <v>151446</v>
      </c>
      <c r="F738">
        <v>16</v>
      </c>
      <c r="G738" s="2">
        <v>195696821</v>
      </c>
      <c r="H738" s="2">
        <v>2597296</v>
      </c>
      <c r="I738" s="2">
        <v>2800998751</v>
      </c>
      <c r="J738">
        <v>217</v>
      </c>
      <c r="K738">
        <v>381</v>
      </c>
      <c r="L738">
        <v>0</v>
      </c>
      <c r="M738" t="str">
        <f t="shared" si="11"/>
        <v>2010-2020</v>
      </c>
    </row>
    <row r="739" spans="1:13" hidden="1">
      <c r="A739" t="s">
        <v>1170</v>
      </c>
      <c r="B739" t="s">
        <v>1171</v>
      </c>
      <c r="C739" s="1">
        <v>45119</v>
      </c>
      <c r="D739" s="2">
        <v>75152048</v>
      </c>
      <c r="E739" s="2">
        <v>8540</v>
      </c>
      <c r="F739">
        <v>62</v>
      </c>
      <c r="G739" s="2">
        <v>386890237</v>
      </c>
      <c r="H739" s="2">
        <v>4145747</v>
      </c>
      <c r="I739" s="2">
        <v>1152931</v>
      </c>
      <c r="J739">
        <v>2</v>
      </c>
      <c r="L739">
        <v>0</v>
      </c>
      <c r="M739" t="str">
        <f t="shared" si="11"/>
        <v>After 2020</v>
      </c>
    </row>
    <row r="740" spans="1:13" hidden="1">
      <c r="A740" t="s">
        <v>1172</v>
      </c>
      <c r="B740" t="s">
        <v>1139</v>
      </c>
      <c r="C740" s="1">
        <v>45296</v>
      </c>
      <c r="D740" s="2">
        <v>110573724</v>
      </c>
      <c r="E740" s="2">
        <v>10663</v>
      </c>
      <c r="F740">
        <v>69</v>
      </c>
      <c r="G740" s="2">
        <v>143032680</v>
      </c>
      <c r="H740" s="2">
        <v>568468</v>
      </c>
      <c r="I740" s="2">
        <v>6600</v>
      </c>
      <c r="J740">
        <v>11</v>
      </c>
      <c r="L740">
        <v>0</v>
      </c>
      <c r="M740" t="str">
        <f t="shared" si="11"/>
        <v>After 2020</v>
      </c>
    </row>
    <row r="741" spans="1:13">
      <c r="A741" t="s">
        <v>1173</v>
      </c>
      <c r="B741" t="s">
        <v>1174</v>
      </c>
      <c r="C741" s="1">
        <v>43357</v>
      </c>
      <c r="D741" s="2">
        <v>1355539058</v>
      </c>
      <c r="E741" s="2">
        <v>108485</v>
      </c>
      <c r="F741">
        <v>72</v>
      </c>
      <c r="G741" s="2">
        <v>1260752640</v>
      </c>
      <c r="H741" s="2">
        <v>6104356</v>
      </c>
      <c r="I741" s="2">
        <v>1105088867</v>
      </c>
      <c r="J741">
        <v>160</v>
      </c>
      <c r="K741">
        <v>193</v>
      </c>
      <c r="L741">
        <v>0</v>
      </c>
      <c r="M741" t="str">
        <f t="shared" si="11"/>
        <v>2010-2020</v>
      </c>
    </row>
    <row r="742" spans="1:13">
      <c r="A742" t="s">
        <v>1175</v>
      </c>
      <c r="B742" t="s">
        <v>123</v>
      </c>
      <c r="C742" s="1">
        <v>43595</v>
      </c>
      <c r="D742" s="2">
        <v>1816356140</v>
      </c>
      <c r="E742" s="2">
        <v>156748</v>
      </c>
      <c r="F742">
        <v>70</v>
      </c>
      <c r="G742" s="2">
        <v>1095859229</v>
      </c>
      <c r="H742" s="2">
        <v>11144552</v>
      </c>
      <c r="I742" s="2">
        <v>246666552</v>
      </c>
      <c r="J742">
        <v>46</v>
      </c>
      <c r="K742">
        <v>224</v>
      </c>
      <c r="L742">
        <v>1</v>
      </c>
      <c r="M742" t="str">
        <f t="shared" si="11"/>
        <v>2010-2020</v>
      </c>
    </row>
    <row r="743" spans="1:13">
      <c r="A743" t="s">
        <v>1176</v>
      </c>
      <c r="B743" t="s">
        <v>1177</v>
      </c>
      <c r="C743" s="1">
        <v>45015</v>
      </c>
      <c r="D743" s="2">
        <v>218035732</v>
      </c>
      <c r="E743" s="2">
        <v>36861</v>
      </c>
      <c r="F743">
        <v>72</v>
      </c>
      <c r="G743" s="2">
        <v>87739719</v>
      </c>
      <c r="H743" s="2">
        <v>494331</v>
      </c>
      <c r="I743" s="2">
        <v>61830611</v>
      </c>
      <c r="J743">
        <v>74</v>
      </c>
      <c r="K743">
        <v>5</v>
      </c>
      <c r="L743">
        <v>0</v>
      </c>
      <c r="M743" t="str">
        <f t="shared" si="11"/>
        <v>After 2020</v>
      </c>
    </row>
    <row r="744" spans="1:13">
      <c r="A744" t="s">
        <v>1178</v>
      </c>
      <c r="B744" t="s">
        <v>1179</v>
      </c>
      <c r="C744" s="1">
        <v>45065</v>
      </c>
      <c r="D744" s="2">
        <v>267867000</v>
      </c>
      <c r="E744" s="2">
        <v>47406</v>
      </c>
      <c r="F744">
        <v>36</v>
      </c>
      <c r="G744" s="2">
        <v>109440296</v>
      </c>
      <c r="H744" s="2">
        <v>1722866</v>
      </c>
      <c r="I744" s="2">
        <v>1908916908</v>
      </c>
      <c r="J744">
        <v>6</v>
      </c>
      <c r="K744">
        <v>1</v>
      </c>
      <c r="L744">
        <v>1</v>
      </c>
      <c r="M744" t="str">
        <f t="shared" si="11"/>
        <v>After 2020</v>
      </c>
    </row>
    <row r="745" spans="1:13" hidden="1">
      <c r="A745" t="s">
        <v>1180</v>
      </c>
      <c r="B745" t="s">
        <v>1181</v>
      </c>
      <c r="C745" s="1">
        <v>44911</v>
      </c>
      <c r="D745" s="2">
        <v>366462735</v>
      </c>
      <c r="E745" s="2">
        <v>52345</v>
      </c>
      <c r="F745">
        <v>67</v>
      </c>
      <c r="G745" s="2">
        <v>184622271</v>
      </c>
      <c r="H745" s="2">
        <v>842979</v>
      </c>
      <c r="I745" s="2">
        <v>2944174250</v>
      </c>
      <c r="J745">
        <v>29</v>
      </c>
      <c r="L745">
        <v>0</v>
      </c>
      <c r="M745" t="str">
        <f t="shared" si="11"/>
        <v>After 2020</v>
      </c>
    </row>
    <row r="746" spans="1:13" hidden="1">
      <c r="A746" t="s">
        <v>1182</v>
      </c>
      <c r="B746" t="s">
        <v>1183</v>
      </c>
      <c r="C746" s="1">
        <v>43981</v>
      </c>
      <c r="D746" s="2">
        <v>40178056</v>
      </c>
      <c r="E746" s="2">
        <v>5825</v>
      </c>
      <c r="F746">
        <v>54</v>
      </c>
      <c r="G746" s="2">
        <v>156528470</v>
      </c>
      <c r="H746" s="2">
        <v>1410824</v>
      </c>
      <c r="I746" s="2">
        <v>1349843169</v>
      </c>
      <c r="J746">
        <v>2</v>
      </c>
      <c r="L746">
        <v>0</v>
      </c>
      <c r="M746" t="str">
        <f t="shared" si="11"/>
        <v>2010-2020</v>
      </c>
    </row>
    <row r="747" spans="1:13">
      <c r="A747" t="s">
        <v>1184</v>
      </c>
      <c r="B747" t="s">
        <v>520</v>
      </c>
      <c r="C747" s="1">
        <v>42958</v>
      </c>
      <c r="D747" s="2">
        <v>1592440653</v>
      </c>
      <c r="E747" s="2">
        <v>188349</v>
      </c>
      <c r="F747">
        <v>77</v>
      </c>
      <c r="G747" s="2">
        <v>783959373</v>
      </c>
      <c r="H747" s="2">
        <v>6101966</v>
      </c>
      <c r="I747" s="2">
        <v>807230686</v>
      </c>
      <c r="J747">
        <v>142</v>
      </c>
      <c r="K747">
        <v>218</v>
      </c>
      <c r="L747">
        <v>0</v>
      </c>
      <c r="M747" t="str">
        <f t="shared" si="11"/>
        <v>2010-2020</v>
      </c>
    </row>
    <row r="748" spans="1:13">
      <c r="A748" t="s">
        <v>1185</v>
      </c>
      <c r="B748" t="s">
        <v>1186</v>
      </c>
      <c r="C748" s="1">
        <v>44315</v>
      </c>
      <c r="D748" s="2">
        <v>723722454</v>
      </c>
      <c r="E748" s="2">
        <v>79670</v>
      </c>
      <c r="F748">
        <v>73</v>
      </c>
      <c r="G748" s="2">
        <v>869498397</v>
      </c>
      <c r="H748" s="2">
        <v>4948905</v>
      </c>
      <c r="I748" s="2">
        <v>1607695575</v>
      </c>
      <c r="J748">
        <v>80</v>
      </c>
      <c r="K748">
        <v>170</v>
      </c>
      <c r="L748">
        <v>0</v>
      </c>
      <c r="M748" t="str">
        <f t="shared" si="11"/>
        <v>After 2020</v>
      </c>
    </row>
    <row r="749" spans="1:13">
      <c r="A749" t="s">
        <v>1187</v>
      </c>
      <c r="B749" t="s">
        <v>1188</v>
      </c>
      <c r="C749" s="1">
        <v>41988</v>
      </c>
      <c r="D749" s="2">
        <v>1182373720</v>
      </c>
      <c r="E749" s="2">
        <v>201337</v>
      </c>
      <c r="F749">
        <v>70</v>
      </c>
      <c r="G749" s="2">
        <v>1260463421</v>
      </c>
      <c r="H749" s="2">
        <v>8611729</v>
      </c>
      <c r="I749" s="2">
        <v>414475658</v>
      </c>
      <c r="J749">
        <v>178</v>
      </c>
      <c r="K749">
        <v>208</v>
      </c>
      <c r="L749">
        <v>1</v>
      </c>
      <c r="M749" t="str">
        <f t="shared" si="11"/>
        <v>2010-2020</v>
      </c>
    </row>
    <row r="750" spans="1:13">
      <c r="A750" t="s">
        <v>1189</v>
      </c>
      <c r="B750" t="s">
        <v>66</v>
      </c>
      <c r="C750" s="1">
        <v>42832</v>
      </c>
      <c r="D750" s="2">
        <v>1532653504</v>
      </c>
      <c r="E750" s="2">
        <v>191817</v>
      </c>
      <c r="F750">
        <v>76</v>
      </c>
      <c r="G750" s="2">
        <v>1799935129</v>
      </c>
      <c r="H750" s="2">
        <v>15452150</v>
      </c>
      <c r="I750" s="2">
        <v>500970525</v>
      </c>
      <c r="J750">
        <v>147</v>
      </c>
      <c r="K750">
        <v>38</v>
      </c>
      <c r="L750">
        <v>0</v>
      </c>
      <c r="M750" t="str">
        <f t="shared" si="11"/>
        <v>2010-2020</v>
      </c>
    </row>
    <row r="751" spans="1:13" hidden="1">
      <c r="A751" t="s">
        <v>1190</v>
      </c>
      <c r="B751" t="s">
        <v>1191</v>
      </c>
      <c r="C751" s="1">
        <v>44525</v>
      </c>
      <c r="D751" s="2">
        <v>624007138</v>
      </c>
      <c r="E751" s="2">
        <v>88566</v>
      </c>
      <c r="F751">
        <v>76</v>
      </c>
      <c r="G751" s="2">
        <v>300340121</v>
      </c>
      <c r="H751" s="2">
        <v>3913127</v>
      </c>
      <c r="I751" s="2">
        <v>2052187356</v>
      </c>
      <c r="J751">
        <v>17</v>
      </c>
      <c r="L751">
        <v>1</v>
      </c>
      <c r="M751" t="str">
        <f t="shared" si="11"/>
        <v>After 2020</v>
      </c>
    </row>
    <row r="752" spans="1:13">
      <c r="A752" t="s">
        <v>1192</v>
      </c>
      <c r="B752" t="s">
        <v>1193</v>
      </c>
      <c r="C752" s="1">
        <v>44309</v>
      </c>
      <c r="D752" s="2">
        <v>647496971</v>
      </c>
      <c r="E752" s="2">
        <v>72494</v>
      </c>
      <c r="F752">
        <v>71</v>
      </c>
      <c r="G752" s="2">
        <v>895962908</v>
      </c>
      <c r="H752" s="2">
        <v>7617641</v>
      </c>
      <c r="I752" s="2">
        <v>396552302</v>
      </c>
      <c r="J752">
        <v>63</v>
      </c>
      <c r="K752">
        <v>144</v>
      </c>
      <c r="L752">
        <v>0</v>
      </c>
      <c r="M752" t="str">
        <f t="shared" si="11"/>
        <v>After 2020</v>
      </c>
    </row>
    <row r="753" spans="1:13" hidden="1">
      <c r="A753" t="s">
        <v>1194</v>
      </c>
      <c r="B753" t="s">
        <v>276</v>
      </c>
      <c r="C753" s="1">
        <v>42291</v>
      </c>
      <c r="D753" s="2">
        <v>1280838046</v>
      </c>
      <c r="E753" s="2">
        <v>174312</v>
      </c>
      <c r="F753">
        <v>73</v>
      </c>
      <c r="G753" s="2">
        <v>807688972</v>
      </c>
      <c r="H753" s="2">
        <v>6060762</v>
      </c>
      <c r="I753" s="2">
        <v>439764052</v>
      </c>
      <c r="J753">
        <v>106</v>
      </c>
      <c r="L753">
        <v>1</v>
      </c>
      <c r="M753" t="str">
        <f t="shared" si="11"/>
        <v>2010-2020</v>
      </c>
    </row>
    <row r="754" spans="1:13" hidden="1">
      <c r="A754" t="s">
        <v>1195</v>
      </c>
      <c r="B754" t="s">
        <v>1196</v>
      </c>
      <c r="C754" s="1">
        <v>45079</v>
      </c>
      <c r="D754" s="2">
        <v>117717973</v>
      </c>
      <c r="E754" s="2">
        <v>20157</v>
      </c>
      <c r="F754">
        <v>68</v>
      </c>
      <c r="G754" s="2">
        <v>198045947</v>
      </c>
      <c r="H754" s="2">
        <v>1142920</v>
      </c>
      <c r="I754" s="2">
        <v>409104776</v>
      </c>
      <c r="J754">
        <v>56</v>
      </c>
      <c r="L754">
        <v>0</v>
      </c>
      <c r="M754" t="str">
        <f t="shared" si="11"/>
        <v>After 2020</v>
      </c>
    </row>
    <row r="755" spans="1:13" hidden="1">
      <c r="A755" t="s">
        <v>1197</v>
      </c>
      <c r="B755" t="s">
        <v>1042</v>
      </c>
      <c r="C755" s="1">
        <v>44244</v>
      </c>
      <c r="D755" s="2">
        <v>171856399</v>
      </c>
      <c r="E755" s="2">
        <v>16697</v>
      </c>
      <c r="F755">
        <v>56</v>
      </c>
      <c r="G755" s="2">
        <v>1524735898</v>
      </c>
      <c r="H755" s="2">
        <v>11671430</v>
      </c>
      <c r="I755" s="2">
        <v>2560589</v>
      </c>
      <c r="J755">
        <v>7</v>
      </c>
      <c r="L755">
        <v>0</v>
      </c>
      <c r="M755" t="str">
        <f t="shared" si="11"/>
        <v>After 2020</v>
      </c>
    </row>
    <row r="756" spans="1:13">
      <c r="A756" t="s">
        <v>1198</v>
      </c>
      <c r="B756" t="s">
        <v>1199</v>
      </c>
      <c r="C756" s="1">
        <v>45323</v>
      </c>
      <c r="D756" s="2">
        <v>128833634</v>
      </c>
      <c r="E756" s="2">
        <v>6815</v>
      </c>
      <c r="F756">
        <v>79</v>
      </c>
      <c r="G756" s="2">
        <v>114263622</v>
      </c>
      <c r="H756" s="2">
        <v>572164</v>
      </c>
      <c r="I756" s="2">
        <v>31395017</v>
      </c>
      <c r="J756">
        <v>10</v>
      </c>
      <c r="K756">
        <v>75</v>
      </c>
      <c r="L756">
        <v>1</v>
      </c>
      <c r="M756" t="str">
        <f t="shared" si="11"/>
        <v>After 2020</v>
      </c>
    </row>
    <row r="757" spans="1:13" hidden="1">
      <c r="A757" t="s">
        <v>1200</v>
      </c>
      <c r="B757" t="s">
        <v>1201</v>
      </c>
      <c r="C757" s="1">
        <v>44598</v>
      </c>
      <c r="D757" s="2">
        <v>346971014</v>
      </c>
      <c r="E757" s="2">
        <v>37940</v>
      </c>
      <c r="F757">
        <v>65</v>
      </c>
      <c r="G757" s="2">
        <v>928440031</v>
      </c>
      <c r="H757" s="2">
        <v>9495255</v>
      </c>
      <c r="I757" s="2">
        <v>2638039</v>
      </c>
      <c r="J757">
        <v>17</v>
      </c>
      <c r="L757">
        <v>0</v>
      </c>
      <c r="M757" t="str">
        <f t="shared" si="11"/>
        <v>After 2020</v>
      </c>
    </row>
    <row r="758" spans="1:13">
      <c r="A758" t="s">
        <v>1202</v>
      </c>
      <c r="B758" t="s">
        <v>81</v>
      </c>
      <c r="C758" s="1">
        <v>45359</v>
      </c>
      <c r="D758" s="2">
        <v>175336290</v>
      </c>
      <c r="E758" s="2">
        <v>8386</v>
      </c>
      <c r="F758">
        <v>80</v>
      </c>
      <c r="G758" s="2">
        <v>44458370</v>
      </c>
      <c r="H758" s="2">
        <v>1448800</v>
      </c>
      <c r="I758" s="2">
        <v>3842071</v>
      </c>
      <c r="J758">
        <v>46</v>
      </c>
      <c r="K758">
        <v>18</v>
      </c>
      <c r="L758">
        <v>1</v>
      </c>
      <c r="M758" t="str">
        <f t="shared" si="11"/>
        <v>After 2020</v>
      </c>
    </row>
    <row r="759" spans="1:13" hidden="1">
      <c r="A759" t="s">
        <v>1203</v>
      </c>
      <c r="B759" t="s">
        <v>106</v>
      </c>
      <c r="C759" s="1">
        <v>45240</v>
      </c>
      <c r="D759" s="2">
        <v>158952262</v>
      </c>
      <c r="E759" s="2">
        <v>20712</v>
      </c>
      <c r="F759">
        <v>3</v>
      </c>
      <c r="G759" s="2">
        <v>31073689</v>
      </c>
      <c r="H759" s="2">
        <v>328486</v>
      </c>
      <c r="J759">
        <v>48</v>
      </c>
      <c r="K759">
        <v>363</v>
      </c>
      <c r="L759">
        <v>0</v>
      </c>
      <c r="M759" t="str">
        <f t="shared" si="11"/>
        <v>After 2020</v>
      </c>
    </row>
    <row r="760" spans="1:13" hidden="1">
      <c r="A760" t="s">
        <v>1010</v>
      </c>
      <c r="B760" t="s">
        <v>1011</v>
      </c>
      <c r="C760" s="1">
        <v>45338</v>
      </c>
      <c r="L760">
        <v>0</v>
      </c>
      <c r="M760" t="str">
        <f t="shared" si="11"/>
        <v>After 2020</v>
      </c>
    </row>
    <row r="761" spans="1:13">
      <c r="A761" t="s">
        <v>1204</v>
      </c>
      <c r="B761" t="s">
        <v>642</v>
      </c>
      <c r="C761" s="1">
        <v>44932</v>
      </c>
      <c r="D761" s="2">
        <v>406141247</v>
      </c>
      <c r="E761" s="2">
        <v>67235</v>
      </c>
      <c r="F761">
        <v>70</v>
      </c>
      <c r="G761" s="2">
        <v>91367578</v>
      </c>
      <c r="H761" s="2">
        <v>707830</v>
      </c>
      <c r="I761" s="2">
        <v>588640576</v>
      </c>
      <c r="J761">
        <v>93</v>
      </c>
      <c r="K761">
        <v>498</v>
      </c>
      <c r="L761">
        <v>0</v>
      </c>
      <c r="M761" t="str">
        <f t="shared" si="11"/>
        <v>After 2020</v>
      </c>
    </row>
    <row r="762" spans="1:13">
      <c r="A762" t="s">
        <v>1205</v>
      </c>
      <c r="B762" t="s">
        <v>1206</v>
      </c>
      <c r="C762" s="1">
        <v>44960</v>
      </c>
      <c r="D762" s="2">
        <v>18637452</v>
      </c>
      <c r="E762" s="2">
        <v>6915</v>
      </c>
      <c r="F762">
        <v>45</v>
      </c>
      <c r="G762" s="2">
        <v>6534668</v>
      </c>
      <c r="H762" s="2">
        <v>116631</v>
      </c>
      <c r="I762" s="2">
        <v>3179523129</v>
      </c>
      <c r="J762">
        <v>2</v>
      </c>
      <c r="K762">
        <v>51</v>
      </c>
      <c r="L762">
        <v>1</v>
      </c>
      <c r="M762" t="str">
        <f t="shared" si="11"/>
        <v>After 2020</v>
      </c>
    </row>
    <row r="763" spans="1:13" hidden="1">
      <c r="A763" t="s">
        <v>1207</v>
      </c>
      <c r="B763" t="s">
        <v>1107</v>
      </c>
      <c r="C763" s="1">
        <v>44870</v>
      </c>
      <c r="D763" s="2">
        <v>250599391</v>
      </c>
      <c r="E763" s="2">
        <v>19757</v>
      </c>
      <c r="F763">
        <v>66</v>
      </c>
      <c r="G763" s="2">
        <v>642774625</v>
      </c>
      <c r="H763" s="2">
        <v>4620243</v>
      </c>
      <c r="J763">
        <v>27</v>
      </c>
      <c r="L763">
        <v>0</v>
      </c>
      <c r="M763" t="str">
        <f t="shared" si="11"/>
        <v>After 2020</v>
      </c>
    </row>
    <row r="764" spans="1:13">
      <c r="A764" t="s">
        <v>1208</v>
      </c>
      <c r="B764" t="s">
        <v>371</v>
      </c>
      <c r="C764" s="1">
        <v>44684</v>
      </c>
      <c r="D764" s="2">
        <v>315680664</v>
      </c>
      <c r="E764" s="2">
        <v>50632</v>
      </c>
      <c r="F764">
        <v>69</v>
      </c>
      <c r="G764" s="2">
        <v>317472115</v>
      </c>
      <c r="H764" s="2">
        <v>2373170</v>
      </c>
      <c r="I764" s="2">
        <v>424398738</v>
      </c>
      <c r="J764">
        <v>48</v>
      </c>
      <c r="K764">
        <v>421</v>
      </c>
      <c r="L764">
        <v>0</v>
      </c>
      <c r="M764" t="str">
        <f t="shared" si="11"/>
        <v>After 2020</v>
      </c>
    </row>
    <row r="765" spans="1:13">
      <c r="A765" t="s">
        <v>1209</v>
      </c>
      <c r="B765" t="s">
        <v>1210</v>
      </c>
      <c r="C765" s="1">
        <v>44463</v>
      </c>
      <c r="D765" s="2">
        <v>324162855</v>
      </c>
      <c r="E765" s="2">
        <v>53099</v>
      </c>
      <c r="F765">
        <v>61</v>
      </c>
      <c r="G765" s="2">
        <v>60970543</v>
      </c>
      <c r="H765" s="2">
        <v>695638</v>
      </c>
      <c r="I765" s="2">
        <v>994551093</v>
      </c>
      <c r="J765">
        <v>66</v>
      </c>
      <c r="K765" s="2">
        <v>3758</v>
      </c>
      <c r="L765">
        <v>1</v>
      </c>
      <c r="M765" t="str">
        <f t="shared" si="11"/>
        <v>After 2020</v>
      </c>
    </row>
    <row r="766" spans="1:13">
      <c r="A766" t="s">
        <v>1211</v>
      </c>
      <c r="B766" t="s">
        <v>47</v>
      </c>
      <c r="C766" s="1">
        <v>43651</v>
      </c>
      <c r="D766" s="2">
        <v>1263989128</v>
      </c>
      <c r="E766" s="2">
        <v>156671</v>
      </c>
      <c r="F766">
        <v>72</v>
      </c>
      <c r="G766" s="2">
        <v>795828166</v>
      </c>
      <c r="H766" s="2">
        <v>8115938</v>
      </c>
      <c r="I766" s="2">
        <v>78005488</v>
      </c>
      <c r="J766">
        <v>128</v>
      </c>
      <c r="K766">
        <v>394</v>
      </c>
      <c r="L766">
        <v>1</v>
      </c>
      <c r="M766" t="str">
        <f t="shared" si="11"/>
        <v>2010-2020</v>
      </c>
    </row>
    <row r="767" spans="1:13">
      <c r="A767" t="s">
        <v>1212</v>
      </c>
      <c r="B767" t="s">
        <v>1174</v>
      </c>
      <c r="C767" s="1">
        <v>42514</v>
      </c>
      <c r="D767" s="2">
        <v>1369299352</v>
      </c>
      <c r="E767" s="2">
        <v>169370</v>
      </c>
      <c r="F767">
        <v>71</v>
      </c>
      <c r="G767" s="2">
        <v>815137609</v>
      </c>
      <c r="H767" s="2">
        <v>5138837</v>
      </c>
      <c r="I767" s="2">
        <v>77860109</v>
      </c>
      <c r="J767">
        <v>188</v>
      </c>
      <c r="K767">
        <v>119</v>
      </c>
      <c r="L767">
        <v>0</v>
      </c>
      <c r="M767" t="str">
        <f t="shared" si="11"/>
        <v>2010-2020</v>
      </c>
    </row>
    <row r="768" spans="1:13" hidden="1">
      <c r="A768" t="s">
        <v>1213</v>
      </c>
      <c r="B768" t="s">
        <v>1214</v>
      </c>
      <c r="C768" s="1">
        <v>45051</v>
      </c>
      <c r="D768" s="2">
        <v>142141861</v>
      </c>
      <c r="E768" s="2">
        <v>22711</v>
      </c>
      <c r="F768">
        <v>67</v>
      </c>
      <c r="G768" s="2">
        <v>142319744</v>
      </c>
      <c r="H768" s="2">
        <v>819805</v>
      </c>
      <c r="I768" s="2">
        <v>403681891</v>
      </c>
      <c r="J768">
        <v>37</v>
      </c>
      <c r="L768">
        <v>1</v>
      </c>
      <c r="M768" t="str">
        <f t="shared" si="11"/>
        <v>After 2020</v>
      </c>
    </row>
    <row r="769" spans="1:13">
      <c r="A769" t="s">
        <v>1215</v>
      </c>
      <c r="B769" t="s">
        <v>637</v>
      </c>
      <c r="C769" s="1">
        <v>45226</v>
      </c>
      <c r="D769" s="2">
        <v>279667395</v>
      </c>
      <c r="E769" s="2">
        <v>23583</v>
      </c>
      <c r="F769">
        <v>78</v>
      </c>
      <c r="G769" s="2">
        <v>93707680</v>
      </c>
      <c r="H769" s="2">
        <v>1139367</v>
      </c>
      <c r="I769" s="2">
        <v>1178951518</v>
      </c>
      <c r="J769">
        <v>29</v>
      </c>
      <c r="K769">
        <v>79</v>
      </c>
      <c r="L769">
        <v>0</v>
      </c>
      <c r="M769" t="str">
        <f t="shared" si="11"/>
        <v>After 2020</v>
      </c>
    </row>
    <row r="770" spans="1:13">
      <c r="A770" t="s">
        <v>1216</v>
      </c>
      <c r="B770" t="s">
        <v>1217</v>
      </c>
      <c r="C770" s="1">
        <v>44095</v>
      </c>
      <c r="D770" s="2">
        <v>568823269</v>
      </c>
      <c r="E770" s="2">
        <v>54968</v>
      </c>
      <c r="F770">
        <v>64</v>
      </c>
      <c r="G770" s="2">
        <v>1094129734</v>
      </c>
      <c r="H770" s="2">
        <v>7637000</v>
      </c>
      <c r="I770" s="2">
        <v>835046287</v>
      </c>
      <c r="J770">
        <v>112</v>
      </c>
      <c r="K770">
        <v>73</v>
      </c>
      <c r="L770">
        <v>0</v>
      </c>
      <c r="M770" t="str">
        <f t="shared" si="11"/>
        <v>2010-2020</v>
      </c>
    </row>
    <row r="771" spans="1:13">
      <c r="A771" t="s">
        <v>1218</v>
      </c>
      <c r="B771" t="s">
        <v>1219</v>
      </c>
      <c r="C771" s="1">
        <v>45023</v>
      </c>
      <c r="D771" s="2">
        <v>432988420</v>
      </c>
      <c r="E771" s="2">
        <v>32294</v>
      </c>
      <c r="F771">
        <v>67</v>
      </c>
      <c r="G771" s="2">
        <v>194658217</v>
      </c>
      <c r="H771" s="2">
        <v>1261625</v>
      </c>
      <c r="I771" s="2">
        <v>750998497</v>
      </c>
      <c r="J771">
        <v>35</v>
      </c>
      <c r="K771">
        <v>31</v>
      </c>
      <c r="L771">
        <v>0</v>
      </c>
      <c r="M771" t="str">
        <f t="shared" ref="M771:M834" si="12">IF(YEAR(C771)&lt;2010,"Before 2010",IF(YEAR(C771)&lt;=2020,"2010-2020","After 2020"))</f>
        <v>After 2020</v>
      </c>
    </row>
    <row r="772" spans="1:13">
      <c r="A772" t="s">
        <v>1220</v>
      </c>
      <c r="B772" t="s">
        <v>295</v>
      </c>
      <c r="C772" s="1">
        <v>43280</v>
      </c>
      <c r="D772" s="2">
        <v>1389607643</v>
      </c>
      <c r="E772" s="2">
        <v>179820</v>
      </c>
      <c r="F772">
        <v>68</v>
      </c>
      <c r="G772" s="2">
        <v>749282095</v>
      </c>
      <c r="H772" s="2">
        <v>9464140</v>
      </c>
      <c r="I772" s="2">
        <v>521014819</v>
      </c>
      <c r="J772">
        <v>144</v>
      </c>
      <c r="K772">
        <v>396</v>
      </c>
      <c r="L772">
        <v>1</v>
      </c>
      <c r="M772" t="str">
        <f t="shared" si="12"/>
        <v>2010-2020</v>
      </c>
    </row>
    <row r="773" spans="1:13" hidden="1">
      <c r="A773" t="s">
        <v>1221</v>
      </c>
      <c r="B773" t="s">
        <v>295</v>
      </c>
      <c r="C773" s="1">
        <v>45205</v>
      </c>
      <c r="D773" s="2">
        <v>123522254</v>
      </c>
      <c r="E773" s="2">
        <v>26849</v>
      </c>
      <c r="G773" s="2">
        <v>21213402</v>
      </c>
      <c r="H773" s="2">
        <v>365281</v>
      </c>
      <c r="I773" s="2">
        <v>3432405</v>
      </c>
      <c r="J773">
        <v>25</v>
      </c>
      <c r="K773">
        <v>20</v>
      </c>
      <c r="L773">
        <v>1</v>
      </c>
      <c r="M773" t="str">
        <f t="shared" si="12"/>
        <v>After 2020</v>
      </c>
    </row>
    <row r="774" spans="1:13" hidden="1">
      <c r="A774" t="s">
        <v>1222</v>
      </c>
      <c r="B774" t="s">
        <v>777</v>
      </c>
      <c r="C774" s="1">
        <v>42845</v>
      </c>
      <c r="D774" s="2">
        <v>1800254516</v>
      </c>
      <c r="E774" s="2">
        <v>162682</v>
      </c>
      <c r="F774">
        <v>75</v>
      </c>
      <c r="G774" s="2">
        <v>1875529996</v>
      </c>
      <c r="H774" s="2">
        <v>14529538</v>
      </c>
      <c r="I774" s="2">
        <v>759021013</v>
      </c>
      <c r="K774">
        <v>160</v>
      </c>
      <c r="L774">
        <v>0</v>
      </c>
      <c r="M774" t="str">
        <f t="shared" si="12"/>
        <v>2010-2020</v>
      </c>
    </row>
    <row r="775" spans="1:13" hidden="1">
      <c r="A775" t="s">
        <v>1223</v>
      </c>
      <c r="B775" t="s">
        <v>1224</v>
      </c>
      <c r="C775" s="1">
        <v>45205</v>
      </c>
      <c r="D775" s="2">
        <v>8893883</v>
      </c>
      <c r="E775" s="2">
        <v>1745</v>
      </c>
      <c r="G775" s="2">
        <v>238585397</v>
      </c>
      <c r="H775" s="2">
        <v>1478754</v>
      </c>
      <c r="I775" s="2">
        <v>1640900</v>
      </c>
      <c r="J775">
        <v>8</v>
      </c>
      <c r="L775">
        <v>0</v>
      </c>
      <c r="M775" t="str">
        <f t="shared" si="12"/>
        <v>After 2020</v>
      </c>
    </row>
    <row r="776" spans="1:13">
      <c r="A776" t="s">
        <v>1225</v>
      </c>
      <c r="B776" t="s">
        <v>1226</v>
      </c>
      <c r="C776" s="1">
        <v>43245</v>
      </c>
      <c r="D776" s="2">
        <v>1709991997</v>
      </c>
      <c r="E776" s="2">
        <v>187053</v>
      </c>
      <c r="F776">
        <v>80</v>
      </c>
      <c r="G776" s="2">
        <v>1447964376</v>
      </c>
      <c r="H776" s="2">
        <v>19917766</v>
      </c>
      <c r="I776" s="2">
        <v>2833687729</v>
      </c>
      <c r="J776">
        <v>1</v>
      </c>
      <c r="K776">
        <v>132</v>
      </c>
      <c r="L776">
        <v>0</v>
      </c>
      <c r="M776" t="str">
        <f t="shared" si="12"/>
        <v>2010-2020</v>
      </c>
    </row>
    <row r="777" spans="1:13">
      <c r="A777" t="s">
        <v>1227</v>
      </c>
      <c r="B777" t="s">
        <v>1228</v>
      </c>
      <c r="C777" s="1">
        <v>43196</v>
      </c>
      <c r="D777" s="2">
        <v>85068645</v>
      </c>
      <c r="E777" s="2">
        <v>23747</v>
      </c>
      <c r="F777">
        <v>52</v>
      </c>
      <c r="G777" s="2">
        <v>1615682416</v>
      </c>
      <c r="H777" s="2">
        <v>16097448</v>
      </c>
      <c r="I777" s="2">
        <v>6274917849</v>
      </c>
      <c r="J777">
        <v>11</v>
      </c>
      <c r="K777">
        <v>6</v>
      </c>
      <c r="L777">
        <v>0</v>
      </c>
      <c r="M777" t="str">
        <f t="shared" si="12"/>
        <v>2010-2020</v>
      </c>
    </row>
    <row r="778" spans="1:13" hidden="1">
      <c r="A778" t="s">
        <v>1229</v>
      </c>
      <c r="B778" t="s">
        <v>1230</v>
      </c>
      <c r="C778" s="1">
        <v>43882</v>
      </c>
      <c r="D778" s="2">
        <v>497832707</v>
      </c>
      <c r="E778" s="2">
        <v>156669</v>
      </c>
      <c r="F778">
        <v>74</v>
      </c>
      <c r="G778" s="2">
        <v>265905159</v>
      </c>
      <c r="H778" s="2">
        <v>2363958</v>
      </c>
      <c r="I778" s="2">
        <v>644816718</v>
      </c>
      <c r="J778">
        <v>30</v>
      </c>
      <c r="L778">
        <v>1</v>
      </c>
      <c r="M778" t="str">
        <f t="shared" si="12"/>
        <v>2010-2020</v>
      </c>
    </row>
    <row r="779" spans="1:13">
      <c r="A779" t="s">
        <v>1231</v>
      </c>
      <c r="B779" t="s">
        <v>1232</v>
      </c>
      <c r="C779" s="1">
        <v>44603</v>
      </c>
      <c r="D779" s="2">
        <v>637836235</v>
      </c>
      <c r="E779" s="2">
        <v>96878</v>
      </c>
      <c r="F779">
        <v>68</v>
      </c>
      <c r="G779" s="2">
        <v>182917309</v>
      </c>
      <c r="H779" s="2">
        <v>3547237</v>
      </c>
      <c r="I779" s="2">
        <v>1955825500</v>
      </c>
      <c r="J779">
        <v>54</v>
      </c>
      <c r="K779" s="2">
        <v>2099</v>
      </c>
      <c r="L779">
        <v>1</v>
      </c>
      <c r="M779" t="str">
        <f t="shared" si="12"/>
        <v>After 2020</v>
      </c>
    </row>
    <row r="780" spans="1:13" hidden="1">
      <c r="A780" t="s">
        <v>1233</v>
      </c>
      <c r="B780" t="s">
        <v>608</v>
      </c>
      <c r="C780" s="1">
        <v>45092</v>
      </c>
      <c r="D780" s="2">
        <v>119445482</v>
      </c>
      <c r="E780" s="2">
        <v>16844</v>
      </c>
      <c r="F780">
        <v>14</v>
      </c>
      <c r="G780" s="2">
        <v>52878314</v>
      </c>
      <c r="H780" s="2">
        <v>712327</v>
      </c>
      <c r="I780" s="2">
        <v>3177714575</v>
      </c>
      <c r="J780">
        <v>1</v>
      </c>
      <c r="L780">
        <v>1</v>
      </c>
      <c r="M780" t="str">
        <f t="shared" si="12"/>
        <v>After 2020</v>
      </c>
    </row>
    <row r="781" spans="1:13">
      <c r="A781" t="s">
        <v>1234</v>
      </c>
      <c r="B781" t="s">
        <v>1235</v>
      </c>
      <c r="C781" s="1">
        <v>43525</v>
      </c>
      <c r="D781" s="2">
        <v>1411856834</v>
      </c>
      <c r="E781" s="2">
        <v>128280</v>
      </c>
      <c r="F781">
        <v>73</v>
      </c>
      <c r="G781" s="2">
        <v>641158161</v>
      </c>
      <c r="H781" s="2">
        <v>9661491</v>
      </c>
      <c r="I781" s="2">
        <v>280853608</v>
      </c>
      <c r="J781">
        <v>214</v>
      </c>
      <c r="K781">
        <v>814</v>
      </c>
      <c r="L781">
        <v>0</v>
      </c>
      <c r="M781" t="str">
        <f t="shared" si="12"/>
        <v>2010-2020</v>
      </c>
    </row>
    <row r="782" spans="1:13">
      <c r="A782" t="s">
        <v>1236</v>
      </c>
      <c r="B782" t="s">
        <v>520</v>
      </c>
      <c r="C782" s="1">
        <v>42503</v>
      </c>
      <c r="D782" s="2">
        <v>561103984</v>
      </c>
      <c r="E782" s="2">
        <v>80971</v>
      </c>
      <c r="F782">
        <v>65</v>
      </c>
      <c r="G782" s="2">
        <v>3130843590</v>
      </c>
      <c r="H782" s="2">
        <v>32799797</v>
      </c>
      <c r="I782" s="2">
        <v>462245126</v>
      </c>
      <c r="J782">
        <v>48</v>
      </c>
      <c r="K782">
        <v>2</v>
      </c>
      <c r="L782">
        <v>0</v>
      </c>
      <c r="M782" t="str">
        <f t="shared" si="12"/>
        <v>2010-2020</v>
      </c>
    </row>
    <row r="783" spans="1:13" hidden="1">
      <c r="A783" t="s">
        <v>1237</v>
      </c>
      <c r="B783" t="s">
        <v>1238</v>
      </c>
      <c r="C783" s="1">
        <v>43836</v>
      </c>
      <c r="E783">
        <v>424</v>
      </c>
      <c r="G783" s="2">
        <v>706716815</v>
      </c>
      <c r="H783" s="2">
        <v>3418527</v>
      </c>
      <c r="I783" s="2">
        <v>1357260180</v>
      </c>
      <c r="L783">
        <v>0</v>
      </c>
      <c r="M783" t="str">
        <f t="shared" si="12"/>
        <v>2010-2020</v>
      </c>
    </row>
    <row r="784" spans="1:13">
      <c r="A784" t="s">
        <v>1239</v>
      </c>
      <c r="B784" t="s">
        <v>938</v>
      </c>
      <c r="C784" s="1">
        <v>44302</v>
      </c>
      <c r="D784" s="2">
        <v>817933263</v>
      </c>
      <c r="E784" s="2">
        <v>104636</v>
      </c>
      <c r="F784">
        <v>70</v>
      </c>
      <c r="G784" s="2">
        <v>658407296</v>
      </c>
      <c r="H784" s="2">
        <v>4541248</v>
      </c>
      <c r="I784" s="2">
        <v>870762842</v>
      </c>
      <c r="J784">
        <v>105</v>
      </c>
      <c r="K784">
        <v>244</v>
      </c>
      <c r="L784">
        <v>0</v>
      </c>
      <c r="M784" t="str">
        <f t="shared" si="12"/>
        <v>After 2020</v>
      </c>
    </row>
    <row r="785" spans="1:13">
      <c r="A785" t="s">
        <v>1240</v>
      </c>
      <c r="B785" t="s">
        <v>1241</v>
      </c>
      <c r="C785" s="1">
        <v>44854</v>
      </c>
      <c r="D785" s="2">
        <v>193109326</v>
      </c>
      <c r="E785" s="2">
        <v>76047</v>
      </c>
      <c r="F785">
        <v>8</v>
      </c>
      <c r="G785" s="2">
        <v>64413388</v>
      </c>
      <c r="H785" s="2">
        <v>1143541</v>
      </c>
      <c r="I785" s="2">
        <v>1526856459</v>
      </c>
      <c r="J785">
        <v>17</v>
      </c>
      <c r="K785" s="2">
        <v>2704</v>
      </c>
      <c r="L785">
        <v>1</v>
      </c>
      <c r="M785" t="str">
        <f t="shared" si="12"/>
        <v>After 2020</v>
      </c>
    </row>
    <row r="786" spans="1:13">
      <c r="A786" t="s">
        <v>1242</v>
      </c>
      <c r="B786" t="s">
        <v>1243</v>
      </c>
      <c r="C786" s="1">
        <v>43959</v>
      </c>
      <c r="D786" s="2">
        <v>472027271</v>
      </c>
      <c r="E786" s="2">
        <v>97766</v>
      </c>
      <c r="F786">
        <v>2</v>
      </c>
      <c r="G786" s="2">
        <v>1012949756</v>
      </c>
      <c r="H786" s="2">
        <v>14257151</v>
      </c>
      <c r="I786" s="2">
        <v>4846286370</v>
      </c>
      <c r="J786">
        <v>22</v>
      </c>
      <c r="K786">
        <v>57</v>
      </c>
      <c r="L786">
        <v>1</v>
      </c>
      <c r="M786" t="str">
        <f t="shared" si="12"/>
        <v>2010-2020</v>
      </c>
    </row>
    <row r="787" spans="1:13" hidden="1">
      <c r="A787" t="s">
        <v>265</v>
      </c>
      <c r="B787" t="s">
        <v>266</v>
      </c>
      <c r="C787" s="1">
        <v>45107</v>
      </c>
      <c r="D787" s="2">
        <v>997536616</v>
      </c>
      <c r="E787" s="2">
        <v>5268</v>
      </c>
      <c r="F787">
        <v>1</v>
      </c>
      <c r="J787">
        <v>48</v>
      </c>
      <c r="L787">
        <v>0</v>
      </c>
      <c r="M787" t="str">
        <f t="shared" si="12"/>
        <v>After 2020</v>
      </c>
    </row>
    <row r="788" spans="1:13">
      <c r="A788" t="s">
        <v>1244</v>
      </c>
      <c r="B788" t="s">
        <v>51</v>
      </c>
      <c r="C788" s="1">
        <v>45429</v>
      </c>
      <c r="D788" s="2">
        <v>66101468</v>
      </c>
      <c r="E788" s="2">
        <v>3693</v>
      </c>
      <c r="F788">
        <v>84</v>
      </c>
      <c r="G788" s="2">
        <v>4252419</v>
      </c>
      <c r="H788" s="2">
        <v>117031</v>
      </c>
      <c r="I788" s="2">
        <v>11200000</v>
      </c>
      <c r="J788">
        <v>45</v>
      </c>
      <c r="K788">
        <v>16</v>
      </c>
      <c r="L788">
        <v>0</v>
      </c>
      <c r="M788" t="str">
        <f t="shared" si="12"/>
        <v>After 2020</v>
      </c>
    </row>
    <row r="789" spans="1:13" hidden="1">
      <c r="A789" t="s">
        <v>1245</v>
      </c>
      <c r="B789" t="s">
        <v>1246</v>
      </c>
      <c r="C789" s="1">
        <v>45429</v>
      </c>
      <c r="D789" s="2">
        <v>4505404</v>
      </c>
      <c r="E789" s="2">
        <v>1248</v>
      </c>
      <c r="F789">
        <v>64</v>
      </c>
      <c r="J789">
        <v>2</v>
      </c>
      <c r="L789">
        <v>1</v>
      </c>
      <c r="M789" t="str">
        <f t="shared" si="12"/>
        <v>After 2020</v>
      </c>
    </row>
    <row r="790" spans="1:13">
      <c r="A790" t="s">
        <v>1247</v>
      </c>
      <c r="B790" t="s">
        <v>777</v>
      </c>
      <c r="C790" s="1">
        <v>44580</v>
      </c>
      <c r="D790" s="2">
        <v>593554969</v>
      </c>
      <c r="E790" s="2">
        <v>84288</v>
      </c>
      <c r="F790">
        <v>67</v>
      </c>
      <c r="G790" s="2">
        <v>284499511</v>
      </c>
      <c r="H790" s="2">
        <v>3909648</v>
      </c>
      <c r="I790" s="2">
        <v>4729678365</v>
      </c>
      <c r="J790">
        <v>98</v>
      </c>
      <c r="K790">
        <v>866</v>
      </c>
      <c r="L790">
        <v>0</v>
      </c>
      <c r="M790" t="str">
        <f t="shared" si="12"/>
        <v>After 2020</v>
      </c>
    </row>
    <row r="791" spans="1:13" hidden="1">
      <c r="A791" t="s">
        <v>1248</v>
      </c>
      <c r="B791" t="s">
        <v>1249</v>
      </c>
      <c r="C791" s="1">
        <v>45413</v>
      </c>
      <c r="D791" s="2">
        <v>1852457</v>
      </c>
      <c r="E791">
        <v>79</v>
      </c>
      <c r="G791" s="2">
        <v>57254911</v>
      </c>
      <c r="H791" s="2">
        <v>1254450</v>
      </c>
      <c r="L791">
        <v>0</v>
      </c>
      <c r="M791" t="str">
        <f t="shared" si="12"/>
        <v>After 2020</v>
      </c>
    </row>
    <row r="792" spans="1:13">
      <c r="A792" t="s">
        <v>1250</v>
      </c>
      <c r="B792" t="s">
        <v>449</v>
      </c>
      <c r="C792" s="1">
        <v>44169</v>
      </c>
      <c r="D792" s="2">
        <v>368017246</v>
      </c>
      <c r="E792" s="2">
        <v>105732</v>
      </c>
      <c r="F792">
        <v>67</v>
      </c>
      <c r="G792" s="2">
        <v>227182263</v>
      </c>
      <c r="H792" s="2">
        <v>1554044</v>
      </c>
      <c r="I792" s="2">
        <v>198936453</v>
      </c>
      <c r="J792">
        <v>57</v>
      </c>
      <c r="K792">
        <v>372</v>
      </c>
      <c r="L792">
        <v>1</v>
      </c>
      <c r="M792" t="str">
        <f t="shared" si="12"/>
        <v>2010-2020</v>
      </c>
    </row>
    <row r="793" spans="1:13">
      <c r="A793" t="s">
        <v>1251</v>
      </c>
      <c r="B793" t="s">
        <v>51</v>
      </c>
      <c r="C793" s="1">
        <v>43390</v>
      </c>
      <c r="D793" s="2">
        <v>1845938685</v>
      </c>
      <c r="E793" s="2">
        <v>186633</v>
      </c>
      <c r="F793">
        <v>79</v>
      </c>
      <c r="G793" s="2">
        <v>931398498</v>
      </c>
      <c r="H793" s="2">
        <v>13775924</v>
      </c>
      <c r="I793" s="2">
        <v>1349258289</v>
      </c>
      <c r="J793">
        <v>163</v>
      </c>
      <c r="K793">
        <v>55</v>
      </c>
      <c r="L793">
        <v>0</v>
      </c>
      <c r="M793" t="str">
        <f t="shared" si="12"/>
        <v>2010-2020</v>
      </c>
    </row>
    <row r="794" spans="1:13" hidden="1">
      <c r="A794" t="s">
        <v>1252</v>
      </c>
      <c r="B794" t="s">
        <v>28</v>
      </c>
      <c r="C794" s="1">
        <v>40179</v>
      </c>
      <c r="D794" s="2">
        <v>1532052160</v>
      </c>
      <c r="E794" s="2">
        <v>236943</v>
      </c>
      <c r="F794">
        <v>79</v>
      </c>
      <c r="G794" s="2">
        <v>3009144927</v>
      </c>
      <c r="H794" s="2">
        <v>15864764</v>
      </c>
      <c r="I794" s="2">
        <v>223136013</v>
      </c>
      <c r="J794">
        <v>84</v>
      </c>
      <c r="L794">
        <v>1</v>
      </c>
      <c r="M794" t="str">
        <f t="shared" si="12"/>
        <v>2010-2020</v>
      </c>
    </row>
    <row r="795" spans="1:13">
      <c r="A795" t="s">
        <v>1253</v>
      </c>
      <c r="B795" t="s">
        <v>141</v>
      </c>
      <c r="C795" s="1">
        <v>44687</v>
      </c>
      <c r="D795" s="2">
        <v>725076772</v>
      </c>
      <c r="E795" s="2">
        <v>83311</v>
      </c>
      <c r="F795">
        <v>72</v>
      </c>
      <c r="G795" s="2">
        <v>296661885</v>
      </c>
      <c r="H795" s="2">
        <v>2150658</v>
      </c>
      <c r="I795" s="2">
        <v>3014389754</v>
      </c>
      <c r="J795">
        <v>51</v>
      </c>
      <c r="K795">
        <v>150</v>
      </c>
      <c r="L795">
        <v>0</v>
      </c>
      <c r="M795" t="str">
        <f t="shared" si="12"/>
        <v>After 2020</v>
      </c>
    </row>
    <row r="796" spans="1:13" hidden="1">
      <c r="A796" t="s">
        <v>1254</v>
      </c>
      <c r="B796" t="s">
        <v>1255</v>
      </c>
      <c r="C796" s="1">
        <v>45331</v>
      </c>
      <c r="D796" s="2">
        <v>127909006</v>
      </c>
      <c r="E796" s="2">
        <v>13354</v>
      </c>
      <c r="G796" s="2">
        <v>26653465</v>
      </c>
      <c r="H796" s="2">
        <v>788713</v>
      </c>
      <c r="I796" s="2">
        <v>295301300</v>
      </c>
      <c r="J796">
        <v>78</v>
      </c>
      <c r="K796">
        <v>7</v>
      </c>
      <c r="L796">
        <v>0</v>
      </c>
      <c r="M796" t="str">
        <f t="shared" si="12"/>
        <v>After 2020</v>
      </c>
    </row>
    <row r="797" spans="1:13">
      <c r="A797" t="s">
        <v>1256</v>
      </c>
      <c r="B797" t="s">
        <v>1257</v>
      </c>
      <c r="C797" s="1">
        <v>44331</v>
      </c>
      <c r="D797" s="2">
        <v>1089328286</v>
      </c>
      <c r="E797" s="2">
        <v>200016</v>
      </c>
      <c r="F797">
        <v>77</v>
      </c>
      <c r="G797" s="2">
        <v>256738121</v>
      </c>
      <c r="H797" s="2">
        <v>4601685</v>
      </c>
      <c r="I797" s="2">
        <v>2110692</v>
      </c>
      <c r="J797">
        <v>25</v>
      </c>
      <c r="K797">
        <v>453</v>
      </c>
      <c r="L797">
        <v>0</v>
      </c>
      <c r="M797" t="str">
        <f t="shared" si="12"/>
        <v>After 2020</v>
      </c>
    </row>
    <row r="798" spans="1:13">
      <c r="A798" t="s">
        <v>1258</v>
      </c>
      <c r="B798" t="s">
        <v>459</v>
      </c>
      <c r="C798" s="1">
        <v>44379</v>
      </c>
      <c r="D798" s="2">
        <v>484375103</v>
      </c>
      <c r="E798" s="2">
        <v>133279</v>
      </c>
      <c r="F798">
        <v>61</v>
      </c>
      <c r="G798" s="2">
        <v>218975838</v>
      </c>
      <c r="H798" s="2">
        <v>3159820</v>
      </c>
      <c r="I798" s="2">
        <v>6219918723</v>
      </c>
      <c r="J798">
        <v>131</v>
      </c>
      <c r="K798">
        <v>795</v>
      </c>
      <c r="L798">
        <v>0</v>
      </c>
      <c r="M798" t="str">
        <f t="shared" si="12"/>
        <v>After 2020</v>
      </c>
    </row>
    <row r="799" spans="1:13">
      <c r="A799" t="s">
        <v>1259</v>
      </c>
      <c r="B799" t="s">
        <v>1260</v>
      </c>
      <c r="C799" s="1">
        <v>44610</v>
      </c>
      <c r="D799" s="2">
        <v>414104069</v>
      </c>
      <c r="E799" s="2">
        <v>33044</v>
      </c>
      <c r="F799">
        <v>67</v>
      </c>
      <c r="G799" s="2">
        <v>665626745</v>
      </c>
      <c r="H799" s="2">
        <v>2889082</v>
      </c>
      <c r="I799" s="2">
        <v>2953043191</v>
      </c>
      <c r="J799">
        <v>18</v>
      </c>
      <c r="K799">
        <v>361</v>
      </c>
      <c r="L799">
        <v>0</v>
      </c>
      <c r="M799" t="str">
        <f t="shared" si="12"/>
        <v>After 2020</v>
      </c>
    </row>
    <row r="800" spans="1:13" hidden="1">
      <c r="A800" t="s">
        <v>1261</v>
      </c>
      <c r="B800" t="s">
        <v>1262</v>
      </c>
      <c r="C800" s="1">
        <v>45065</v>
      </c>
      <c r="D800" s="2">
        <v>66418201</v>
      </c>
      <c r="E800" s="2">
        <v>20547</v>
      </c>
      <c r="F800">
        <v>37</v>
      </c>
      <c r="G800" s="2">
        <v>59550101</v>
      </c>
      <c r="H800" s="2">
        <v>1432480</v>
      </c>
      <c r="J800">
        <v>5</v>
      </c>
      <c r="K800">
        <v>46</v>
      </c>
      <c r="L800">
        <v>1</v>
      </c>
      <c r="M800" t="str">
        <f t="shared" si="12"/>
        <v>After 2020</v>
      </c>
    </row>
    <row r="801" spans="1:13" hidden="1">
      <c r="A801" t="s">
        <v>1263</v>
      </c>
      <c r="B801" t="s">
        <v>141</v>
      </c>
      <c r="C801" s="1">
        <v>44687</v>
      </c>
      <c r="D801" s="2">
        <v>742515730</v>
      </c>
      <c r="E801" s="2">
        <v>93128</v>
      </c>
      <c r="F801">
        <v>73</v>
      </c>
      <c r="G801" s="2">
        <v>275203830</v>
      </c>
      <c r="H801" s="2">
        <v>1499544</v>
      </c>
      <c r="I801" s="2">
        <v>2486183983</v>
      </c>
      <c r="J801">
        <v>39</v>
      </c>
      <c r="L801">
        <v>1</v>
      </c>
      <c r="M801" t="str">
        <f t="shared" si="12"/>
        <v>After 2020</v>
      </c>
    </row>
    <row r="802" spans="1:13" hidden="1">
      <c r="A802" t="s">
        <v>1264</v>
      </c>
      <c r="B802" t="s">
        <v>1265</v>
      </c>
      <c r="C802" s="1">
        <v>45008</v>
      </c>
      <c r="D802" s="2">
        <v>24963236</v>
      </c>
      <c r="E802" s="2">
        <v>5624</v>
      </c>
      <c r="F802">
        <v>48</v>
      </c>
      <c r="G802" s="2">
        <v>96957064</v>
      </c>
      <c r="H802" s="2">
        <v>1319260</v>
      </c>
      <c r="I802" s="2">
        <v>670846125</v>
      </c>
      <c r="J802">
        <v>2</v>
      </c>
      <c r="L802">
        <v>1</v>
      </c>
      <c r="M802" t="str">
        <f t="shared" si="12"/>
        <v>After 2020</v>
      </c>
    </row>
    <row r="803" spans="1:13" hidden="1">
      <c r="A803" t="s">
        <v>71</v>
      </c>
      <c r="B803" t="s">
        <v>72</v>
      </c>
      <c r="C803" s="1">
        <v>45331</v>
      </c>
      <c r="D803" s="2">
        <v>425058273</v>
      </c>
      <c r="E803" s="2">
        <v>2563</v>
      </c>
      <c r="G803" s="2">
        <v>46791219</v>
      </c>
      <c r="H803" s="2">
        <v>643498</v>
      </c>
      <c r="J803">
        <v>63</v>
      </c>
      <c r="L803">
        <v>0</v>
      </c>
      <c r="M803" t="str">
        <f t="shared" si="12"/>
        <v>After 2020</v>
      </c>
    </row>
    <row r="804" spans="1:13" hidden="1">
      <c r="A804" t="s">
        <v>1266</v>
      </c>
      <c r="B804" t="s">
        <v>1267</v>
      </c>
      <c r="C804" s="1">
        <v>45142</v>
      </c>
      <c r="D804" s="2">
        <v>159181956</v>
      </c>
      <c r="E804" s="2">
        <v>29011</v>
      </c>
      <c r="F804">
        <v>74</v>
      </c>
      <c r="G804" s="2">
        <v>159092284</v>
      </c>
      <c r="H804" s="2">
        <v>820029</v>
      </c>
      <c r="I804" s="2">
        <v>37717213</v>
      </c>
      <c r="J804">
        <v>38</v>
      </c>
      <c r="L804">
        <v>1</v>
      </c>
      <c r="M804" t="str">
        <f t="shared" si="12"/>
        <v>After 2020</v>
      </c>
    </row>
    <row r="805" spans="1:13" hidden="1">
      <c r="A805" t="s">
        <v>1268</v>
      </c>
      <c r="B805" t="s">
        <v>1269</v>
      </c>
      <c r="C805" s="1">
        <v>44961</v>
      </c>
      <c r="D805" s="2">
        <v>125047</v>
      </c>
      <c r="E805">
        <v>6</v>
      </c>
      <c r="F805">
        <v>14</v>
      </c>
      <c r="G805" s="2">
        <v>659724253</v>
      </c>
      <c r="H805" s="2">
        <v>4199987</v>
      </c>
      <c r="L805">
        <v>0</v>
      </c>
      <c r="M805" t="str">
        <f t="shared" si="12"/>
        <v>After 2020</v>
      </c>
    </row>
    <row r="806" spans="1:13" hidden="1">
      <c r="A806" t="s">
        <v>1270</v>
      </c>
      <c r="B806" t="s">
        <v>1271</v>
      </c>
      <c r="C806" s="1">
        <v>45175</v>
      </c>
      <c r="D806" s="2">
        <v>114381380</v>
      </c>
      <c r="E806" s="2">
        <v>15725</v>
      </c>
      <c r="F806">
        <v>67</v>
      </c>
      <c r="G806" s="2">
        <v>230252306</v>
      </c>
      <c r="H806" s="2">
        <v>1606934</v>
      </c>
      <c r="I806" s="2">
        <v>613717046</v>
      </c>
      <c r="J806">
        <v>33</v>
      </c>
      <c r="L806">
        <v>0</v>
      </c>
      <c r="M806" t="str">
        <f t="shared" si="12"/>
        <v>After 2020</v>
      </c>
    </row>
    <row r="807" spans="1:13" hidden="1">
      <c r="A807" t="s">
        <v>1272</v>
      </c>
      <c r="B807" t="s">
        <v>155</v>
      </c>
      <c r="C807" s="1">
        <v>45394</v>
      </c>
      <c r="D807" s="2">
        <v>428629823</v>
      </c>
      <c r="E807">
        <v>2</v>
      </c>
      <c r="L807">
        <v>0</v>
      </c>
      <c r="M807" t="str">
        <f t="shared" si="12"/>
        <v>After 2020</v>
      </c>
    </row>
    <row r="808" spans="1:13">
      <c r="A808" t="s">
        <v>1273</v>
      </c>
      <c r="B808" t="s">
        <v>912</v>
      </c>
      <c r="C808" s="1">
        <v>42397</v>
      </c>
      <c r="D808" s="2">
        <v>1399521364</v>
      </c>
      <c r="E808" s="2">
        <v>144823</v>
      </c>
      <c r="F808">
        <v>73</v>
      </c>
      <c r="G808" s="2">
        <v>1662063771</v>
      </c>
      <c r="H808" s="2">
        <v>10770107</v>
      </c>
      <c r="I808" s="2">
        <v>36448419</v>
      </c>
      <c r="J808">
        <v>432</v>
      </c>
      <c r="K808">
        <v>104</v>
      </c>
      <c r="L808">
        <v>1</v>
      </c>
      <c r="M808" t="str">
        <f t="shared" si="12"/>
        <v>2010-2020</v>
      </c>
    </row>
    <row r="809" spans="1:13">
      <c r="A809" t="s">
        <v>1274</v>
      </c>
      <c r="B809" t="s">
        <v>332</v>
      </c>
      <c r="C809" s="1">
        <v>44750</v>
      </c>
      <c r="D809" s="2">
        <v>724772954</v>
      </c>
      <c r="E809" s="2">
        <v>76821</v>
      </c>
      <c r="F809">
        <v>76</v>
      </c>
      <c r="G809" s="2">
        <v>395704504</v>
      </c>
      <c r="H809" s="2">
        <v>1556356</v>
      </c>
      <c r="I809" s="2">
        <v>237386912</v>
      </c>
      <c r="J809">
        <v>59</v>
      </c>
      <c r="K809">
        <v>239</v>
      </c>
      <c r="L809">
        <v>1</v>
      </c>
      <c r="M809" t="str">
        <f t="shared" si="12"/>
        <v>After 2020</v>
      </c>
    </row>
    <row r="810" spans="1:13" hidden="1">
      <c r="A810" t="s">
        <v>1275</v>
      </c>
      <c r="B810" t="s">
        <v>755</v>
      </c>
      <c r="C810" s="1">
        <v>45240</v>
      </c>
      <c r="D810" s="2">
        <v>154592041</v>
      </c>
      <c r="E810" s="2">
        <v>10814</v>
      </c>
      <c r="G810" s="2">
        <v>161998287</v>
      </c>
      <c r="H810" s="2">
        <v>2825345</v>
      </c>
      <c r="I810" s="2">
        <v>430312931</v>
      </c>
      <c r="J810">
        <v>7</v>
      </c>
      <c r="K810">
        <v>11</v>
      </c>
      <c r="L810">
        <v>0</v>
      </c>
      <c r="M810" t="str">
        <f t="shared" si="12"/>
        <v>After 2020</v>
      </c>
    </row>
    <row r="811" spans="1:13">
      <c r="A811" t="s">
        <v>1276</v>
      </c>
      <c r="B811" t="s">
        <v>449</v>
      </c>
      <c r="C811" s="1">
        <v>43840</v>
      </c>
      <c r="D811" s="2">
        <v>444934033</v>
      </c>
      <c r="E811" s="2">
        <v>141088</v>
      </c>
      <c r="F811">
        <v>66</v>
      </c>
      <c r="G811" s="2">
        <v>411628542</v>
      </c>
      <c r="H811" s="2">
        <v>2868681</v>
      </c>
      <c r="I811" s="2">
        <v>238372502</v>
      </c>
      <c r="J811">
        <v>63</v>
      </c>
      <c r="K811">
        <v>37</v>
      </c>
      <c r="L811">
        <v>1</v>
      </c>
      <c r="M811" t="str">
        <f t="shared" si="12"/>
        <v>2010-2020</v>
      </c>
    </row>
    <row r="812" spans="1:13">
      <c r="A812" t="s">
        <v>1277</v>
      </c>
      <c r="B812" t="s">
        <v>1278</v>
      </c>
      <c r="C812" s="1">
        <v>43556</v>
      </c>
      <c r="D812" s="2">
        <v>173526912</v>
      </c>
      <c r="E812" s="2">
        <v>28272</v>
      </c>
      <c r="F812">
        <v>46</v>
      </c>
      <c r="G812" s="2">
        <v>102774513</v>
      </c>
      <c r="H812" s="2">
        <v>1300907</v>
      </c>
      <c r="I812" s="2">
        <v>6653535769</v>
      </c>
      <c r="J812">
        <v>20</v>
      </c>
      <c r="K812">
        <v>46</v>
      </c>
      <c r="L812">
        <v>1</v>
      </c>
      <c r="M812" t="str">
        <f t="shared" si="12"/>
        <v>2010-2020</v>
      </c>
    </row>
    <row r="813" spans="1:13">
      <c r="A813" t="s">
        <v>1279</v>
      </c>
      <c r="B813" t="s">
        <v>1280</v>
      </c>
      <c r="C813" s="1">
        <v>42958</v>
      </c>
      <c r="D813" s="2">
        <v>1382191196</v>
      </c>
      <c r="E813" s="2">
        <v>119969</v>
      </c>
      <c r="F813">
        <v>66</v>
      </c>
      <c r="G813" s="2">
        <v>1318325154</v>
      </c>
      <c r="H813" s="2">
        <v>6888667</v>
      </c>
      <c r="I813" s="2">
        <v>260253261</v>
      </c>
      <c r="J813">
        <v>5</v>
      </c>
      <c r="K813">
        <v>652</v>
      </c>
      <c r="L813">
        <v>0</v>
      </c>
      <c r="M813" t="str">
        <f t="shared" si="12"/>
        <v>2010-2020</v>
      </c>
    </row>
    <row r="814" spans="1:13">
      <c r="A814" t="s">
        <v>1281</v>
      </c>
      <c r="B814" t="s">
        <v>148</v>
      </c>
      <c r="C814" s="1">
        <v>44190</v>
      </c>
      <c r="D814" s="2">
        <v>1105805922</v>
      </c>
      <c r="E814" s="2">
        <v>164541</v>
      </c>
      <c r="F814">
        <v>77</v>
      </c>
      <c r="G814" s="2">
        <v>295872840</v>
      </c>
      <c r="H814" s="2">
        <v>2947859</v>
      </c>
      <c r="I814" s="2">
        <v>920329965</v>
      </c>
      <c r="J814">
        <v>231</v>
      </c>
      <c r="K814">
        <v>266</v>
      </c>
      <c r="L814">
        <v>1</v>
      </c>
      <c r="M814" t="str">
        <f t="shared" si="12"/>
        <v>2010-2020</v>
      </c>
    </row>
    <row r="815" spans="1:13">
      <c r="A815" t="s">
        <v>1282</v>
      </c>
      <c r="B815" t="s">
        <v>520</v>
      </c>
      <c r="C815" s="1">
        <v>44314</v>
      </c>
      <c r="D815" s="2">
        <v>844630935</v>
      </c>
      <c r="E815" s="2">
        <v>94185</v>
      </c>
      <c r="F815">
        <v>74</v>
      </c>
      <c r="G815" s="2">
        <v>269892715</v>
      </c>
      <c r="H815" s="2">
        <v>2020373</v>
      </c>
      <c r="I815" s="2">
        <v>182430905</v>
      </c>
      <c r="J815">
        <v>147</v>
      </c>
      <c r="K815">
        <v>940</v>
      </c>
      <c r="L815">
        <v>0</v>
      </c>
      <c r="M815" t="str">
        <f t="shared" si="12"/>
        <v>After 2020</v>
      </c>
    </row>
    <row r="816" spans="1:13">
      <c r="A816" t="s">
        <v>1283</v>
      </c>
      <c r="B816" t="s">
        <v>1284</v>
      </c>
      <c r="C816" s="1">
        <v>43202</v>
      </c>
      <c r="D816" s="2">
        <v>1790579305</v>
      </c>
      <c r="E816" s="2">
        <v>180069</v>
      </c>
      <c r="F816">
        <v>76</v>
      </c>
      <c r="G816" s="2">
        <v>792369989</v>
      </c>
      <c r="H816" s="2">
        <v>7627895</v>
      </c>
      <c r="I816" s="2">
        <v>81167209</v>
      </c>
      <c r="J816">
        <v>148</v>
      </c>
      <c r="K816">
        <v>164</v>
      </c>
      <c r="L816">
        <v>0</v>
      </c>
      <c r="M816" t="str">
        <f t="shared" si="12"/>
        <v>2010-2020</v>
      </c>
    </row>
    <row r="817" spans="1:13">
      <c r="A817" t="s">
        <v>1285</v>
      </c>
      <c r="B817" t="s">
        <v>1286</v>
      </c>
      <c r="C817" s="1">
        <v>40909</v>
      </c>
      <c r="D817" s="2">
        <v>2916412507</v>
      </c>
      <c r="E817" s="2">
        <v>415650</v>
      </c>
      <c r="F817">
        <v>85</v>
      </c>
      <c r="G817" s="2">
        <v>1648485745</v>
      </c>
      <c r="H817" s="2">
        <v>18338729</v>
      </c>
      <c r="I817" s="2">
        <v>2911383718</v>
      </c>
      <c r="J817">
        <v>189</v>
      </c>
      <c r="K817">
        <v>39</v>
      </c>
      <c r="L817">
        <v>0</v>
      </c>
      <c r="M817" t="str">
        <f t="shared" si="12"/>
        <v>2010-2020</v>
      </c>
    </row>
    <row r="818" spans="1:13" hidden="1">
      <c r="A818" t="s">
        <v>1287</v>
      </c>
      <c r="B818" t="s">
        <v>1288</v>
      </c>
      <c r="C818" s="1">
        <v>45153</v>
      </c>
      <c r="D818" s="2">
        <v>8517888</v>
      </c>
      <c r="E818">
        <v>506</v>
      </c>
      <c r="F818">
        <v>43</v>
      </c>
      <c r="G818" s="2">
        <v>71408616</v>
      </c>
      <c r="H818" s="2">
        <v>296903</v>
      </c>
      <c r="I818" s="2">
        <v>540360680</v>
      </c>
      <c r="L818">
        <v>0</v>
      </c>
      <c r="M818" t="str">
        <f t="shared" si="12"/>
        <v>After 2020</v>
      </c>
    </row>
    <row r="819" spans="1:13" hidden="1">
      <c r="A819" t="s">
        <v>1289</v>
      </c>
      <c r="B819" t="s">
        <v>747</v>
      </c>
      <c r="C819" s="1">
        <v>45338</v>
      </c>
      <c r="D819" s="2">
        <v>92517121</v>
      </c>
      <c r="E819" s="2">
        <v>10195</v>
      </c>
      <c r="F819">
        <v>80</v>
      </c>
      <c r="G819" s="2">
        <v>4695846</v>
      </c>
      <c r="H819" s="2">
        <v>79415</v>
      </c>
      <c r="J819">
        <v>19</v>
      </c>
      <c r="L819">
        <v>1</v>
      </c>
      <c r="M819" t="str">
        <f t="shared" si="12"/>
        <v>After 2020</v>
      </c>
    </row>
    <row r="820" spans="1:13">
      <c r="A820" t="s">
        <v>1290</v>
      </c>
      <c r="B820" t="s">
        <v>1291</v>
      </c>
      <c r="C820" s="1">
        <v>43343</v>
      </c>
      <c r="D820" s="2">
        <v>634493511</v>
      </c>
      <c r="E820" s="2">
        <v>89559</v>
      </c>
      <c r="F820">
        <v>66</v>
      </c>
      <c r="G820" s="2">
        <v>325005278</v>
      </c>
      <c r="H820" s="2">
        <v>4709406</v>
      </c>
      <c r="I820" s="2">
        <v>6459413096</v>
      </c>
      <c r="J820">
        <v>48</v>
      </c>
      <c r="K820">
        <v>43</v>
      </c>
      <c r="L820">
        <v>0</v>
      </c>
      <c r="M820" t="str">
        <f t="shared" si="12"/>
        <v>2010-2020</v>
      </c>
    </row>
    <row r="821" spans="1:13">
      <c r="A821" t="s">
        <v>1292</v>
      </c>
      <c r="B821" t="s">
        <v>336</v>
      </c>
      <c r="C821" s="1">
        <v>42846</v>
      </c>
      <c r="D821" s="2">
        <v>932817713</v>
      </c>
      <c r="E821" s="2">
        <v>73487</v>
      </c>
      <c r="F821">
        <v>68</v>
      </c>
      <c r="G821" s="2">
        <v>2349558424</v>
      </c>
      <c r="H821" s="2">
        <v>9318868</v>
      </c>
      <c r="I821" s="2">
        <v>177718441</v>
      </c>
      <c r="J821">
        <v>100</v>
      </c>
      <c r="K821">
        <v>122</v>
      </c>
      <c r="L821">
        <v>0</v>
      </c>
      <c r="M821" t="str">
        <f t="shared" si="12"/>
        <v>2010-2020</v>
      </c>
    </row>
    <row r="822" spans="1:13" hidden="1">
      <c r="A822" t="s">
        <v>1293</v>
      </c>
      <c r="B822" t="s">
        <v>1294</v>
      </c>
      <c r="C822" s="1">
        <v>44259</v>
      </c>
      <c r="G822" s="2">
        <v>1562650492</v>
      </c>
      <c r="H822" s="2">
        <v>3425982</v>
      </c>
      <c r="I822">
        <v>747</v>
      </c>
      <c r="L822">
        <v>0</v>
      </c>
      <c r="M822" t="str">
        <f t="shared" si="12"/>
        <v>After 2020</v>
      </c>
    </row>
    <row r="823" spans="1:13">
      <c r="A823" t="s">
        <v>1295</v>
      </c>
      <c r="B823" t="s">
        <v>1296</v>
      </c>
      <c r="C823" s="1">
        <v>43923</v>
      </c>
      <c r="D823" s="2">
        <v>468900803</v>
      </c>
      <c r="E823" s="2">
        <v>62750</v>
      </c>
      <c r="F823">
        <v>60</v>
      </c>
      <c r="G823" s="2">
        <v>1137550621</v>
      </c>
      <c r="H823" s="2">
        <v>7566148</v>
      </c>
      <c r="I823" s="2">
        <v>1052766873</v>
      </c>
      <c r="J823">
        <v>29</v>
      </c>
      <c r="K823">
        <v>31</v>
      </c>
      <c r="L823">
        <v>0</v>
      </c>
      <c r="M823" t="str">
        <f t="shared" si="12"/>
        <v>2010-2020</v>
      </c>
    </row>
    <row r="824" spans="1:13" hidden="1">
      <c r="A824" t="s">
        <v>1297</v>
      </c>
      <c r="B824" t="s">
        <v>1298</v>
      </c>
      <c r="C824" s="1">
        <v>45156</v>
      </c>
      <c r="D824" s="2">
        <v>333899135</v>
      </c>
      <c r="E824" s="2">
        <v>24862</v>
      </c>
      <c r="F824">
        <v>75</v>
      </c>
      <c r="G824" s="2">
        <v>180084509</v>
      </c>
      <c r="H824" s="2">
        <v>900128</v>
      </c>
      <c r="I824" s="2">
        <v>704890346</v>
      </c>
      <c r="J824">
        <v>14</v>
      </c>
      <c r="L824">
        <v>1</v>
      </c>
      <c r="M824" t="str">
        <f t="shared" si="12"/>
        <v>After 2020</v>
      </c>
    </row>
    <row r="825" spans="1:13">
      <c r="A825" t="s">
        <v>1299</v>
      </c>
      <c r="B825" t="s">
        <v>1300</v>
      </c>
      <c r="C825" s="1">
        <v>43942</v>
      </c>
      <c r="D825" s="2">
        <v>730440576</v>
      </c>
      <c r="E825" s="2">
        <v>115574</v>
      </c>
      <c r="F825">
        <v>67</v>
      </c>
      <c r="G825" s="2">
        <v>199161217</v>
      </c>
      <c r="H825" s="2">
        <v>2037639</v>
      </c>
      <c r="I825" s="2">
        <v>3194124847</v>
      </c>
      <c r="J825">
        <v>62</v>
      </c>
      <c r="K825">
        <v>90</v>
      </c>
      <c r="L825">
        <v>0</v>
      </c>
      <c r="M825" t="str">
        <f t="shared" si="12"/>
        <v>2010-2020</v>
      </c>
    </row>
    <row r="826" spans="1:13">
      <c r="A826" t="s">
        <v>1301</v>
      </c>
      <c r="B826" t="s">
        <v>127</v>
      </c>
      <c r="C826" s="1">
        <v>42691</v>
      </c>
      <c r="D826" s="2">
        <v>1749088490</v>
      </c>
      <c r="E826" s="2">
        <v>193568</v>
      </c>
      <c r="F826">
        <v>72</v>
      </c>
      <c r="G826" s="2">
        <v>1489647996</v>
      </c>
      <c r="H826" s="2">
        <v>7616181</v>
      </c>
      <c r="I826" s="2">
        <v>36437</v>
      </c>
      <c r="J826">
        <v>298</v>
      </c>
      <c r="K826">
        <v>212</v>
      </c>
      <c r="L826">
        <v>0</v>
      </c>
      <c r="M826" t="str">
        <f t="shared" si="12"/>
        <v>2010-2020</v>
      </c>
    </row>
    <row r="827" spans="1:13" hidden="1">
      <c r="A827" t="s">
        <v>1302</v>
      </c>
      <c r="B827" t="s">
        <v>1303</v>
      </c>
      <c r="C827" s="1">
        <v>45310</v>
      </c>
      <c r="D827" s="2">
        <v>39401314</v>
      </c>
      <c r="E827" s="2">
        <v>7442</v>
      </c>
      <c r="G827" s="2">
        <v>45484183</v>
      </c>
      <c r="H827" s="2">
        <v>363079</v>
      </c>
      <c r="I827" s="2">
        <v>46178900</v>
      </c>
      <c r="J827">
        <v>31</v>
      </c>
      <c r="K827" s="2">
        <v>2757</v>
      </c>
      <c r="L827">
        <v>1</v>
      </c>
      <c r="M827" t="str">
        <f t="shared" si="12"/>
        <v>After 2020</v>
      </c>
    </row>
    <row r="828" spans="1:13">
      <c r="A828" t="s">
        <v>1304</v>
      </c>
      <c r="B828" t="s">
        <v>1305</v>
      </c>
      <c r="C828" s="1">
        <v>44021</v>
      </c>
      <c r="D828" s="2">
        <v>391856304</v>
      </c>
      <c r="E828" s="2">
        <v>68311</v>
      </c>
      <c r="F828">
        <v>58</v>
      </c>
      <c r="G828" s="2">
        <v>1040938222</v>
      </c>
      <c r="H828" s="2">
        <v>8443453</v>
      </c>
      <c r="I828" s="2">
        <v>1423789944</v>
      </c>
      <c r="J828">
        <v>73</v>
      </c>
      <c r="K828">
        <v>309</v>
      </c>
      <c r="L828">
        <v>0</v>
      </c>
      <c r="M828" t="str">
        <f t="shared" si="12"/>
        <v>2010-2020</v>
      </c>
    </row>
    <row r="829" spans="1:13">
      <c r="A829" t="s">
        <v>1306</v>
      </c>
      <c r="B829" t="s">
        <v>1307</v>
      </c>
      <c r="C829" s="1">
        <v>42572</v>
      </c>
      <c r="D829" s="2">
        <v>1013083048</v>
      </c>
      <c r="E829" s="2">
        <v>170367</v>
      </c>
      <c r="F829">
        <v>74</v>
      </c>
      <c r="G829" s="2">
        <v>1900272147</v>
      </c>
      <c r="H829" s="2">
        <v>12302869</v>
      </c>
      <c r="I829" s="2">
        <v>1070508080</v>
      </c>
      <c r="J829">
        <v>197</v>
      </c>
      <c r="K829">
        <v>138</v>
      </c>
      <c r="L829">
        <v>0</v>
      </c>
      <c r="M829" t="str">
        <f t="shared" si="12"/>
        <v>2010-2020</v>
      </c>
    </row>
    <row r="830" spans="1:13" hidden="1">
      <c r="A830" t="s">
        <v>1308</v>
      </c>
      <c r="B830" t="s">
        <v>53</v>
      </c>
      <c r="C830" s="1">
        <v>45394</v>
      </c>
      <c r="D830" s="2">
        <v>64193671</v>
      </c>
      <c r="E830" s="2">
        <v>9077</v>
      </c>
      <c r="G830" s="2">
        <v>10688644</v>
      </c>
      <c r="H830" s="2">
        <v>234397</v>
      </c>
      <c r="J830">
        <v>31</v>
      </c>
      <c r="L830">
        <v>1</v>
      </c>
      <c r="M830" t="str">
        <f t="shared" si="12"/>
        <v>After 2020</v>
      </c>
    </row>
    <row r="831" spans="1:13" hidden="1">
      <c r="A831" t="s">
        <v>1309</v>
      </c>
      <c r="B831" t="s">
        <v>1310</v>
      </c>
      <c r="C831" s="1">
        <v>44575</v>
      </c>
      <c r="D831" s="2">
        <v>652949750</v>
      </c>
      <c r="E831" s="2">
        <v>72344</v>
      </c>
      <c r="F831">
        <v>79</v>
      </c>
      <c r="G831" s="2">
        <v>46232838</v>
      </c>
      <c r="H831" s="2">
        <v>980365</v>
      </c>
      <c r="I831" s="2">
        <v>10888392002</v>
      </c>
      <c r="J831">
        <v>12</v>
      </c>
      <c r="L831">
        <v>0</v>
      </c>
      <c r="M831" t="str">
        <f t="shared" si="12"/>
        <v>After 2020</v>
      </c>
    </row>
    <row r="832" spans="1:13" hidden="1">
      <c r="A832" t="s">
        <v>1311</v>
      </c>
      <c r="B832" t="s">
        <v>1312</v>
      </c>
      <c r="C832" s="1">
        <v>45267</v>
      </c>
      <c r="D832" s="2">
        <v>230291754</v>
      </c>
      <c r="E832" s="2">
        <v>11519</v>
      </c>
      <c r="F832">
        <v>78</v>
      </c>
      <c r="G832" s="2">
        <v>113183874</v>
      </c>
      <c r="H832" s="2">
        <v>658962</v>
      </c>
      <c r="J832">
        <v>8</v>
      </c>
      <c r="L832">
        <v>0</v>
      </c>
      <c r="M832" t="str">
        <f t="shared" si="12"/>
        <v>After 2020</v>
      </c>
    </row>
    <row r="833" spans="1:13">
      <c r="A833" t="s">
        <v>1313</v>
      </c>
      <c r="B833" t="s">
        <v>1314</v>
      </c>
      <c r="C833" s="1">
        <v>45232</v>
      </c>
      <c r="D833" s="2">
        <v>184441175</v>
      </c>
      <c r="E833" s="2">
        <v>17845</v>
      </c>
      <c r="F833">
        <v>73</v>
      </c>
      <c r="G833" s="2">
        <v>109532952</v>
      </c>
      <c r="H833" s="2">
        <v>635058</v>
      </c>
      <c r="I833" s="2">
        <v>529217516</v>
      </c>
      <c r="J833">
        <v>55</v>
      </c>
      <c r="K833" s="2">
        <v>1320</v>
      </c>
      <c r="L833">
        <v>0</v>
      </c>
      <c r="M833" t="str">
        <f t="shared" si="12"/>
        <v>After 2020</v>
      </c>
    </row>
    <row r="834" spans="1:13" hidden="1">
      <c r="A834" t="s">
        <v>1315</v>
      </c>
      <c r="B834" t="s">
        <v>633</v>
      </c>
      <c r="C834" s="1">
        <v>45212</v>
      </c>
      <c r="D834" s="2">
        <v>178950943</v>
      </c>
      <c r="E834" s="2">
        <v>29895</v>
      </c>
      <c r="F834">
        <v>80</v>
      </c>
      <c r="G834" s="2">
        <v>113884335</v>
      </c>
      <c r="H834" s="2">
        <v>541097</v>
      </c>
      <c r="J834">
        <v>23</v>
      </c>
      <c r="L834">
        <v>1</v>
      </c>
      <c r="M834" t="str">
        <f t="shared" si="12"/>
        <v>After 2020</v>
      </c>
    </row>
    <row r="835" spans="1:13" hidden="1">
      <c r="A835" t="s">
        <v>1316</v>
      </c>
      <c r="B835" t="s">
        <v>1317</v>
      </c>
      <c r="C835" s="1">
        <v>44876</v>
      </c>
      <c r="D835" s="2">
        <v>54513960</v>
      </c>
      <c r="E835" s="2">
        <v>13089</v>
      </c>
      <c r="F835">
        <v>52</v>
      </c>
      <c r="G835" s="2">
        <v>183119</v>
      </c>
      <c r="H835" s="2">
        <v>2667</v>
      </c>
      <c r="I835" s="2">
        <v>6429494637</v>
      </c>
      <c r="J835">
        <v>2</v>
      </c>
      <c r="L835">
        <v>0</v>
      </c>
      <c r="M835" t="str">
        <f t="shared" ref="M835:M898" si="13">IF(YEAR(C835)&lt;2010,"Before 2010",IF(YEAR(C835)&lt;=2020,"2010-2020","After 2020"))</f>
        <v>After 2020</v>
      </c>
    </row>
    <row r="836" spans="1:13" hidden="1">
      <c r="A836" t="s">
        <v>1318</v>
      </c>
      <c r="B836" t="s">
        <v>391</v>
      </c>
      <c r="C836" s="1">
        <v>44071</v>
      </c>
      <c r="D836" s="2">
        <v>574505748</v>
      </c>
      <c r="E836" s="2">
        <v>47463</v>
      </c>
      <c r="F836">
        <v>58</v>
      </c>
      <c r="G836" s="2">
        <v>1037344011</v>
      </c>
      <c r="H836" s="2">
        <v>21343581</v>
      </c>
      <c r="I836" s="2">
        <v>1928057718</v>
      </c>
      <c r="J836">
        <v>87</v>
      </c>
      <c r="L836">
        <v>0</v>
      </c>
      <c r="M836" t="str">
        <f t="shared" si="13"/>
        <v>2010-2020</v>
      </c>
    </row>
    <row r="837" spans="1:13">
      <c r="A837" t="s">
        <v>1319</v>
      </c>
      <c r="B837" t="s">
        <v>1320</v>
      </c>
      <c r="C837" s="1">
        <v>45383</v>
      </c>
      <c r="D837" s="2">
        <v>75894056</v>
      </c>
      <c r="E837" s="2">
        <v>2524</v>
      </c>
      <c r="F837">
        <v>84</v>
      </c>
      <c r="G837" s="2">
        <v>70842688</v>
      </c>
      <c r="H837" s="2">
        <v>1388774</v>
      </c>
      <c r="I837" s="2">
        <v>59546295</v>
      </c>
      <c r="J837">
        <v>9</v>
      </c>
      <c r="K837">
        <v>52</v>
      </c>
      <c r="L837">
        <v>0</v>
      </c>
      <c r="M837" t="str">
        <f t="shared" si="13"/>
        <v>After 2020</v>
      </c>
    </row>
    <row r="838" spans="1:13" hidden="1">
      <c r="A838" t="s">
        <v>1321</v>
      </c>
      <c r="B838" t="s">
        <v>99</v>
      </c>
      <c r="C838" s="1">
        <v>45422</v>
      </c>
      <c r="D838" s="2">
        <v>58469975</v>
      </c>
      <c r="E838" s="2">
        <v>7073</v>
      </c>
      <c r="F838">
        <v>82</v>
      </c>
      <c r="G838" s="2">
        <v>4436805</v>
      </c>
      <c r="H838" s="2">
        <v>59189</v>
      </c>
      <c r="K838">
        <v>41</v>
      </c>
      <c r="L838">
        <v>1</v>
      </c>
      <c r="M838" t="str">
        <f t="shared" si="13"/>
        <v>After 2020</v>
      </c>
    </row>
    <row r="839" spans="1:13" hidden="1">
      <c r="A839" t="s">
        <v>1322</v>
      </c>
      <c r="B839" t="s">
        <v>1323</v>
      </c>
      <c r="C839" s="1">
        <v>45261</v>
      </c>
      <c r="D839" s="2">
        <v>200151839</v>
      </c>
      <c r="E839" s="2">
        <v>32776</v>
      </c>
      <c r="F839">
        <v>82</v>
      </c>
      <c r="G839" s="2">
        <v>11597448</v>
      </c>
      <c r="H839" s="2">
        <v>140956</v>
      </c>
      <c r="J839">
        <v>55</v>
      </c>
      <c r="L839">
        <v>0</v>
      </c>
      <c r="M839" t="str">
        <f t="shared" si="13"/>
        <v>After 2020</v>
      </c>
    </row>
    <row r="840" spans="1:13" hidden="1">
      <c r="A840" t="s">
        <v>1324</v>
      </c>
      <c r="B840" t="s">
        <v>546</v>
      </c>
      <c r="C840" s="1">
        <v>44962</v>
      </c>
      <c r="D840" s="2">
        <v>377174503</v>
      </c>
      <c r="E840" s="2">
        <v>100095</v>
      </c>
      <c r="F840">
        <v>71</v>
      </c>
      <c r="L840">
        <v>1</v>
      </c>
      <c r="M840" t="str">
        <f t="shared" si="13"/>
        <v>After 2020</v>
      </c>
    </row>
    <row r="841" spans="1:13">
      <c r="A841" t="s">
        <v>1325</v>
      </c>
      <c r="B841" t="s">
        <v>1326</v>
      </c>
      <c r="C841" s="1">
        <v>43489</v>
      </c>
      <c r="D841" s="2">
        <v>1285518117</v>
      </c>
      <c r="E841" s="2">
        <v>221749</v>
      </c>
      <c r="F841">
        <v>74</v>
      </c>
      <c r="G841" s="2">
        <v>606135388</v>
      </c>
      <c r="H841" s="2">
        <v>5429579</v>
      </c>
      <c r="I841" s="2">
        <v>72297780</v>
      </c>
      <c r="J841">
        <v>119</v>
      </c>
      <c r="K841">
        <v>92</v>
      </c>
      <c r="L841">
        <v>1</v>
      </c>
      <c r="M841" t="str">
        <f t="shared" si="13"/>
        <v>2010-2020</v>
      </c>
    </row>
    <row r="842" spans="1:13">
      <c r="A842" t="s">
        <v>1327</v>
      </c>
      <c r="B842" t="s">
        <v>1328</v>
      </c>
      <c r="C842" s="1">
        <v>44505</v>
      </c>
      <c r="D842" s="2">
        <v>274647899</v>
      </c>
      <c r="E842" s="2">
        <v>96137</v>
      </c>
      <c r="F842">
        <v>60</v>
      </c>
      <c r="G842" s="2">
        <v>64640927</v>
      </c>
      <c r="H842" s="2">
        <v>776716</v>
      </c>
      <c r="I842" s="2">
        <v>7062611890</v>
      </c>
      <c r="J842">
        <v>22</v>
      </c>
      <c r="K842" s="2">
        <v>2397</v>
      </c>
      <c r="L842">
        <v>1</v>
      </c>
      <c r="M842" t="str">
        <f t="shared" si="13"/>
        <v>After 2020</v>
      </c>
    </row>
    <row r="843" spans="1:13">
      <c r="A843" t="s">
        <v>1329</v>
      </c>
      <c r="B843" t="s">
        <v>1330</v>
      </c>
      <c r="C843" s="1">
        <v>44351</v>
      </c>
      <c r="D843" s="2">
        <v>328697441</v>
      </c>
      <c r="E843" s="2">
        <v>56746</v>
      </c>
      <c r="F843">
        <v>66</v>
      </c>
      <c r="G843" s="2">
        <v>174775864</v>
      </c>
      <c r="H843" s="2">
        <v>1192058</v>
      </c>
      <c r="I843" s="2">
        <v>2074178281</v>
      </c>
      <c r="J843">
        <v>53</v>
      </c>
      <c r="K843" s="2">
        <v>1089</v>
      </c>
      <c r="L843">
        <v>0</v>
      </c>
      <c r="M843" t="str">
        <f t="shared" si="13"/>
        <v>After 2020</v>
      </c>
    </row>
    <row r="844" spans="1:13" hidden="1">
      <c r="A844" t="s">
        <v>1331</v>
      </c>
      <c r="B844" t="s">
        <v>1332</v>
      </c>
      <c r="C844" s="1">
        <v>44540</v>
      </c>
      <c r="D844" s="2">
        <v>806918358</v>
      </c>
      <c r="E844" s="2">
        <v>152298</v>
      </c>
      <c r="F844">
        <v>79</v>
      </c>
      <c r="G844" s="2">
        <v>105278538</v>
      </c>
      <c r="H844" s="2">
        <v>1053733</v>
      </c>
      <c r="I844" s="2">
        <v>251896836</v>
      </c>
      <c r="J844">
        <v>22</v>
      </c>
      <c r="L844">
        <v>0</v>
      </c>
      <c r="M844" t="str">
        <f t="shared" si="13"/>
        <v>After 2020</v>
      </c>
    </row>
    <row r="845" spans="1:13">
      <c r="A845" t="s">
        <v>1333</v>
      </c>
      <c r="B845" t="s">
        <v>170</v>
      </c>
      <c r="C845" s="1">
        <v>45121</v>
      </c>
      <c r="D845" s="2">
        <v>240161044</v>
      </c>
      <c r="E845" s="2">
        <v>22270</v>
      </c>
      <c r="F845">
        <v>64</v>
      </c>
      <c r="G845" s="2">
        <v>164645464</v>
      </c>
      <c r="H845" s="2">
        <v>1308408</v>
      </c>
      <c r="I845" s="2">
        <v>257922639</v>
      </c>
      <c r="J845">
        <v>40</v>
      </c>
      <c r="K845">
        <v>572</v>
      </c>
      <c r="L845">
        <v>0</v>
      </c>
      <c r="M845" t="str">
        <f t="shared" si="13"/>
        <v>After 2020</v>
      </c>
    </row>
    <row r="846" spans="1:13">
      <c r="A846" t="s">
        <v>1334</v>
      </c>
      <c r="B846" t="s">
        <v>382</v>
      </c>
      <c r="C846" s="1">
        <v>44449</v>
      </c>
      <c r="D846" s="2">
        <v>502655066</v>
      </c>
      <c r="E846" s="2">
        <v>33286</v>
      </c>
      <c r="F846">
        <v>73</v>
      </c>
      <c r="G846" s="2">
        <v>900358198</v>
      </c>
      <c r="H846" s="2">
        <v>23155453</v>
      </c>
      <c r="I846" s="2">
        <v>1612602199</v>
      </c>
      <c r="J846">
        <v>19</v>
      </c>
      <c r="K846">
        <v>134</v>
      </c>
      <c r="L846">
        <v>0</v>
      </c>
      <c r="M846" t="str">
        <f t="shared" si="13"/>
        <v>After 2020</v>
      </c>
    </row>
    <row r="847" spans="1:13" hidden="1">
      <c r="A847" t="s">
        <v>1335</v>
      </c>
      <c r="B847" t="s">
        <v>112</v>
      </c>
      <c r="C847" s="1">
        <v>43917</v>
      </c>
      <c r="D847" s="2">
        <v>946842175</v>
      </c>
      <c r="E847" s="2">
        <v>145601</v>
      </c>
      <c r="F847">
        <v>73</v>
      </c>
      <c r="G847" s="2">
        <v>39855160</v>
      </c>
      <c r="H847" s="2">
        <v>660222</v>
      </c>
      <c r="I847" s="2">
        <v>4779580212</v>
      </c>
      <c r="J847">
        <v>269</v>
      </c>
      <c r="L847">
        <v>0</v>
      </c>
      <c r="M847" t="str">
        <f t="shared" si="13"/>
        <v>2010-2020</v>
      </c>
    </row>
    <row r="848" spans="1:13">
      <c r="A848" t="s">
        <v>1336</v>
      </c>
      <c r="B848" t="s">
        <v>200</v>
      </c>
      <c r="C848" s="1">
        <v>45099</v>
      </c>
      <c r="D848" s="2">
        <v>246224964</v>
      </c>
      <c r="E848" s="2">
        <v>23436</v>
      </c>
      <c r="F848">
        <v>73</v>
      </c>
      <c r="G848" s="2">
        <v>147798315</v>
      </c>
      <c r="H848" s="2">
        <v>492303</v>
      </c>
      <c r="I848" s="2">
        <v>278318607</v>
      </c>
      <c r="J848">
        <v>22</v>
      </c>
      <c r="K848">
        <v>1</v>
      </c>
      <c r="L848">
        <v>1</v>
      </c>
      <c r="M848" t="str">
        <f t="shared" si="13"/>
        <v>After 2020</v>
      </c>
    </row>
    <row r="849" spans="1:13">
      <c r="A849" t="s">
        <v>1337</v>
      </c>
      <c r="B849" t="s">
        <v>892</v>
      </c>
      <c r="C849" s="1">
        <v>45182</v>
      </c>
      <c r="D849" s="2">
        <v>105947434</v>
      </c>
      <c r="E849" s="2">
        <v>11648</v>
      </c>
      <c r="F849">
        <v>6</v>
      </c>
      <c r="G849" s="2">
        <v>27707323</v>
      </c>
      <c r="H849" s="2">
        <v>325476</v>
      </c>
      <c r="I849" s="2">
        <v>12855128</v>
      </c>
      <c r="J849">
        <v>55</v>
      </c>
      <c r="K849">
        <v>172</v>
      </c>
      <c r="L849">
        <v>0</v>
      </c>
      <c r="M849" t="str">
        <f t="shared" si="13"/>
        <v>After 2020</v>
      </c>
    </row>
    <row r="850" spans="1:13" hidden="1">
      <c r="A850" t="s">
        <v>1338</v>
      </c>
      <c r="B850" t="s">
        <v>838</v>
      </c>
      <c r="C850" s="1">
        <v>45358</v>
      </c>
      <c r="D850" s="2">
        <v>71944011</v>
      </c>
      <c r="E850" s="2">
        <v>5329</v>
      </c>
      <c r="F850">
        <v>67</v>
      </c>
      <c r="G850" s="2">
        <v>89527069</v>
      </c>
      <c r="H850" s="2">
        <v>935574</v>
      </c>
      <c r="L850">
        <v>1</v>
      </c>
      <c r="M850" t="str">
        <f t="shared" si="13"/>
        <v>After 2020</v>
      </c>
    </row>
    <row r="851" spans="1:13" hidden="1">
      <c r="A851" t="s">
        <v>1339</v>
      </c>
      <c r="B851" t="s">
        <v>1340</v>
      </c>
      <c r="C851" s="1">
        <v>45310</v>
      </c>
      <c r="D851" s="2">
        <v>114992281</v>
      </c>
      <c r="E851" s="2">
        <v>3618</v>
      </c>
      <c r="F851">
        <v>75</v>
      </c>
      <c r="G851" s="2">
        <v>144797885</v>
      </c>
      <c r="H851" s="2">
        <v>1123962</v>
      </c>
      <c r="J851">
        <v>19</v>
      </c>
      <c r="L851">
        <v>0</v>
      </c>
      <c r="M851" t="str">
        <f t="shared" si="13"/>
        <v>After 2020</v>
      </c>
    </row>
    <row r="852" spans="1:13" hidden="1">
      <c r="A852" t="s">
        <v>1341</v>
      </c>
      <c r="B852" t="s">
        <v>1342</v>
      </c>
      <c r="C852" s="1">
        <v>45248</v>
      </c>
      <c r="D852" s="2">
        <v>123276250</v>
      </c>
      <c r="E852" s="2">
        <v>8330</v>
      </c>
      <c r="G852" s="2">
        <v>208302578</v>
      </c>
      <c r="H852" s="2">
        <v>1903455</v>
      </c>
      <c r="J852">
        <v>6</v>
      </c>
      <c r="L852">
        <v>0</v>
      </c>
      <c r="M852" t="str">
        <f t="shared" si="13"/>
        <v>After 2020</v>
      </c>
    </row>
    <row r="853" spans="1:13">
      <c r="A853" t="s">
        <v>1343</v>
      </c>
      <c r="B853" t="s">
        <v>233</v>
      </c>
      <c r="C853" s="1">
        <v>40909</v>
      </c>
      <c r="D853" s="2">
        <v>2270796677</v>
      </c>
      <c r="E853" s="2">
        <v>263640</v>
      </c>
      <c r="F853">
        <v>80</v>
      </c>
      <c r="G853" s="2">
        <v>1738647396</v>
      </c>
      <c r="H853" s="2">
        <v>12375429</v>
      </c>
      <c r="I853" s="2">
        <v>296361891</v>
      </c>
      <c r="J853">
        <v>70</v>
      </c>
      <c r="K853">
        <v>465</v>
      </c>
      <c r="L853">
        <v>0</v>
      </c>
      <c r="M853" t="str">
        <f t="shared" si="13"/>
        <v>2010-2020</v>
      </c>
    </row>
    <row r="854" spans="1:13">
      <c r="A854" t="s">
        <v>1344</v>
      </c>
      <c r="B854" t="s">
        <v>1345</v>
      </c>
      <c r="C854" s="1">
        <v>43784</v>
      </c>
      <c r="D854" s="2">
        <v>738407486</v>
      </c>
      <c r="E854" s="2">
        <v>111662</v>
      </c>
      <c r="F854">
        <v>62</v>
      </c>
      <c r="G854" s="2">
        <v>363250356</v>
      </c>
      <c r="H854" s="2">
        <v>4622840</v>
      </c>
      <c r="I854" s="2">
        <v>3587729796</v>
      </c>
      <c r="J854">
        <v>153</v>
      </c>
      <c r="K854">
        <v>150</v>
      </c>
      <c r="L854">
        <v>1</v>
      </c>
      <c r="M854" t="str">
        <f t="shared" si="13"/>
        <v>2010-2020</v>
      </c>
    </row>
    <row r="855" spans="1:13" hidden="1">
      <c r="A855" t="s">
        <v>1346</v>
      </c>
      <c r="B855" t="s">
        <v>1347</v>
      </c>
      <c r="C855" s="1">
        <v>40867</v>
      </c>
      <c r="D855" s="2">
        <v>2080878370</v>
      </c>
      <c r="E855" s="2">
        <v>242511</v>
      </c>
      <c r="F855">
        <v>76</v>
      </c>
      <c r="G855" s="2">
        <v>308933095</v>
      </c>
      <c r="H855" s="2">
        <v>2370617</v>
      </c>
      <c r="I855" s="2">
        <v>289518843</v>
      </c>
      <c r="J855">
        <v>497</v>
      </c>
      <c r="L855">
        <v>1</v>
      </c>
      <c r="M855" t="str">
        <f t="shared" si="13"/>
        <v>2010-2020</v>
      </c>
    </row>
    <row r="856" spans="1:13">
      <c r="A856" t="s">
        <v>1348</v>
      </c>
      <c r="B856" t="s">
        <v>295</v>
      </c>
      <c r="C856" s="1">
        <v>44869</v>
      </c>
      <c r="D856" s="2">
        <v>356685934</v>
      </c>
      <c r="E856" s="2">
        <v>88034</v>
      </c>
      <c r="F856">
        <v>71</v>
      </c>
      <c r="G856" s="2">
        <v>56086730</v>
      </c>
      <c r="H856" s="2">
        <v>430375</v>
      </c>
      <c r="I856" s="2">
        <v>229937284</v>
      </c>
      <c r="J856">
        <v>37</v>
      </c>
      <c r="K856">
        <v>93</v>
      </c>
      <c r="L856">
        <v>1</v>
      </c>
      <c r="M856" t="str">
        <f t="shared" si="13"/>
        <v>After 2020</v>
      </c>
    </row>
    <row r="857" spans="1:13">
      <c r="A857" t="s">
        <v>1349</v>
      </c>
      <c r="B857" t="s">
        <v>1350</v>
      </c>
      <c r="C857" s="1">
        <v>45057</v>
      </c>
      <c r="D857" s="2">
        <v>368256958</v>
      </c>
      <c r="E857" s="2">
        <v>53922</v>
      </c>
      <c r="F857">
        <v>73</v>
      </c>
      <c r="G857" s="2">
        <v>69276606</v>
      </c>
      <c r="H857" s="2">
        <v>1394619</v>
      </c>
      <c r="I857" s="2">
        <v>772554264</v>
      </c>
      <c r="J857">
        <v>27</v>
      </c>
      <c r="K857">
        <v>319</v>
      </c>
      <c r="L857">
        <v>0</v>
      </c>
      <c r="M857" t="str">
        <f t="shared" si="13"/>
        <v>After 2020</v>
      </c>
    </row>
    <row r="858" spans="1:13">
      <c r="A858" t="s">
        <v>1351</v>
      </c>
      <c r="B858" t="s">
        <v>1352</v>
      </c>
      <c r="C858" s="1">
        <v>44664</v>
      </c>
      <c r="D858" s="2">
        <v>166161044</v>
      </c>
      <c r="E858" s="2">
        <v>22288</v>
      </c>
      <c r="F858">
        <v>61</v>
      </c>
      <c r="G858" s="2">
        <v>303569838</v>
      </c>
      <c r="H858" s="2">
        <v>5827005</v>
      </c>
      <c r="I858" s="2">
        <v>9393168416</v>
      </c>
      <c r="J858">
        <v>5</v>
      </c>
      <c r="K858">
        <v>32</v>
      </c>
      <c r="L858">
        <v>0</v>
      </c>
      <c r="M858" t="str">
        <f t="shared" si="13"/>
        <v>After 2020</v>
      </c>
    </row>
    <row r="859" spans="1:13">
      <c r="A859" t="s">
        <v>1353</v>
      </c>
      <c r="B859" t="s">
        <v>127</v>
      </c>
      <c r="C859" s="1">
        <v>42065</v>
      </c>
      <c r="D859" s="2">
        <v>1747534539</v>
      </c>
      <c r="E859" s="2">
        <v>212829</v>
      </c>
      <c r="F859">
        <v>76</v>
      </c>
      <c r="G859" s="2">
        <v>1689190795</v>
      </c>
      <c r="H859" s="2">
        <v>8927108</v>
      </c>
      <c r="I859" s="2">
        <v>264572676</v>
      </c>
      <c r="J859">
        <v>433</v>
      </c>
      <c r="K859">
        <v>474</v>
      </c>
      <c r="L859">
        <v>0</v>
      </c>
      <c r="M859" t="str">
        <f t="shared" si="13"/>
        <v>2010-2020</v>
      </c>
    </row>
    <row r="860" spans="1:13" hidden="1">
      <c r="A860" t="s">
        <v>1354</v>
      </c>
      <c r="B860" t="s">
        <v>1355</v>
      </c>
      <c r="C860" s="1">
        <v>45015</v>
      </c>
      <c r="D860" s="2">
        <v>213405904</v>
      </c>
      <c r="E860" s="2">
        <v>17694</v>
      </c>
      <c r="F860">
        <v>70</v>
      </c>
      <c r="G860" s="2">
        <v>401470868</v>
      </c>
      <c r="H860" s="2">
        <v>961314</v>
      </c>
      <c r="J860">
        <v>15</v>
      </c>
      <c r="L860">
        <v>0</v>
      </c>
      <c r="M860" t="str">
        <f t="shared" si="13"/>
        <v>After 2020</v>
      </c>
    </row>
    <row r="861" spans="1:13">
      <c r="A861" t="s">
        <v>1356</v>
      </c>
      <c r="B861" t="s">
        <v>1357</v>
      </c>
      <c r="C861" s="1">
        <v>40544</v>
      </c>
      <c r="D861" s="2">
        <v>436722440</v>
      </c>
      <c r="E861" s="2">
        <v>107912</v>
      </c>
      <c r="F861">
        <v>62</v>
      </c>
      <c r="G861" s="2">
        <v>1193724016</v>
      </c>
      <c r="H861" s="2">
        <v>7130332</v>
      </c>
      <c r="I861" s="2">
        <v>927660445</v>
      </c>
      <c r="J861">
        <v>57</v>
      </c>
      <c r="K861">
        <v>258</v>
      </c>
      <c r="L861">
        <v>0</v>
      </c>
      <c r="M861" t="str">
        <f t="shared" si="13"/>
        <v>2010-2020</v>
      </c>
    </row>
    <row r="862" spans="1:13">
      <c r="A862" t="s">
        <v>1358</v>
      </c>
      <c r="B862" t="s">
        <v>30</v>
      </c>
      <c r="C862" s="1">
        <v>43851</v>
      </c>
      <c r="D862" s="2">
        <v>819779577</v>
      </c>
      <c r="E862" s="2">
        <v>161131</v>
      </c>
      <c r="F862">
        <v>70</v>
      </c>
      <c r="G862" s="2">
        <v>709454117</v>
      </c>
      <c r="H862" s="2">
        <v>7190778</v>
      </c>
      <c r="I862" s="2">
        <v>2078817404</v>
      </c>
      <c r="J862">
        <v>68</v>
      </c>
      <c r="K862">
        <v>430</v>
      </c>
      <c r="L862">
        <v>1</v>
      </c>
      <c r="M862" t="str">
        <f t="shared" si="13"/>
        <v>2010-2020</v>
      </c>
    </row>
    <row r="863" spans="1:13">
      <c r="A863" t="s">
        <v>1359</v>
      </c>
      <c r="B863" t="s">
        <v>576</v>
      </c>
      <c r="C863" s="1">
        <v>45197</v>
      </c>
      <c r="D863" s="2">
        <v>131938548</v>
      </c>
      <c r="E863" s="2">
        <v>5913</v>
      </c>
      <c r="F863">
        <v>75</v>
      </c>
      <c r="G863" s="2">
        <v>118669957</v>
      </c>
      <c r="H863" s="2">
        <v>649548</v>
      </c>
      <c r="I863" s="2">
        <v>589093596</v>
      </c>
      <c r="J863">
        <v>10</v>
      </c>
      <c r="K863">
        <v>108</v>
      </c>
      <c r="L863">
        <v>0</v>
      </c>
      <c r="M863" t="str">
        <f t="shared" si="13"/>
        <v>After 2020</v>
      </c>
    </row>
    <row r="864" spans="1:13" hidden="1">
      <c r="A864" t="s">
        <v>38</v>
      </c>
      <c r="B864" t="s">
        <v>1360</v>
      </c>
      <c r="C864" s="1">
        <v>45281</v>
      </c>
      <c r="D864" s="2">
        <v>1648192461</v>
      </c>
      <c r="E864">
        <v>15</v>
      </c>
      <c r="L864">
        <v>1</v>
      </c>
      <c r="M864" t="str">
        <f t="shared" si="13"/>
        <v>After 2020</v>
      </c>
    </row>
    <row r="865" spans="1:13">
      <c r="A865" t="s">
        <v>1361</v>
      </c>
      <c r="B865" t="s">
        <v>1362</v>
      </c>
      <c r="C865" s="1">
        <v>44965</v>
      </c>
      <c r="D865" s="2">
        <v>544165928</v>
      </c>
      <c r="E865" s="2">
        <v>58646</v>
      </c>
      <c r="F865">
        <v>77</v>
      </c>
      <c r="G865" s="2">
        <v>200445038</v>
      </c>
      <c r="H865" s="2">
        <v>1806923</v>
      </c>
      <c r="I865" s="2">
        <v>1522432243</v>
      </c>
      <c r="J865">
        <v>15</v>
      </c>
      <c r="K865">
        <v>281</v>
      </c>
      <c r="L865">
        <v>0</v>
      </c>
      <c r="M865" t="str">
        <f t="shared" si="13"/>
        <v>After 2020</v>
      </c>
    </row>
    <row r="866" spans="1:13">
      <c r="A866" t="s">
        <v>1363</v>
      </c>
      <c r="B866" t="s">
        <v>1044</v>
      </c>
      <c r="C866" s="1">
        <v>44680</v>
      </c>
      <c r="D866" s="2">
        <v>269491606</v>
      </c>
      <c r="E866" s="2">
        <v>26075</v>
      </c>
      <c r="F866">
        <v>66</v>
      </c>
      <c r="G866" s="2">
        <v>746615342</v>
      </c>
      <c r="H866" s="2">
        <v>15669340</v>
      </c>
      <c r="I866" s="2">
        <v>2432918911</v>
      </c>
      <c r="J866">
        <v>12</v>
      </c>
      <c r="K866">
        <v>243</v>
      </c>
      <c r="L866">
        <v>0</v>
      </c>
      <c r="M866" t="str">
        <f t="shared" si="13"/>
        <v>After 2020</v>
      </c>
    </row>
    <row r="867" spans="1:13" hidden="1">
      <c r="A867" t="s">
        <v>69</v>
      </c>
      <c r="B867" t="s">
        <v>70</v>
      </c>
      <c r="C867" s="1">
        <v>45393</v>
      </c>
      <c r="D867" s="2">
        <v>536986458</v>
      </c>
      <c r="E867">
        <v>637</v>
      </c>
      <c r="J867">
        <v>29</v>
      </c>
      <c r="L867">
        <v>0</v>
      </c>
      <c r="M867" t="str">
        <f t="shared" si="13"/>
        <v>After 2020</v>
      </c>
    </row>
    <row r="868" spans="1:13">
      <c r="A868" t="s">
        <v>1364</v>
      </c>
      <c r="B868" t="s">
        <v>61</v>
      </c>
      <c r="C868" s="1">
        <v>45400</v>
      </c>
      <c r="D868" s="2">
        <v>166168092</v>
      </c>
      <c r="E868" s="2">
        <v>5004</v>
      </c>
      <c r="F868">
        <v>78</v>
      </c>
      <c r="G868" s="2">
        <v>16423009</v>
      </c>
      <c r="H868" s="2">
        <v>244859</v>
      </c>
      <c r="I868" s="2">
        <v>7202700</v>
      </c>
      <c r="J868">
        <v>38</v>
      </c>
      <c r="K868">
        <v>54</v>
      </c>
      <c r="L868">
        <v>0</v>
      </c>
      <c r="M868" t="str">
        <f t="shared" si="13"/>
        <v>After 2020</v>
      </c>
    </row>
    <row r="869" spans="1:13">
      <c r="A869" t="s">
        <v>1365</v>
      </c>
      <c r="B869" t="s">
        <v>688</v>
      </c>
      <c r="C869" s="1">
        <v>44841</v>
      </c>
      <c r="D869" s="2">
        <v>330593989</v>
      </c>
      <c r="E869" s="2">
        <v>54823</v>
      </c>
      <c r="F869">
        <v>67</v>
      </c>
      <c r="G869" s="2">
        <v>175561257</v>
      </c>
      <c r="H869" s="2">
        <v>2216240</v>
      </c>
      <c r="I869" s="2">
        <v>270169817</v>
      </c>
      <c r="J869">
        <v>53</v>
      </c>
      <c r="K869">
        <v>21</v>
      </c>
      <c r="L869">
        <v>0</v>
      </c>
      <c r="M869" t="str">
        <f t="shared" si="13"/>
        <v>After 2020</v>
      </c>
    </row>
    <row r="870" spans="1:13">
      <c r="A870" t="s">
        <v>1366</v>
      </c>
      <c r="B870" t="s">
        <v>718</v>
      </c>
      <c r="C870" s="1">
        <v>45330</v>
      </c>
      <c r="D870" s="2">
        <v>89513100</v>
      </c>
      <c r="E870" s="2">
        <v>8049</v>
      </c>
      <c r="F870">
        <v>75</v>
      </c>
      <c r="G870" s="2">
        <v>38613955</v>
      </c>
      <c r="H870" s="2">
        <v>433335</v>
      </c>
      <c r="I870" s="2">
        <v>52800</v>
      </c>
      <c r="J870">
        <v>51</v>
      </c>
      <c r="K870" s="2">
        <v>1471</v>
      </c>
      <c r="L870">
        <v>1</v>
      </c>
      <c r="M870" t="str">
        <f t="shared" si="13"/>
        <v>After 2020</v>
      </c>
    </row>
    <row r="871" spans="1:13">
      <c r="A871" t="s">
        <v>1367</v>
      </c>
      <c r="B871" t="s">
        <v>1368</v>
      </c>
      <c r="C871" s="1">
        <v>43210</v>
      </c>
      <c r="D871" s="2">
        <v>478494818</v>
      </c>
      <c r="E871" s="2">
        <v>53736</v>
      </c>
      <c r="F871">
        <v>67</v>
      </c>
      <c r="G871" s="2">
        <v>2148970473</v>
      </c>
      <c r="H871" s="2">
        <v>6055824</v>
      </c>
      <c r="I871" s="2">
        <v>145723405</v>
      </c>
      <c r="J871">
        <v>37</v>
      </c>
      <c r="K871">
        <v>24</v>
      </c>
      <c r="L871">
        <v>0</v>
      </c>
      <c r="M871" t="str">
        <f t="shared" si="13"/>
        <v>2010-2020</v>
      </c>
    </row>
    <row r="872" spans="1:13" hidden="1">
      <c r="A872" t="s">
        <v>1369</v>
      </c>
      <c r="B872" t="s">
        <v>504</v>
      </c>
      <c r="C872" s="1">
        <v>45177</v>
      </c>
      <c r="D872" s="2">
        <v>4306793</v>
      </c>
      <c r="E872" s="2">
        <v>4668</v>
      </c>
      <c r="L872">
        <v>1</v>
      </c>
      <c r="M872" t="str">
        <f t="shared" si="13"/>
        <v>After 2020</v>
      </c>
    </row>
    <row r="873" spans="1:13" hidden="1">
      <c r="A873" t="s">
        <v>1370</v>
      </c>
      <c r="B873" t="s">
        <v>1371</v>
      </c>
      <c r="C873" s="1">
        <v>43336</v>
      </c>
      <c r="D873" s="2">
        <v>381322519</v>
      </c>
      <c r="E873" s="2">
        <v>70125</v>
      </c>
      <c r="F873">
        <v>67</v>
      </c>
      <c r="G873" s="2">
        <v>793025740</v>
      </c>
      <c r="H873" s="2">
        <v>7300331</v>
      </c>
      <c r="I873" s="2">
        <v>8503116899</v>
      </c>
      <c r="J873">
        <v>45</v>
      </c>
      <c r="L873">
        <v>0</v>
      </c>
      <c r="M873" t="str">
        <f t="shared" si="13"/>
        <v>2010-2020</v>
      </c>
    </row>
    <row r="874" spans="1:13">
      <c r="A874" t="s">
        <v>1372</v>
      </c>
      <c r="B874" t="s">
        <v>1373</v>
      </c>
      <c r="C874" s="1">
        <v>44813</v>
      </c>
      <c r="D874" s="2">
        <v>157341967</v>
      </c>
      <c r="E874" s="2">
        <v>20612</v>
      </c>
      <c r="F874">
        <v>67</v>
      </c>
      <c r="G874" s="2">
        <v>98239826</v>
      </c>
      <c r="H874" s="2">
        <v>752054</v>
      </c>
      <c r="I874" s="2">
        <v>123462516</v>
      </c>
      <c r="J874">
        <v>59</v>
      </c>
      <c r="K874">
        <v>127</v>
      </c>
      <c r="L874">
        <v>0</v>
      </c>
      <c r="M874" t="str">
        <f t="shared" si="13"/>
        <v>After 2020</v>
      </c>
    </row>
    <row r="875" spans="1:13">
      <c r="A875" t="s">
        <v>1374</v>
      </c>
      <c r="B875" t="s">
        <v>522</v>
      </c>
      <c r="C875" s="1">
        <v>45065</v>
      </c>
      <c r="D875" s="2">
        <v>497682165</v>
      </c>
      <c r="E875" s="2">
        <v>40368</v>
      </c>
      <c r="F875">
        <v>70</v>
      </c>
      <c r="G875" s="2">
        <v>143949357</v>
      </c>
      <c r="H875" s="2">
        <v>729741</v>
      </c>
      <c r="I875" s="2">
        <v>824220151</v>
      </c>
      <c r="J875">
        <v>48</v>
      </c>
      <c r="K875">
        <v>19</v>
      </c>
      <c r="L875">
        <v>1</v>
      </c>
      <c r="M875" t="str">
        <f t="shared" si="13"/>
        <v>After 2020</v>
      </c>
    </row>
    <row r="876" spans="1:13" hidden="1">
      <c r="A876" t="s">
        <v>1375</v>
      </c>
      <c r="B876" t="s">
        <v>1055</v>
      </c>
      <c r="C876" s="1">
        <v>43448</v>
      </c>
      <c r="D876" s="2">
        <v>403860053</v>
      </c>
      <c r="E876" s="2">
        <v>45516</v>
      </c>
      <c r="F876">
        <v>66</v>
      </c>
      <c r="G876" s="2">
        <v>1057546150</v>
      </c>
      <c r="H876" s="2">
        <v>7402999</v>
      </c>
      <c r="I876" s="2">
        <v>1297576376</v>
      </c>
      <c r="J876">
        <v>6</v>
      </c>
      <c r="L876">
        <v>0</v>
      </c>
      <c r="M876" t="str">
        <f t="shared" si="13"/>
        <v>2010-2020</v>
      </c>
    </row>
    <row r="877" spans="1:13">
      <c r="A877" t="s">
        <v>1376</v>
      </c>
      <c r="B877" t="s">
        <v>295</v>
      </c>
      <c r="C877" s="1">
        <v>44729</v>
      </c>
      <c r="D877" s="2">
        <v>253114498</v>
      </c>
      <c r="E877" s="2">
        <v>111173</v>
      </c>
      <c r="F877">
        <v>65</v>
      </c>
      <c r="G877" s="2">
        <v>42397563</v>
      </c>
      <c r="H877" s="2">
        <v>402014</v>
      </c>
      <c r="I877" s="2">
        <v>887138394</v>
      </c>
      <c r="J877">
        <v>57</v>
      </c>
      <c r="K877">
        <v>768</v>
      </c>
      <c r="L877">
        <v>0</v>
      </c>
      <c r="M877" t="str">
        <f t="shared" si="13"/>
        <v>After 2020</v>
      </c>
    </row>
    <row r="878" spans="1:13">
      <c r="A878" t="s">
        <v>1377</v>
      </c>
      <c r="B878" t="s">
        <v>182</v>
      </c>
      <c r="C878" s="1">
        <v>43455</v>
      </c>
      <c r="D878" s="2">
        <v>949835159</v>
      </c>
      <c r="E878" s="2">
        <v>219301</v>
      </c>
      <c r="F878">
        <v>73</v>
      </c>
      <c r="G878" s="2">
        <v>905118647</v>
      </c>
      <c r="H878" s="2">
        <v>6526285</v>
      </c>
      <c r="I878" s="2">
        <v>131214658</v>
      </c>
      <c r="J878">
        <v>70</v>
      </c>
      <c r="K878">
        <v>82</v>
      </c>
      <c r="L878">
        <v>1</v>
      </c>
      <c r="M878" t="str">
        <f t="shared" si="13"/>
        <v>2010-2020</v>
      </c>
    </row>
    <row r="879" spans="1:13">
      <c r="A879" t="s">
        <v>1378</v>
      </c>
      <c r="B879" t="s">
        <v>1305</v>
      </c>
      <c r="C879" s="1">
        <v>43699</v>
      </c>
      <c r="D879" s="2">
        <v>711861577</v>
      </c>
      <c r="E879" s="2">
        <v>84611</v>
      </c>
      <c r="F879">
        <v>69</v>
      </c>
      <c r="G879" s="2">
        <v>1359220447</v>
      </c>
      <c r="H879" s="2">
        <v>4586141</v>
      </c>
      <c r="I879" s="2">
        <v>185706534</v>
      </c>
      <c r="J879">
        <v>133</v>
      </c>
      <c r="K879">
        <v>18</v>
      </c>
      <c r="L879">
        <v>0</v>
      </c>
      <c r="M879" t="str">
        <f t="shared" si="13"/>
        <v>2010-2020</v>
      </c>
    </row>
    <row r="880" spans="1:13" hidden="1">
      <c r="A880" t="s">
        <v>1379</v>
      </c>
      <c r="B880" t="s">
        <v>1380</v>
      </c>
      <c r="C880" s="1">
        <v>45415</v>
      </c>
      <c r="D880" s="2">
        <v>21803486</v>
      </c>
      <c r="E880" s="2">
        <v>1250</v>
      </c>
      <c r="F880">
        <v>72</v>
      </c>
      <c r="G880" s="2">
        <v>39172911</v>
      </c>
      <c r="H880" s="2">
        <v>208885</v>
      </c>
      <c r="J880">
        <v>9</v>
      </c>
      <c r="L880">
        <v>0</v>
      </c>
      <c r="M880" t="str">
        <f t="shared" si="13"/>
        <v>After 2020</v>
      </c>
    </row>
    <row r="881" spans="1:13" hidden="1">
      <c r="A881" t="s">
        <v>1381</v>
      </c>
      <c r="B881" t="s">
        <v>43</v>
      </c>
      <c r="C881" s="1">
        <v>45449</v>
      </c>
      <c r="D881" s="2">
        <v>86144467</v>
      </c>
      <c r="E881">
        <v>1</v>
      </c>
      <c r="L881">
        <v>1</v>
      </c>
      <c r="M881" t="str">
        <f t="shared" si="13"/>
        <v>After 2020</v>
      </c>
    </row>
    <row r="882" spans="1:13">
      <c r="A882" t="s">
        <v>1382</v>
      </c>
      <c r="B882" t="s">
        <v>61</v>
      </c>
      <c r="C882" s="1">
        <v>42971</v>
      </c>
      <c r="D882" s="2">
        <v>1152346128</v>
      </c>
      <c r="E882" s="2">
        <v>93178</v>
      </c>
      <c r="F882">
        <v>75</v>
      </c>
      <c r="G882" s="2">
        <v>1922214505</v>
      </c>
      <c r="H882" s="2">
        <v>18201048</v>
      </c>
      <c r="I882" s="2">
        <v>563244716</v>
      </c>
      <c r="J882">
        <v>122</v>
      </c>
      <c r="K882">
        <v>113</v>
      </c>
      <c r="L882">
        <v>0</v>
      </c>
      <c r="M882" t="str">
        <f t="shared" si="13"/>
        <v>2010-2020</v>
      </c>
    </row>
    <row r="883" spans="1:13" hidden="1">
      <c r="A883" t="s">
        <v>1383</v>
      </c>
      <c r="B883" t="s">
        <v>1384</v>
      </c>
      <c r="C883" s="1">
        <v>45433</v>
      </c>
      <c r="D883" s="2">
        <v>16684393</v>
      </c>
      <c r="E883" s="2">
        <v>1247</v>
      </c>
      <c r="F883">
        <v>74</v>
      </c>
      <c r="G883" s="2">
        <v>19177238</v>
      </c>
      <c r="H883" s="2">
        <v>873736</v>
      </c>
      <c r="J883">
        <v>18</v>
      </c>
      <c r="L883">
        <v>0</v>
      </c>
      <c r="M883" t="str">
        <f t="shared" si="13"/>
        <v>After 2020</v>
      </c>
    </row>
    <row r="884" spans="1:13" hidden="1">
      <c r="A884" t="s">
        <v>1385</v>
      </c>
      <c r="B884" t="s">
        <v>1386</v>
      </c>
      <c r="C884" s="1">
        <v>45414</v>
      </c>
      <c r="D884" s="2">
        <v>13741023</v>
      </c>
      <c r="E884" s="2">
        <v>2062</v>
      </c>
      <c r="F884">
        <v>72</v>
      </c>
      <c r="G884" s="2">
        <v>39658915</v>
      </c>
      <c r="H884" s="2">
        <v>635184</v>
      </c>
      <c r="J884">
        <v>13</v>
      </c>
      <c r="L884">
        <v>0</v>
      </c>
      <c r="M884" t="str">
        <f t="shared" si="13"/>
        <v>After 2020</v>
      </c>
    </row>
    <row r="885" spans="1:13">
      <c r="A885" t="s">
        <v>1387</v>
      </c>
      <c r="B885" t="s">
        <v>1174</v>
      </c>
      <c r="C885" s="1">
        <v>42736</v>
      </c>
      <c r="D885" s="2">
        <v>1527159800</v>
      </c>
      <c r="E885" s="2">
        <v>187813</v>
      </c>
      <c r="F885">
        <v>76</v>
      </c>
      <c r="G885" s="2">
        <v>1270330281</v>
      </c>
      <c r="H885" s="2">
        <v>8766754</v>
      </c>
      <c r="I885" s="2">
        <v>216666194</v>
      </c>
      <c r="J885">
        <v>172</v>
      </c>
      <c r="K885">
        <v>185</v>
      </c>
      <c r="L885">
        <v>0</v>
      </c>
      <c r="M885" t="str">
        <f t="shared" si="13"/>
        <v>2010-2020</v>
      </c>
    </row>
    <row r="886" spans="1:13" hidden="1">
      <c r="A886" t="s">
        <v>1388</v>
      </c>
      <c r="B886" t="s">
        <v>1355</v>
      </c>
      <c r="C886" s="1">
        <v>45440</v>
      </c>
      <c r="D886" s="2">
        <v>15557247</v>
      </c>
      <c r="E886">
        <v>446</v>
      </c>
      <c r="F886">
        <v>73</v>
      </c>
      <c r="G886" s="2">
        <v>16286691</v>
      </c>
      <c r="H886" s="2">
        <v>216933</v>
      </c>
      <c r="J886">
        <v>9</v>
      </c>
      <c r="L886">
        <v>0</v>
      </c>
      <c r="M886" t="str">
        <f t="shared" si="13"/>
        <v>After 2020</v>
      </c>
    </row>
    <row r="887" spans="1:13" hidden="1">
      <c r="A887" t="s">
        <v>1389</v>
      </c>
      <c r="B887" t="s">
        <v>1156</v>
      </c>
      <c r="C887" s="1">
        <v>45247</v>
      </c>
      <c r="D887" s="2">
        <v>118490212</v>
      </c>
      <c r="E887" s="2">
        <v>10053</v>
      </c>
      <c r="F887">
        <v>72</v>
      </c>
      <c r="G887" s="2">
        <v>158132299</v>
      </c>
      <c r="H887" s="2">
        <v>835029</v>
      </c>
      <c r="J887">
        <v>8</v>
      </c>
      <c r="L887">
        <v>0</v>
      </c>
      <c r="M887" t="str">
        <f t="shared" si="13"/>
        <v>After 2020</v>
      </c>
    </row>
    <row r="888" spans="1:13">
      <c r="A888" t="s">
        <v>1390</v>
      </c>
      <c r="B888" t="s">
        <v>449</v>
      </c>
      <c r="C888" s="1">
        <v>44658</v>
      </c>
      <c r="D888" s="2">
        <v>171118535</v>
      </c>
      <c r="E888" s="2">
        <v>81407</v>
      </c>
      <c r="F888">
        <v>57</v>
      </c>
      <c r="G888" s="2">
        <v>238335324</v>
      </c>
      <c r="H888" s="2">
        <v>1764954</v>
      </c>
      <c r="I888" s="2">
        <v>191118526</v>
      </c>
      <c r="J888">
        <v>52</v>
      </c>
      <c r="K888">
        <v>727</v>
      </c>
      <c r="L888">
        <v>1</v>
      </c>
      <c r="M888" t="str">
        <f t="shared" si="13"/>
        <v>After 2020</v>
      </c>
    </row>
    <row r="889" spans="1:13" hidden="1">
      <c r="A889" t="s">
        <v>1391</v>
      </c>
      <c r="B889" t="s">
        <v>127</v>
      </c>
      <c r="C889" s="1">
        <v>43910</v>
      </c>
      <c r="D889" s="2">
        <v>1549317525</v>
      </c>
      <c r="E889" s="2">
        <v>178149</v>
      </c>
      <c r="F889">
        <v>73</v>
      </c>
      <c r="G889" s="2">
        <v>385884628</v>
      </c>
      <c r="H889" s="2">
        <v>4302435</v>
      </c>
      <c r="I889" s="2">
        <v>426511103</v>
      </c>
      <c r="J889">
        <v>309</v>
      </c>
      <c r="L889">
        <v>0</v>
      </c>
      <c r="M889" t="str">
        <f t="shared" si="13"/>
        <v>2010-2020</v>
      </c>
    </row>
    <row r="890" spans="1:13" hidden="1">
      <c r="A890" t="s">
        <v>1392</v>
      </c>
      <c r="B890" t="s">
        <v>1217</v>
      </c>
      <c r="C890" s="1">
        <v>45329</v>
      </c>
      <c r="D890" s="2">
        <v>19388370</v>
      </c>
      <c r="E890" s="2">
        <v>1341</v>
      </c>
      <c r="G890" s="2">
        <v>19658783</v>
      </c>
      <c r="H890" s="2">
        <v>136351</v>
      </c>
      <c r="I890" s="2">
        <v>441343495</v>
      </c>
      <c r="J890">
        <v>1</v>
      </c>
      <c r="L890">
        <v>0</v>
      </c>
      <c r="M890" t="str">
        <f t="shared" si="13"/>
        <v>After 2020</v>
      </c>
    </row>
    <row r="891" spans="1:13">
      <c r="A891" t="s">
        <v>1393</v>
      </c>
      <c r="B891" t="s">
        <v>1394</v>
      </c>
      <c r="C891" s="1">
        <v>43798</v>
      </c>
      <c r="D891" s="2">
        <v>406132477</v>
      </c>
      <c r="E891" s="2">
        <v>110858</v>
      </c>
      <c r="F891">
        <v>66</v>
      </c>
      <c r="G891" s="2">
        <v>925222640</v>
      </c>
      <c r="H891" s="2">
        <v>7714435</v>
      </c>
      <c r="I891" s="2">
        <v>849243924</v>
      </c>
      <c r="J891">
        <v>92</v>
      </c>
      <c r="K891">
        <v>2</v>
      </c>
      <c r="L891">
        <v>0</v>
      </c>
      <c r="M891" t="str">
        <f t="shared" si="13"/>
        <v>2010-2020</v>
      </c>
    </row>
    <row r="892" spans="1:13" hidden="1">
      <c r="A892" t="s">
        <v>1395</v>
      </c>
      <c r="B892" t="s">
        <v>1396</v>
      </c>
      <c r="C892" s="1">
        <v>45162</v>
      </c>
      <c r="D892" s="2">
        <v>178699480</v>
      </c>
      <c r="E892" s="2">
        <v>14552</v>
      </c>
      <c r="F892">
        <v>24</v>
      </c>
      <c r="G892" s="2">
        <v>261753577</v>
      </c>
      <c r="H892" s="2">
        <v>1458487</v>
      </c>
      <c r="I892" s="2">
        <v>2800000</v>
      </c>
      <c r="J892">
        <v>12</v>
      </c>
      <c r="L892">
        <v>0</v>
      </c>
      <c r="M892" t="str">
        <f t="shared" si="13"/>
        <v>After 2020</v>
      </c>
    </row>
    <row r="893" spans="1:13" hidden="1">
      <c r="A893" t="s">
        <v>1397</v>
      </c>
      <c r="B893" t="s">
        <v>1398</v>
      </c>
      <c r="C893" s="1">
        <v>44583</v>
      </c>
      <c r="D893" s="2">
        <v>16197748</v>
      </c>
      <c r="E893" s="2">
        <v>1827</v>
      </c>
      <c r="F893">
        <v>55</v>
      </c>
      <c r="G893" s="2">
        <v>967275295</v>
      </c>
      <c r="H893" s="2">
        <v>1562052</v>
      </c>
      <c r="I893" s="2">
        <v>40465134</v>
      </c>
      <c r="L893">
        <v>0</v>
      </c>
      <c r="M893" t="str">
        <f t="shared" si="13"/>
        <v>After 2020</v>
      </c>
    </row>
    <row r="894" spans="1:13" hidden="1">
      <c r="A894" t="s">
        <v>1399</v>
      </c>
      <c r="B894" t="s">
        <v>1368</v>
      </c>
      <c r="C894" s="1">
        <v>45155</v>
      </c>
      <c r="D894" s="2">
        <v>130709283</v>
      </c>
      <c r="E894" s="2">
        <v>12585</v>
      </c>
      <c r="F894">
        <v>64</v>
      </c>
      <c r="G894" s="2">
        <v>248099324</v>
      </c>
      <c r="H894" s="2">
        <v>859237</v>
      </c>
      <c r="I894" s="2">
        <v>3169042</v>
      </c>
      <c r="J894">
        <v>8</v>
      </c>
      <c r="L894">
        <v>0</v>
      </c>
      <c r="M894" t="str">
        <f t="shared" si="13"/>
        <v>After 2020</v>
      </c>
    </row>
    <row r="895" spans="1:13">
      <c r="A895" t="s">
        <v>1400</v>
      </c>
      <c r="B895" t="s">
        <v>1401</v>
      </c>
      <c r="C895" s="1">
        <v>43777</v>
      </c>
      <c r="D895" s="2">
        <v>1295251940</v>
      </c>
      <c r="E895" s="2">
        <v>197036</v>
      </c>
      <c r="F895">
        <v>67</v>
      </c>
      <c r="G895" s="2">
        <v>380793694</v>
      </c>
      <c r="H895" s="2">
        <v>4733751</v>
      </c>
      <c r="I895" s="2">
        <v>1065757953</v>
      </c>
      <c r="J895">
        <v>121</v>
      </c>
      <c r="K895">
        <v>135</v>
      </c>
      <c r="L895">
        <v>1</v>
      </c>
      <c r="M895" t="str">
        <f t="shared" si="13"/>
        <v>2010-2020</v>
      </c>
    </row>
    <row r="896" spans="1:13">
      <c r="A896" t="s">
        <v>1402</v>
      </c>
      <c r="B896" t="s">
        <v>1403</v>
      </c>
      <c r="C896" s="1">
        <v>44694</v>
      </c>
      <c r="D896" s="2">
        <v>121214716</v>
      </c>
      <c r="E896" s="2">
        <v>37436</v>
      </c>
      <c r="F896">
        <v>56</v>
      </c>
      <c r="G896" s="2">
        <v>12801028</v>
      </c>
      <c r="H896" s="2">
        <v>183570</v>
      </c>
      <c r="I896" s="2">
        <v>14693507776</v>
      </c>
      <c r="J896">
        <v>13</v>
      </c>
      <c r="K896" s="2">
        <v>1168</v>
      </c>
      <c r="L896">
        <v>0</v>
      </c>
      <c r="M896" t="str">
        <f t="shared" si="13"/>
        <v>After 2020</v>
      </c>
    </row>
    <row r="897" spans="1:13">
      <c r="A897" t="s">
        <v>1404</v>
      </c>
      <c r="B897" t="s">
        <v>952</v>
      </c>
      <c r="C897" s="1">
        <v>44958</v>
      </c>
      <c r="D897" s="2">
        <v>210712407</v>
      </c>
      <c r="E897" s="2">
        <v>24033</v>
      </c>
      <c r="F897">
        <v>65</v>
      </c>
      <c r="G897" s="2">
        <v>379884934</v>
      </c>
      <c r="H897" s="2">
        <v>1091380</v>
      </c>
      <c r="I897" s="2">
        <v>793158034</v>
      </c>
      <c r="J897">
        <v>8</v>
      </c>
      <c r="K897">
        <v>52</v>
      </c>
      <c r="L897">
        <v>0</v>
      </c>
      <c r="M897" t="str">
        <f t="shared" si="13"/>
        <v>After 2020</v>
      </c>
    </row>
    <row r="898" spans="1:13">
      <c r="A898" t="s">
        <v>1405</v>
      </c>
      <c r="B898" t="s">
        <v>245</v>
      </c>
      <c r="C898" s="1">
        <v>41275</v>
      </c>
      <c r="D898" s="2">
        <v>2466006842</v>
      </c>
      <c r="E898" s="2">
        <v>343135</v>
      </c>
      <c r="F898">
        <v>81</v>
      </c>
      <c r="G898" s="2">
        <v>304524339</v>
      </c>
      <c r="H898" s="2">
        <v>2956756</v>
      </c>
      <c r="I898" s="2">
        <v>1245061983</v>
      </c>
      <c r="J898">
        <v>198</v>
      </c>
      <c r="K898">
        <v>170</v>
      </c>
      <c r="L898">
        <v>0</v>
      </c>
      <c r="M898" t="str">
        <f t="shared" si="13"/>
        <v>2010-2020</v>
      </c>
    </row>
    <row r="899" spans="1:13">
      <c r="A899" t="s">
        <v>1406</v>
      </c>
      <c r="B899" t="s">
        <v>1407</v>
      </c>
      <c r="C899" s="1">
        <v>44132</v>
      </c>
      <c r="D899" s="2">
        <v>242254880</v>
      </c>
      <c r="E899" s="2">
        <v>85783</v>
      </c>
      <c r="F899">
        <v>66</v>
      </c>
      <c r="G899" s="2">
        <v>418190794</v>
      </c>
      <c r="H899" s="2">
        <v>2892075</v>
      </c>
      <c r="I899" s="2">
        <v>617402549</v>
      </c>
      <c r="J899">
        <v>216</v>
      </c>
      <c r="K899">
        <v>561</v>
      </c>
      <c r="L899">
        <v>0</v>
      </c>
      <c r="M899" t="str">
        <f t="shared" ref="M899:M962" si="14">IF(YEAR(C899)&lt;2010,"Before 2010",IF(YEAR(C899)&lt;=2020,"2010-2020","After 2020"))</f>
        <v>2010-2020</v>
      </c>
    </row>
    <row r="900" spans="1:13">
      <c r="A900" t="s">
        <v>1408</v>
      </c>
      <c r="B900" t="s">
        <v>68</v>
      </c>
      <c r="C900" s="1">
        <v>44372</v>
      </c>
      <c r="D900" s="2">
        <v>603196133</v>
      </c>
      <c r="E900" s="2">
        <v>97704</v>
      </c>
      <c r="F900">
        <v>68</v>
      </c>
      <c r="G900" s="2">
        <v>265715680</v>
      </c>
      <c r="H900" s="2">
        <v>3742969</v>
      </c>
      <c r="I900" s="2">
        <v>7709942104</v>
      </c>
      <c r="J900">
        <v>55</v>
      </c>
      <c r="K900" s="2">
        <v>4500</v>
      </c>
      <c r="L900">
        <v>1</v>
      </c>
      <c r="M900" t="str">
        <f t="shared" si="14"/>
        <v>After 2020</v>
      </c>
    </row>
    <row r="901" spans="1:13" hidden="1">
      <c r="A901" t="s">
        <v>1409</v>
      </c>
      <c r="B901" t="s">
        <v>1410</v>
      </c>
      <c r="C901" s="1">
        <v>44638</v>
      </c>
      <c r="D901" s="2">
        <v>415552038</v>
      </c>
      <c r="E901" s="2">
        <v>104372</v>
      </c>
      <c r="F901">
        <v>71</v>
      </c>
      <c r="G901" s="2">
        <v>281772953</v>
      </c>
      <c r="H901" s="2">
        <v>4299740</v>
      </c>
      <c r="I901" s="2">
        <v>5435575162</v>
      </c>
      <c r="J901">
        <v>32</v>
      </c>
      <c r="L901">
        <v>0</v>
      </c>
      <c r="M901" t="str">
        <f t="shared" si="14"/>
        <v>After 2020</v>
      </c>
    </row>
    <row r="902" spans="1:13" hidden="1">
      <c r="A902" t="s">
        <v>1411</v>
      </c>
      <c r="B902" t="s">
        <v>1412</v>
      </c>
      <c r="C902" s="1">
        <v>43518</v>
      </c>
      <c r="D902" s="2">
        <v>49585127</v>
      </c>
      <c r="E902" s="2">
        <v>9710</v>
      </c>
      <c r="F902">
        <v>47</v>
      </c>
      <c r="G902" s="2">
        <v>2272109362</v>
      </c>
      <c r="H902" s="2">
        <v>6577485</v>
      </c>
      <c r="I902" s="2">
        <v>20432637</v>
      </c>
      <c r="J902">
        <v>3</v>
      </c>
      <c r="L902">
        <v>0</v>
      </c>
      <c r="M902" t="str">
        <f t="shared" si="14"/>
        <v>2010-2020</v>
      </c>
    </row>
    <row r="903" spans="1:13" hidden="1">
      <c r="A903" t="s">
        <v>1413</v>
      </c>
      <c r="B903" t="s">
        <v>1414</v>
      </c>
      <c r="C903" s="1">
        <v>45387</v>
      </c>
      <c r="D903" s="2">
        <v>109149345</v>
      </c>
      <c r="E903" s="2">
        <v>8869</v>
      </c>
      <c r="F903">
        <v>82</v>
      </c>
      <c r="G903" s="2">
        <v>21230788</v>
      </c>
      <c r="H903" s="2">
        <v>190160</v>
      </c>
      <c r="J903">
        <v>41</v>
      </c>
      <c r="K903">
        <v>56</v>
      </c>
      <c r="L903">
        <v>1</v>
      </c>
      <c r="M903" t="str">
        <f t="shared" si="14"/>
        <v>After 2020</v>
      </c>
    </row>
    <row r="904" spans="1:13">
      <c r="A904" t="s">
        <v>1415</v>
      </c>
      <c r="B904" t="s">
        <v>236</v>
      </c>
      <c r="C904" s="1">
        <v>45135</v>
      </c>
      <c r="D904" s="2">
        <v>196369387</v>
      </c>
      <c r="E904" s="2">
        <v>70723</v>
      </c>
      <c r="F904">
        <v>74</v>
      </c>
      <c r="G904" s="2">
        <v>26280803</v>
      </c>
      <c r="H904" s="2">
        <v>447983</v>
      </c>
      <c r="I904" s="2">
        <v>141407787</v>
      </c>
      <c r="J904">
        <v>14</v>
      </c>
      <c r="K904">
        <v>2</v>
      </c>
      <c r="L904">
        <v>1</v>
      </c>
      <c r="M904" t="str">
        <f t="shared" si="14"/>
        <v>After 2020</v>
      </c>
    </row>
    <row r="905" spans="1:13" hidden="1">
      <c r="A905" t="s">
        <v>1416</v>
      </c>
      <c r="B905" t="s">
        <v>680</v>
      </c>
      <c r="C905" s="1">
        <v>45138</v>
      </c>
      <c r="D905" s="2">
        <v>344691</v>
      </c>
      <c r="E905">
        <v>77</v>
      </c>
      <c r="F905">
        <v>30</v>
      </c>
      <c r="G905" s="2">
        <v>334194426</v>
      </c>
      <c r="H905" s="2">
        <v>866855</v>
      </c>
      <c r="I905" s="2">
        <v>144597808</v>
      </c>
      <c r="J905">
        <v>1</v>
      </c>
      <c r="L905">
        <v>0</v>
      </c>
      <c r="M905" t="str">
        <f t="shared" si="14"/>
        <v>After 2020</v>
      </c>
    </row>
    <row r="906" spans="1:13" hidden="1">
      <c r="A906" t="s">
        <v>1417</v>
      </c>
      <c r="B906" t="s">
        <v>1418</v>
      </c>
      <c r="C906" s="1">
        <v>43661</v>
      </c>
      <c r="D906" s="2">
        <v>144985656</v>
      </c>
      <c r="E906" s="2">
        <v>15143</v>
      </c>
      <c r="F906">
        <v>57</v>
      </c>
      <c r="G906" s="2">
        <v>1662729195</v>
      </c>
      <c r="H906" s="2">
        <v>8178016</v>
      </c>
      <c r="I906" s="2">
        <v>462897728</v>
      </c>
      <c r="J906">
        <v>18</v>
      </c>
      <c r="L906">
        <v>0</v>
      </c>
      <c r="M906" t="str">
        <f t="shared" si="14"/>
        <v>2010-2020</v>
      </c>
    </row>
    <row r="907" spans="1:13">
      <c r="A907" t="s">
        <v>1419</v>
      </c>
      <c r="B907" t="s">
        <v>371</v>
      </c>
      <c r="C907" s="1">
        <v>43378</v>
      </c>
      <c r="D907" s="2">
        <v>1269760706</v>
      </c>
      <c r="E907" s="2">
        <v>137601</v>
      </c>
      <c r="F907">
        <v>76</v>
      </c>
      <c r="G907" s="2">
        <v>824308720</v>
      </c>
      <c r="H907" s="2">
        <v>4676578</v>
      </c>
      <c r="I907" s="2">
        <v>573562180</v>
      </c>
      <c r="J907">
        <v>88</v>
      </c>
      <c r="K907">
        <v>4</v>
      </c>
      <c r="L907">
        <v>0</v>
      </c>
      <c r="M907" t="str">
        <f t="shared" si="14"/>
        <v>2010-2020</v>
      </c>
    </row>
    <row r="908" spans="1:13" hidden="1">
      <c r="A908" t="s">
        <v>1420</v>
      </c>
      <c r="B908" t="s">
        <v>258</v>
      </c>
      <c r="C908" s="1">
        <v>44853</v>
      </c>
      <c r="D908" s="2">
        <v>498744348</v>
      </c>
      <c r="E908" s="2">
        <v>50326</v>
      </c>
      <c r="F908">
        <v>67</v>
      </c>
      <c r="G908" s="2">
        <v>306510173</v>
      </c>
      <c r="H908" s="2">
        <v>4113572</v>
      </c>
      <c r="I908" s="2">
        <v>38341</v>
      </c>
      <c r="J908">
        <v>78</v>
      </c>
      <c r="L908">
        <v>0</v>
      </c>
      <c r="M908" t="str">
        <f t="shared" si="14"/>
        <v>After 2020</v>
      </c>
    </row>
    <row r="909" spans="1:13" hidden="1">
      <c r="A909" t="s">
        <v>1421</v>
      </c>
      <c r="B909" t="s">
        <v>1422</v>
      </c>
      <c r="C909" s="1">
        <v>45245</v>
      </c>
      <c r="D909" s="2">
        <v>716453</v>
      </c>
      <c r="E909">
        <v>22</v>
      </c>
      <c r="F909">
        <v>1</v>
      </c>
      <c r="G909" s="2">
        <v>12045</v>
      </c>
      <c r="H909">
        <v>174</v>
      </c>
      <c r="I909" s="2">
        <v>100001777</v>
      </c>
      <c r="L909">
        <v>0</v>
      </c>
      <c r="M909" t="str">
        <f t="shared" si="14"/>
        <v>After 2020</v>
      </c>
    </row>
    <row r="910" spans="1:13">
      <c r="A910" t="s">
        <v>1423</v>
      </c>
      <c r="B910" t="s">
        <v>301</v>
      </c>
      <c r="C910" s="1">
        <v>44687</v>
      </c>
      <c r="D910" s="2">
        <v>340227841</v>
      </c>
      <c r="E910" s="2">
        <v>40523</v>
      </c>
      <c r="F910">
        <v>73</v>
      </c>
      <c r="G910" s="2">
        <v>137384524</v>
      </c>
      <c r="H910" s="2">
        <v>667467</v>
      </c>
      <c r="I910" s="2">
        <v>28018314</v>
      </c>
      <c r="J910">
        <v>18</v>
      </c>
      <c r="K910">
        <v>32</v>
      </c>
      <c r="L910">
        <v>1</v>
      </c>
      <c r="M910" t="str">
        <f t="shared" si="14"/>
        <v>After 2020</v>
      </c>
    </row>
    <row r="911" spans="1:13">
      <c r="A911" t="s">
        <v>1424</v>
      </c>
      <c r="B911" t="s">
        <v>170</v>
      </c>
      <c r="C911" s="1">
        <v>44878</v>
      </c>
      <c r="D911" s="2">
        <v>443093379</v>
      </c>
      <c r="E911" s="2">
        <v>35995</v>
      </c>
      <c r="F911">
        <v>72</v>
      </c>
      <c r="G911" s="2">
        <v>273852759</v>
      </c>
      <c r="H911" s="2">
        <v>1690512</v>
      </c>
      <c r="I911" s="2">
        <v>600184949</v>
      </c>
      <c r="J911">
        <v>58</v>
      </c>
      <c r="K911">
        <v>125</v>
      </c>
      <c r="L911">
        <v>1</v>
      </c>
      <c r="M911" t="str">
        <f t="shared" si="14"/>
        <v>After 2020</v>
      </c>
    </row>
    <row r="912" spans="1:13">
      <c r="A912" t="s">
        <v>1425</v>
      </c>
      <c r="B912" t="s">
        <v>1186</v>
      </c>
      <c r="C912" s="1">
        <v>44971</v>
      </c>
      <c r="D912" s="2">
        <v>358240136</v>
      </c>
      <c r="E912" s="2">
        <v>35751</v>
      </c>
      <c r="F912">
        <v>70</v>
      </c>
      <c r="G912" s="2">
        <v>216226939</v>
      </c>
      <c r="H912" s="2">
        <v>844073</v>
      </c>
      <c r="I912" s="2">
        <v>2253379250</v>
      </c>
      <c r="J912">
        <v>42</v>
      </c>
      <c r="K912">
        <v>317</v>
      </c>
      <c r="L912">
        <v>0</v>
      </c>
      <c r="M912" t="str">
        <f t="shared" si="14"/>
        <v>After 2020</v>
      </c>
    </row>
    <row r="913" spans="1:13" hidden="1">
      <c r="A913" t="s">
        <v>1426</v>
      </c>
      <c r="B913" t="s">
        <v>1427</v>
      </c>
      <c r="C913" s="1">
        <v>45279</v>
      </c>
      <c r="D913" s="2">
        <v>4283</v>
      </c>
      <c r="E913">
        <v>1</v>
      </c>
      <c r="G913" s="2">
        <v>224819919</v>
      </c>
      <c r="H913" s="2">
        <v>1249285</v>
      </c>
      <c r="L913">
        <v>0</v>
      </c>
      <c r="M913" t="str">
        <f t="shared" si="14"/>
        <v>After 2020</v>
      </c>
    </row>
    <row r="914" spans="1:13">
      <c r="A914" t="s">
        <v>1428</v>
      </c>
      <c r="B914" t="s">
        <v>747</v>
      </c>
      <c r="C914" s="1">
        <v>44813</v>
      </c>
      <c r="D914" s="2">
        <v>338097605</v>
      </c>
      <c r="E914" s="2">
        <v>85480</v>
      </c>
      <c r="F914">
        <v>73</v>
      </c>
      <c r="G914" s="2">
        <v>54214841</v>
      </c>
      <c r="H914" s="2">
        <v>680291</v>
      </c>
      <c r="I914" s="2">
        <v>117839587</v>
      </c>
      <c r="J914">
        <v>14</v>
      </c>
      <c r="K914">
        <v>37</v>
      </c>
      <c r="L914">
        <v>1</v>
      </c>
      <c r="M914" t="str">
        <f t="shared" si="14"/>
        <v>After 2020</v>
      </c>
    </row>
    <row r="915" spans="1:13" hidden="1">
      <c r="A915" t="s">
        <v>1429</v>
      </c>
      <c r="B915" t="s">
        <v>1430</v>
      </c>
      <c r="C915" s="1">
        <v>45428</v>
      </c>
      <c r="D915" s="2">
        <v>17917738</v>
      </c>
      <c r="E915">
        <v>938</v>
      </c>
      <c r="F915">
        <v>73</v>
      </c>
      <c r="G915" s="2">
        <v>28606016</v>
      </c>
      <c r="H915" s="2">
        <v>488260</v>
      </c>
      <c r="J915">
        <v>22</v>
      </c>
      <c r="L915">
        <v>0</v>
      </c>
      <c r="M915" t="str">
        <f t="shared" si="14"/>
        <v>After 2020</v>
      </c>
    </row>
    <row r="916" spans="1:13" hidden="1">
      <c r="A916" t="s">
        <v>1431</v>
      </c>
      <c r="B916" t="s">
        <v>1432</v>
      </c>
      <c r="C916" s="1">
        <v>45308</v>
      </c>
      <c r="D916" s="2">
        <v>205068203</v>
      </c>
      <c r="E916" s="2">
        <v>19044</v>
      </c>
      <c r="G916" s="2">
        <v>8916657</v>
      </c>
      <c r="H916" s="2">
        <v>104172</v>
      </c>
      <c r="I916" s="2">
        <v>24837700</v>
      </c>
      <c r="J916">
        <v>67</v>
      </c>
      <c r="K916">
        <v>535</v>
      </c>
      <c r="L916">
        <v>0</v>
      </c>
      <c r="M916" t="str">
        <f t="shared" si="14"/>
        <v>After 2020</v>
      </c>
    </row>
    <row r="917" spans="1:13">
      <c r="A917" t="s">
        <v>1433</v>
      </c>
      <c r="B917" t="s">
        <v>336</v>
      </c>
      <c r="C917" s="1">
        <v>44385</v>
      </c>
      <c r="D917" s="2">
        <v>600199930</v>
      </c>
      <c r="E917" s="2">
        <v>66655</v>
      </c>
      <c r="F917">
        <v>64</v>
      </c>
      <c r="G917" s="2">
        <v>743954914</v>
      </c>
      <c r="H917" s="2">
        <v>2817472</v>
      </c>
      <c r="I917" s="2">
        <v>254681143</v>
      </c>
      <c r="J917">
        <v>95</v>
      </c>
      <c r="K917">
        <v>66</v>
      </c>
      <c r="L917">
        <v>0</v>
      </c>
      <c r="M917" t="str">
        <f t="shared" si="14"/>
        <v>After 2020</v>
      </c>
    </row>
    <row r="918" spans="1:13" hidden="1">
      <c r="A918" t="s">
        <v>1434</v>
      </c>
      <c r="B918" t="s">
        <v>129</v>
      </c>
      <c r="C918" s="1">
        <v>45079</v>
      </c>
      <c r="D918" s="2">
        <v>247682011</v>
      </c>
      <c r="E918" s="2">
        <v>67166</v>
      </c>
      <c r="F918">
        <v>72</v>
      </c>
      <c r="G918" s="2">
        <v>81060467</v>
      </c>
      <c r="H918" s="2">
        <v>925753</v>
      </c>
      <c r="I918" s="2">
        <v>38882669</v>
      </c>
      <c r="J918">
        <v>51</v>
      </c>
      <c r="L918">
        <v>0</v>
      </c>
      <c r="M918" t="str">
        <f t="shared" si="14"/>
        <v>After 2020</v>
      </c>
    </row>
    <row r="919" spans="1:13" hidden="1">
      <c r="A919" t="s">
        <v>1435</v>
      </c>
      <c r="B919" t="s">
        <v>1436</v>
      </c>
      <c r="C919" s="1">
        <v>43245</v>
      </c>
      <c r="D919" s="2">
        <v>1244981489</v>
      </c>
      <c r="E919" s="2">
        <v>295646</v>
      </c>
      <c r="F919">
        <v>78</v>
      </c>
      <c r="G919" s="2">
        <v>847656575</v>
      </c>
      <c r="H919" s="2">
        <v>6337444</v>
      </c>
      <c r="I919" s="2">
        <v>650317525</v>
      </c>
      <c r="J919">
        <v>110</v>
      </c>
      <c r="L919">
        <v>1</v>
      </c>
      <c r="M919" t="str">
        <f t="shared" si="14"/>
        <v>2010-2020</v>
      </c>
    </row>
    <row r="920" spans="1:13">
      <c r="A920" t="s">
        <v>1437</v>
      </c>
      <c r="B920" t="s">
        <v>1438</v>
      </c>
      <c r="C920" s="1">
        <v>44049</v>
      </c>
      <c r="D920" s="2">
        <v>73468394</v>
      </c>
      <c r="E920" s="2">
        <v>23284</v>
      </c>
      <c r="F920">
        <v>51</v>
      </c>
      <c r="G920" s="2">
        <v>73136867</v>
      </c>
      <c r="H920" s="2">
        <v>889596</v>
      </c>
      <c r="I920" s="2">
        <v>2985601079</v>
      </c>
      <c r="J920">
        <v>11</v>
      </c>
      <c r="K920">
        <v>73</v>
      </c>
      <c r="L920">
        <v>1</v>
      </c>
      <c r="M920" t="str">
        <f t="shared" si="14"/>
        <v>2010-2020</v>
      </c>
    </row>
    <row r="921" spans="1:13">
      <c r="A921" t="s">
        <v>1439</v>
      </c>
      <c r="B921" t="s">
        <v>1440</v>
      </c>
      <c r="C921" s="1">
        <v>43441</v>
      </c>
      <c r="D921" s="2">
        <v>769061748</v>
      </c>
      <c r="E921" s="2">
        <v>136145</v>
      </c>
      <c r="F921">
        <v>73</v>
      </c>
      <c r="G921" s="2">
        <v>233288549</v>
      </c>
      <c r="H921" s="2">
        <v>2397744</v>
      </c>
      <c r="I921" s="2">
        <v>250645860</v>
      </c>
      <c r="J921">
        <v>49</v>
      </c>
      <c r="K921">
        <v>329</v>
      </c>
      <c r="L921">
        <v>1</v>
      </c>
      <c r="M921" t="str">
        <f t="shared" si="14"/>
        <v>2010-2020</v>
      </c>
    </row>
    <row r="922" spans="1:13">
      <c r="A922" t="s">
        <v>1441</v>
      </c>
      <c r="B922" t="s">
        <v>1442</v>
      </c>
      <c r="C922" s="1">
        <v>44820</v>
      </c>
      <c r="D922" s="2">
        <v>710784872</v>
      </c>
      <c r="E922" s="2">
        <v>64517</v>
      </c>
      <c r="F922">
        <v>90</v>
      </c>
      <c r="G922" s="2">
        <v>44322144</v>
      </c>
      <c r="H922" s="2">
        <v>594352</v>
      </c>
      <c r="I922" s="2">
        <v>1027806256</v>
      </c>
      <c r="J922">
        <v>149</v>
      </c>
      <c r="K922">
        <v>501</v>
      </c>
      <c r="L922">
        <v>0</v>
      </c>
      <c r="M922" t="str">
        <f t="shared" si="14"/>
        <v>After 2020</v>
      </c>
    </row>
    <row r="923" spans="1:13">
      <c r="A923" t="s">
        <v>1443</v>
      </c>
      <c r="B923" t="s">
        <v>236</v>
      </c>
      <c r="C923" s="1">
        <v>45125</v>
      </c>
      <c r="D923" s="2">
        <v>285481590</v>
      </c>
      <c r="E923" s="2">
        <v>62715</v>
      </c>
      <c r="F923">
        <v>68</v>
      </c>
      <c r="G923" s="2">
        <v>40688228</v>
      </c>
      <c r="H923" s="2">
        <v>817018</v>
      </c>
      <c r="I923" s="2">
        <v>129035232</v>
      </c>
      <c r="J923">
        <v>46</v>
      </c>
      <c r="K923">
        <v>347</v>
      </c>
      <c r="L923">
        <v>1</v>
      </c>
      <c r="M923" t="str">
        <f t="shared" si="14"/>
        <v>After 2020</v>
      </c>
    </row>
    <row r="924" spans="1:13" hidden="1">
      <c r="A924" t="s">
        <v>1444</v>
      </c>
      <c r="B924" t="s">
        <v>1445</v>
      </c>
      <c r="C924" s="1">
        <v>45380</v>
      </c>
      <c r="D924" s="2">
        <v>123802404</v>
      </c>
      <c r="E924" s="2">
        <v>7364</v>
      </c>
      <c r="F924">
        <v>82</v>
      </c>
      <c r="G924" s="2">
        <v>21277734</v>
      </c>
      <c r="H924" s="2">
        <v>440764</v>
      </c>
      <c r="I924" s="2">
        <v>20879200</v>
      </c>
      <c r="J924">
        <v>43</v>
      </c>
      <c r="L924">
        <v>0</v>
      </c>
      <c r="M924" t="str">
        <f t="shared" si="14"/>
        <v>After 2020</v>
      </c>
    </row>
    <row r="925" spans="1:13" hidden="1">
      <c r="A925" t="s">
        <v>1446</v>
      </c>
      <c r="B925" t="s">
        <v>1447</v>
      </c>
      <c r="C925" s="1">
        <v>45205</v>
      </c>
      <c r="D925" s="2">
        <v>183134509</v>
      </c>
      <c r="E925" s="2">
        <v>12210</v>
      </c>
      <c r="G925" s="2">
        <v>164326447</v>
      </c>
      <c r="H925" s="2">
        <v>3483743</v>
      </c>
      <c r="I925" s="2">
        <v>518880479</v>
      </c>
      <c r="J925">
        <v>15</v>
      </c>
      <c r="K925">
        <v>35</v>
      </c>
      <c r="L925">
        <v>0</v>
      </c>
      <c r="M925" t="str">
        <f t="shared" si="14"/>
        <v>After 2020</v>
      </c>
    </row>
    <row r="926" spans="1:13">
      <c r="A926" t="s">
        <v>400</v>
      </c>
      <c r="B926" t="s">
        <v>444</v>
      </c>
      <c r="C926" s="1">
        <v>43874</v>
      </c>
      <c r="D926" s="2">
        <v>341742937</v>
      </c>
      <c r="E926" s="2">
        <v>53836</v>
      </c>
      <c r="F926">
        <v>58</v>
      </c>
      <c r="G926" s="2">
        <v>1281379386</v>
      </c>
      <c r="H926" s="2">
        <v>7138308</v>
      </c>
      <c r="I926" s="2">
        <v>650666266</v>
      </c>
      <c r="J926">
        <v>45</v>
      </c>
      <c r="K926">
        <v>117</v>
      </c>
      <c r="L926">
        <v>0</v>
      </c>
      <c r="M926" t="str">
        <f t="shared" si="14"/>
        <v>2010-2020</v>
      </c>
    </row>
    <row r="927" spans="1:13">
      <c r="A927" t="s">
        <v>1448</v>
      </c>
      <c r="B927" t="s">
        <v>258</v>
      </c>
      <c r="C927" s="1">
        <v>40179</v>
      </c>
      <c r="D927" s="2">
        <v>829352129</v>
      </c>
      <c r="E927" s="2">
        <v>159324</v>
      </c>
      <c r="F927">
        <v>61</v>
      </c>
      <c r="G927" s="2">
        <v>4062829308</v>
      </c>
      <c r="H927" s="2">
        <v>23606907</v>
      </c>
      <c r="I927" s="2">
        <v>5938511405</v>
      </c>
      <c r="J927">
        <v>109</v>
      </c>
      <c r="K927">
        <v>43</v>
      </c>
      <c r="L927">
        <v>0</v>
      </c>
      <c r="M927" t="str">
        <f t="shared" si="14"/>
        <v>2010-2020</v>
      </c>
    </row>
    <row r="928" spans="1:13" hidden="1">
      <c r="A928" t="s">
        <v>1449</v>
      </c>
      <c r="B928" t="s">
        <v>1450</v>
      </c>
      <c r="C928" s="1">
        <v>45379</v>
      </c>
      <c r="D928" s="2">
        <v>79786203</v>
      </c>
      <c r="E928" s="2">
        <v>8939</v>
      </c>
      <c r="F928">
        <v>76</v>
      </c>
      <c r="G928" s="2">
        <v>32616728</v>
      </c>
      <c r="H928" s="2">
        <v>216834</v>
      </c>
      <c r="J928">
        <v>29</v>
      </c>
      <c r="K928">
        <v>9</v>
      </c>
      <c r="L928">
        <v>1</v>
      </c>
      <c r="M928" t="str">
        <f t="shared" si="14"/>
        <v>After 2020</v>
      </c>
    </row>
    <row r="929" spans="1:13">
      <c r="A929" t="s">
        <v>1451</v>
      </c>
      <c r="B929" t="s">
        <v>81</v>
      </c>
      <c r="C929" s="1">
        <v>43210</v>
      </c>
      <c r="D929" s="2">
        <v>1331371819</v>
      </c>
      <c r="E929" s="2">
        <v>100503</v>
      </c>
      <c r="F929">
        <v>71</v>
      </c>
      <c r="G929" s="2">
        <v>1426855223</v>
      </c>
      <c r="H929" s="2">
        <v>11706422</v>
      </c>
      <c r="I929" s="2">
        <v>219920452</v>
      </c>
      <c r="J929">
        <v>143</v>
      </c>
      <c r="K929">
        <v>280</v>
      </c>
      <c r="L929">
        <v>0</v>
      </c>
      <c r="M929" t="str">
        <f t="shared" si="14"/>
        <v>2010-2020</v>
      </c>
    </row>
    <row r="930" spans="1:13" hidden="1">
      <c r="A930" t="s">
        <v>1452</v>
      </c>
      <c r="B930" t="s">
        <v>1453</v>
      </c>
      <c r="C930" s="1">
        <v>45227</v>
      </c>
      <c r="E930">
        <v>44</v>
      </c>
      <c r="G930" s="2">
        <v>92839</v>
      </c>
      <c r="H930" s="2">
        <v>1676</v>
      </c>
      <c r="I930" s="2">
        <v>454838946</v>
      </c>
      <c r="J930">
        <v>2</v>
      </c>
      <c r="L930">
        <v>1</v>
      </c>
      <c r="M930" t="str">
        <f t="shared" si="14"/>
        <v>After 2020</v>
      </c>
    </row>
    <row r="931" spans="1:13">
      <c r="A931" t="s">
        <v>1454</v>
      </c>
      <c r="B931" t="s">
        <v>340</v>
      </c>
      <c r="C931" s="1">
        <v>44061</v>
      </c>
      <c r="D931" s="2">
        <v>121391098</v>
      </c>
      <c r="E931" s="2">
        <v>28044</v>
      </c>
      <c r="F931">
        <v>54</v>
      </c>
      <c r="G931" s="2">
        <v>19099476</v>
      </c>
      <c r="H931" s="2">
        <v>465493</v>
      </c>
      <c r="I931" s="2">
        <v>1710758827</v>
      </c>
      <c r="J931">
        <v>24</v>
      </c>
      <c r="K931">
        <v>122</v>
      </c>
      <c r="L931">
        <v>0</v>
      </c>
      <c r="M931" t="str">
        <f t="shared" si="14"/>
        <v>2010-2020</v>
      </c>
    </row>
    <row r="932" spans="1:13" hidden="1">
      <c r="A932" t="s">
        <v>1455</v>
      </c>
      <c r="B932" t="s">
        <v>155</v>
      </c>
      <c r="C932" s="1">
        <v>45394</v>
      </c>
      <c r="D932" s="2">
        <v>570290910</v>
      </c>
      <c r="E932">
        <v>174</v>
      </c>
      <c r="L932">
        <v>0</v>
      </c>
      <c r="M932" t="str">
        <f t="shared" si="14"/>
        <v>After 2020</v>
      </c>
    </row>
    <row r="933" spans="1:13" hidden="1">
      <c r="A933" t="s">
        <v>1456</v>
      </c>
      <c r="B933" t="s">
        <v>1457</v>
      </c>
      <c r="C933" s="1">
        <v>44959</v>
      </c>
      <c r="D933" s="2">
        <v>423018422</v>
      </c>
      <c r="E933" s="2">
        <v>23872</v>
      </c>
      <c r="F933">
        <v>63</v>
      </c>
      <c r="G933" s="2">
        <v>361813279</v>
      </c>
      <c r="H933" s="2">
        <v>1727192</v>
      </c>
      <c r="I933" s="2">
        <v>277692228</v>
      </c>
      <c r="J933">
        <v>21</v>
      </c>
      <c r="L933">
        <v>0</v>
      </c>
      <c r="M933" t="str">
        <f t="shared" si="14"/>
        <v>After 2020</v>
      </c>
    </row>
    <row r="934" spans="1:13" hidden="1">
      <c r="A934" t="s">
        <v>1458</v>
      </c>
      <c r="B934" t="s">
        <v>35</v>
      </c>
      <c r="C934" s="1">
        <v>45429</v>
      </c>
      <c r="D934" s="2">
        <v>33245898</v>
      </c>
      <c r="E934" s="2">
        <v>2343</v>
      </c>
      <c r="F934">
        <v>78</v>
      </c>
      <c r="G934" s="2">
        <v>15755338</v>
      </c>
      <c r="H934" s="2">
        <v>203277</v>
      </c>
      <c r="J934">
        <v>8</v>
      </c>
      <c r="L934">
        <v>1</v>
      </c>
      <c r="M934" t="str">
        <f t="shared" si="14"/>
        <v>After 2020</v>
      </c>
    </row>
    <row r="935" spans="1:13" hidden="1">
      <c r="A935" t="s">
        <v>1459</v>
      </c>
      <c r="B935" t="s">
        <v>1460</v>
      </c>
      <c r="C935" s="1">
        <v>43916</v>
      </c>
      <c r="D935" s="2">
        <v>86295058</v>
      </c>
      <c r="E935" s="2">
        <v>7591</v>
      </c>
      <c r="F935">
        <v>55</v>
      </c>
      <c r="G935" s="2">
        <v>1022945729</v>
      </c>
      <c r="H935" s="2">
        <v>6994273</v>
      </c>
      <c r="I935" s="2">
        <v>1953198700</v>
      </c>
      <c r="J935">
        <v>7</v>
      </c>
      <c r="L935">
        <v>0</v>
      </c>
      <c r="M935" t="str">
        <f t="shared" si="14"/>
        <v>2010-2020</v>
      </c>
    </row>
    <row r="936" spans="1:13">
      <c r="A936" t="s">
        <v>1461</v>
      </c>
      <c r="B936" t="s">
        <v>449</v>
      </c>
      <c r="C936" s="1">
        <v>43434</v>
      </c>
      <c r="D936" s="2">
        <v>652559944</v>
      </c>
      <c r="E936" s="2">
        <v>170734</v>
      </c>
      <c r="F936">
        <v>74</v>
      </c>
      <c r="G936" s="2">
        <v>317320682</v>
      </c>
      <c r="H936" s="2">
        <v>2195610</v>
      </c>
      <c r="I936" s="2">
        <v>62837382</v>
      </c>
      <c r="J936">
        <v>21</v>
      </c>
      <c r="K936">
        <v>1</v>
      </c>
      <c r="L936">
        <v>1</v>
      </c>
      <c r="M936" t="str">
        <f t="shared" si="14"/>
        <v>2010-2020</v>
      </c>
    </row>
    <row r="937" spans="1:13" hidden="1">
      <c r="A937" t="s">
        <v>69</v>
      </c>
      <c r="B937" t="s">
        <v>70</v>
      </c>
      <c r="C937" s="1">
        <v>45394</v>
      </c>
      <c r="D937" s="2">
        <v>536986458</v>
      </c>
      <c r="E937">
        <v>1</v>
      </c>
      <c r="L937">
        <v>1</v>
      </c>
      <c r="M937" t="str">
        <f t="shared" si="14"/>
        <v>After 2020</v>
      </c>
    </row>
    <row r="938" spans="1:13">
      <c r="A938" t="s">
        <v>1462</v>
      </c>
      <c r="B938" t="s">
        <v>1463</v>
      </c>
      <c r="C938" s="1">
        <v>45002</v>
      </c>
      <c r="D938" s="2">
        <v>142512477</v>
      </c>
      <c r="E938" s="2">
        <v>23828</v>
      </c>
      <c r="F938">
        <v>72</v>
      </c>
      <c r="G938" s="2">
        <v>56277759</v>
      </c>
      <c r="H938" s="2">
        <v>436896</v>
      </c>
      <c r="I938" s="2">
        <v>109014578</v>
      </c>
      <c r="J938">
        <v>14</v>
      </c>
      <c r="K938">
        <v>7</v>
      </c>
      <c r="L938">
        <v>0</v>
      </c>
      <c r="M938" t="str">
        <f t="shared" si="14"/>
        <v>After 2020</v>
      </c>
    </row>
    <row r="939" spans="1:13" hidden="1">
      <c r="A939" t="s">
        <v>1464</v>
      </c>
      <c r="B939" t="s">
        <v>1465</v>
      </c>
      <c r="C939" s="1">
        <v>45023</v>
      </c>
      <c r="D939" s="2">
        <v>203212015</v>
      </c>
      <c r="E939" s="2">
        <v>36459</v>
      </c>
      <c r="F939">
        <v>67</v>
      </c>
      <c r="G939" s="2">
        <v>178302256</v>
      </c>
      <c r="H939" s="2">
        <v>677453</v>
      </c>
      <c r="I939" s="2">
        <v>359964365</v>
      </c>
      <c r="J939">
        <v>27</v>
      </c>
      <c r="L939">
        <v>1</v>
      </c>
      <c r="M939" t="str">
        <f t="shared" si="14"/>
        <v>After 2020</v>
      </c>
    </row>
    <row r="940" spans="1:13">
      <c r="A940" t="s">
        <v>1466</v>
      </c>
      <c r="B940" t="s">
        <v>631</v>
      </c>
      <c r="C940" s="1">
        <v>41640</v>
      </c>
      <c r="D940" s="2">
        <v>1497564072</v>
      </c>
      <c r="E940" s="2">
        <v>255037</v>
      </c>
      <c r="F940">
        <v>81</v>
      </c>
      <c r="G940" s="2">
        <v>1989930606</v>
      </c>
      <c r="H940" s="2">
        <v>8740440</v>
      </c>
      <c r="I940" s="2">
        <v>1214191679</v>
      </c>
      <c r="J940">
        <v>225</v>
      </c>
      <c r="K940">
        <v>119</v>
      </c>
      <c r="L940">
        <v>0</v>
      </c>
      <c r="M940" t="str">
        <f t="shared" si="14"/>
        <v>2010-2020</v>
      </c>
    </row>
    <row r="941" spans="1:13">
      <c r="A941" t="s">
        <v>1467</v>
      </c>
      <c r="B941" t="s">
        <v>983</v>
      </c>
      <c r="C941" s="1">
        <v>43252</v>
      </c>
      <c r="D941" s="2">
        <v>1055558326</v>
      </c>
      <c r="E941" s="2">
        <v>208777</v>
      </c>
      <c r="F941">
        <v>72</v>
      </c>
      <c r="G941" s="2">
        <v>952644680</v>
      </c>
      <c r="H941" s="2">
        <v>8820105</v>
      </c>
      <c r="I941" s="2">
        <v>350694950</v>
      </c>
      <c r="J941">
        <v>18</v>
      </c>
      <c r="K941">
        <v>42</v>
      </c>
      <c r="L941">
        <v>1</v>
      </c>
      <c r="M941" t="str">
        <f t="shared" si="14"/>
        <v>2010-2020</v>
      </c>
    </row>
    <row r="942" spans="1:13">
      <c r="A942" t="s">
        <v>1468</v>
      </c>
      <c r="B942" t="s">
        <v>1469</v>
      </c>
      <c r="C942" s="1">
        <v>43056</v>
      </c>
      <c r="D942" s="2">
        <v>1042531612</v>
      </c>
      <c r="E942" s="2">
        <v>119883</v>
      </c>
      <c r="F942">
        <v>73</v>
      </c>
      <c r="G942" s="2">
        <v>1425188874</v>
      </c>
      <c r="H942" s="2">
        <v>10037251</v>
      </c>
      <c r="I942" s="2">
        <v>1930209423</v>
      </c>
      <c r="J942">
        <v>70</v>
      </c>
      <c r="K942">
        <v>8</v>
      </c>
      <c r="L942">
        <v>0</v>
      </c>
      <c r="M942" t="str">
        <f t="shared" si="14"/>
        <v>2010-2020</v>
      </c>
    </row>
    <row r="943" spans="1:13">
      <c r="A943" t="s">
        <v>1470</v>
      </c>
      <c r="B943" t="s">
        <v>233</v>
      </c>
      <c r="C943" s="1">
        <v>43410</v>
      </c>
      <c r="D943" s="2">
        <v>1056929910</v>
      </c>
      <c r="E943" s="2">
        <v>134812</v>
      </c>
      <c r="F943">
        <v>74</v>
      </c>
      <c r="G943" s="2">
        <v>908433462</v>
      </c>
      <c r="H943" s="2">
        <v>8291217</v>
      </c>
      <c r="I943" s="2">
        <v>2058078137</v>
      </c>
      <c r="J943">
        <v>54</v>
      </c>
      <c r="K943">
        <v>37</v>
      </c>
      <c r="L943">
        <v>0</v>
      </c>
      <c r="M943" t="str">
        <f t="shared" si="14"/>
        <v>2010-2020</v>
      </c>
    </row>
    <row r="944" spans="1:13" hidden="1">
      <c r="A944" t="s">
        <v>1471</v>
      </c>
      <c r="B944" t="s">
        <v>1472</v>
      </c>
      <c r="C944" s="1">
        <v>45205</v>
      </c>
      <c r="D944" s="2">
        <v>165347464</v>
      </c>
      <c r="E944" s="2">
        <v>21942</v>
      </c>
      <c r="G944" s="2">
        <v>43792907</v>
      </c>
      <c r="H944" s="2">
        <v>313018</v>
      </c>
      <c r="I944" s="2">
        <v>7395640</v>
      </c>
      <c r="J944">
        <v>18</v>
      </c>
      <c r="K944">
        <v>314</v>
      </c>
      <c r="L944">
        <v>1</v>
      </c>
      <c r="M944" t="str">
        <f t="shared" si="14"/>
        <v>After 2020</v>
      </c>
    </row>
    <row r="945" spans="1:13">
      <c r="A945" t="s">
        <v>1473</v>
      </c>
      <c r="B945" t="s">
        <v>1474</v>
      </c>
      <c r="C945" s="1">
        <v>43748</v>
      </c>
      <c r="D945" s="2">
        <v>1474968552</v>
      </c>
      <c r="E945" s="2">
        <v>170595</v>
      </c>
      <c r="F945">
        <v>68</v>
      </c>
      <c r="G945" s="2">
        <v>473697535</v>
      </c>
      <c r="H945" s="2">
        <v>5439167</v>
      </c>
      <c r="I945" s="2">
        <v>4972391653</v>
      </c>
      <c r="J945">
        <v>154</v>
      </c>
      <c r="K945">
        <v>583</v>
      </c>
      <c r="L945">
        <v>1</v>
      </c>
      <c r="M945" t="str">
        <f t="shared" si="14"/>
        <v>2010-2020</v>
      </c>
    </row>
    <row r="946" spans="1:13">
      <c r="A946" t="s">
        <v>1475</v>
      </c>
      <c r="B946" t="s">
        <v>1430</v>
      </c>
      <c r="C946" s="1">
        <v>45156</v>
      </c>
      <c r="D946" s="2">
        <v>150073848</v>
      </c>
      <c r="E946" s="2">
        <v>12340</v>
      </c>
      <c r="F946">
        <v>71</v>
      </c>
      <c r="G946" s="2">
        <v>232389376</v>
      </c>
      <c r="H946" s="2">
        <v>1637844</v>
      </c>
      <c r="I946" s="2">
        <v>169068391</v>
      </c>
      <c r="J946">
        <v>17</v>
      </c>
      <c r="K946">
        <v>4</v>
      </c>
      <c r="L946">
        <v>0</v>
      </c>
      <c r="M946" t="str">
        <f t="shared" si="14"/>
        <v>After 2020</v>
      </c>
    </row>
    <row r="947" spans="1:13">
      <c r="A947" t="s">
        <v>1476</v>
      </c>
      <c r="B947" t="s">
        <v>938</v>
      </c>
      <c r="C947" s="1">
        <v>44491</v>
      </c>
      <c r="D947" s="2">
        <v>641756842</v>
      </c>
      <c r="E947" s="2">
        <v>80542</v>
      </c>
      <c r="F947">
        <v>68</v>
      </c>
      <c r="G947" s="2">
        <v>558812868</v>
      </c>
      <c r="H947" s="2">
        <v>2887216</v>
      </c>
      <c r="I947" s="2">
        <v>855230861</v>
      </c>
      <c r="J947">
        <v>78</v>
      </c>
      <c r="K947">
        <v>875</v>
      </c>
      <c r="L947">
        <v>0</v>
      </c>
      <c r="M947" t="str">
        <f t="shared" si="14"/>
        <v>After 2020</v>
      </c>
    </row>
    <row r="948" spans="1:13" hidden="1">
      <c r="A948" t="s">
        <v>1477</v>
      </c>
      <c r="B948" t="s">
        <v>1478</v>
      </c>
      <c r="C948" s="1">
        <v>45432</v>
      </c>
      <c r="D948" s="2">
        <v>899456</v>
      </c>
      <c r="E948">
        <v>147</v>
      </c>
      <c r="F948">
        <v>46</v>
      </c>
      <c r="G948" s="2">
        <v>31419384</v>
      </c>
      <c r="H948" s="2">
        <v>139393</v>
      </c>
      <c r="J948">
        <v>2</v>
      </c>
      <c r="L948">
        <v>0</v>
      </c>
      <c r="M948" t="str">
        <f t="shared" si="14"/>
        <v>After 2020</v>
      </c>
    </row>
    <row r="949" spans="1:13">
      <c r="A949" t="s">
        <v>1479</v>
      </c>
      <c r="B949" t="s">
        <v>1480</v>
      </c>
      <c r="C949" s="1">
        <v>44435</v>
      </c>
      <c r="D949" s="2">
        <v>786298066</v>
      </c>
      <c r="E949" s="2">
        <v>204148</v>
      </c>
      <c r="F949">
        <v>77</v>
      </c>
      <c r="G949" s="2">
        <v>63403993</v>
      </c>
      <c r="H949" s="2">
        <v>557514</v>
      </c>
      <c r="I949" s="2">
        <v>532021210</v>
      </c>
      <c r="J949">
        <v>62</v>
      </c>
      <c r="K949">
        <v>354</v>
      </c>
      <c r="L949">
        <v>1</v>
      </c>
      <c r="M949" t="str">
        <f t="shared" si="14"/>
        <v>After 2020</v>
      </c>
    </row>
    <row r="950" spans="1:13" hidden="1">
      <c r="A950" t="s">
        <v>1481</v>
      </c>
      <c r="B950" t="s">
        <v>1368</v>
      </c>
      <c r="C950" s="1">
        <v>45435</v>
      </c>
      <c r="D950" s="2">
        <v>19514243</v>
      </c>
      <c r="E950" s="2">
        <v>1329</v>
      </c>
      <c r="F950">
        <v>75</v>
      </c>
      <c r="G950" s="2">
        <v>17545232</v>
      </c>
      <c r="H950" s="2">
        <v>195611</v>
      </c>
      <c r="J950">
        <v>16</v>
      </c>
      <c r="L950">
        <v>0</v>
      </c>
      <c r="M950" t="str">
        <f t="shared" si="14"/>
        <v>After 2020</v>
      </c>
    </row>
    <row r="951" spans="1:13">
      <c r="A951" t="s">
        <v>1482</v>
      </c>
      <c r="B951" t="s">
        <v>233</v>
      </c>
      <c r="C951" s="1">
        <v>42864</v>
      </c>
      <c r="D951" s="2">
        <v>1257258072</v>
      </c>
      <c r="E951" s="2">
        <v>156442</v>
      </c>
      <c r="F951">
        <v>76</v>
      </c>
      <c r="G951" s="2">
        <v>1192880501</v>
      </c>
      <c r="H951" s="2">
        <v>7815307</v>
      </c>
      <c r="I951" s="2">
        <v>340416328</v>
      </c>
      <c r="J951">
        <v>86</v>
      </c>
      <c r="K951">
        <v>260</v>
      </c>
      <c r="L951">
        <v>0</v>
      </c>
      <c r="M951" t="str">
        <f t="shared" si="14"/>
        <v>2010-2020</v>
      </c>
    </row>
    <row r="952" spans="1:13">
      <c r="A952" t="s">
        <v>1483</v>
      </c>
      <c r="B952" t="s">
        <v>1484</v>
      </c>
      <c r="C952" s="1">
        <v>44736</v>
      </c>
      <c r="D952" s="2">
        <v>296828933</v>
      </c>
      <c r="E952" s="2">
        <v>25748</v>
      </c>
      <c r="F952">
        <v>69</v>
      </c>
      <c r="G952" s="2">
        <v>407776018</v>
      </c>
      <c r="H952" s="2">
        <v>8669558</v>
      </c>
      <c r="I952" s="2">
        <v>5178604164</v>
      </c>
      <c r="J952">
        <v>18</v>
      </c>
      <c r="K952">
        <v>83</v>
      </c>
      <c r="L952">
        <v>0</v>
      </c>
      <c r="M952" t="str">
        <f t="shared" si="14"/>
        <v>After 2020</v>
      </c>
    </row>
    <row r="953" spans="1:13" hidden="1">
      <c r="A953" t="s">
        <v>1485</v>
      </c>
      <c r="B953" t="s">
        <v>1486</v>
      </c>
      <c r="C953" s="1">
        <v>44939</v>
      </c>
      <c r="D953" s="2">
        <v>78985</v>
      </c>
      <c r="E953">
        <v>67</v>
      </c>
      <c r="F953">
        <v>9</v>
      </c>
      <c r="G953" s="2">
        <v>621561070</v>
      </c>
      <c r="H953" s="2">
        <v>3598710</v>
      </c>
      <c r="L953">
        <v>0</v>
      </c>
      <c r="M953" t="str">
        <f t="shared" si="14"/>
        <v>After 2020</v>
      </c>
    </row>
    <row r="954" spans="1:13">
      <c r="A954" t="s">
        <v>1487</v>
      </c>
      <c r="B954" t="s">
        <v>1488</v>
      </c>
      <c r="C954" s="1">
        <v>45092</v>
      </c>
      <c r="D954" s="2">
        <v>84655991</v>
      </c>
      <c r="E954" s="2">
        <v>13107</v>
      </c>
      <c r="F954">
        <v>69</v>
      </c>
      <c r="G954" s="2">
        <v>75076449</v>
      </c>
      <c r="H954" s="2">
        <v>510479</v>
      </c>
      <c r="I954" s="2">
        <v>382487197</v>
      </c>
      <c r="J954">
        <v>36</v>
      </c>
      <c r="K954">
        <v>89</v>
      </c>
      <c r="L954">
        <v>0</v>
      </c>
      <c r="M954" t="str">
        <f t="shared" si="14"/>
        <v>After 2020</v>
      </c>
    </row>
    <row r="955" spans="1:13">
      <c r="A955" t="s">
        <v>1489</v>
      </c>
      <c r="B955" t="s">
        <v>1490</v>
      </c>
      <c r="C955" s="1">
        <v>45083</v>
      </c>
      <c r="D955" s="2">
        <v>242661037</v>
      </c>
      <c r="E955" s="2">
        <v>43999</v>
      </c>
      <c r="F955">
        <v>74</v>
      </c>
      <c r="G955" s="2">
        <v>51722759</v>
      </c>
      <c r="H955" s="2">
        <v>783780</v>
      </c>
      <c r="I955" s="2">
        <v>646143014</v>
      </c>
      <c r="J955">
        <v>5</v>
      </c>
      <c r="K955">
        <v>948</v>
      </c>
      <c r="L955">
        <v>1</v>
      </c>
      <c r="M955" t="str">
        <f t="shared" si="14"/>
        <v>After 2020</v>
      </c>
    </row>
    <row r="956" spans="1:13">
      <c r="A956" t="s">
        <v>1491</v>
      </c>
      <c r="B956" t="s">
        <v>59</v>
      </c>
      <c r="C956" s="1">
        <v>43522</v>
      </c>
      <c r="D956" s="2">
        <v>317223968</v>
      </c>
      <c r="E956" s="2">
        <v>47247</v>
      </c>
      <c r="F956">
        <v>54</v>
      </c>
      <c r="G956" s="2">
        <v>1867482161</v>
      </c>
      <c r="H956" s="2">
        <v>5147665</v>
      </c>
      <c r="I956" s="2">
        <v>14034398</v>
      </c>
      <c r="J956">
        <v>21</v>
      </c>
      <c r="K956">
        <v>9</v>
      </c>
      <c r="L956">
        <v>1</v>
      </c>
      <c r="M956" t="str">
        <f t="shared" si="14"/>
        <v>2010-2020</v>
      </c>
    </row>
    <row r="957" spans="1:13">
      <c r="A957" t="s">
        <v>1492</v>
      </c>
      <c r="B957" t="s">
        <v>285</v>
      </c>
      <c r="C957" s="1">
        <v>44092</v>
      </c>
      <c r="D957" s="2">
        <v>787546548</v>
      </c>
      <c r="E957" s="2">
        <v>110389</v>
      </c>
      <c r="F957">
        <v>63</v>
      </c>
      <c r="G957" s="2">
        <v>396861382</v>
      </c>
      <c r="H957" s="2">
        <v>6241346</v>
      </c>
      <c r="I957" s="2">
        <v>561056269</v>
      </c>
      <c r="J957">
        <v>178</v>
      </c>
      <c r="K957">
        <v>339</v>
      </c>
      <c r="L957">
        <v>0</v>
      </c>
      <c r="M957" t="str">
        <f t="shared" si="14"/>
        <v>2010-2020</v>
      </c>
    </row>
    <row r="958" spans="1:13">
      <c r="A958" t="s">
        <v>1493</v>
      </c>
      <c r="B958" t="s">
        <v>1326</v>
      </c>
      <c r="C958" s="1">
        <v>41982</v>
      </c>
      <c r="D958" s="2">
        <v>2235160830</v>
      </c>
      <c r="E958" s="2">
        <v>403355</v>
      </c>
      <c r="F958">
        <v>81</v>
      </c>
      <c r="G958" s="2">
        <v>656310159</v>
      </c>
      <c r="H958" s="2">
        <v>4852226</v>
      </c>
      <c r="I958" s="2">
        <v>885273359</v>
      </c>
      <c r="J958">
        <v>115</v>
      </c>
      <c r="K958">
        <v>61</v>
      </c>
      <c r="L958">
        <v>1</v>
      </c>
      <c r="M958" t="str">
        <f t="shared" si="14"/>
        <v>2010-2020</v>
      </c>
    </row>
    <row r="959" spans="1:13">
      <c r="A959" t="s">
        <v>1494</v>
      </c>
      <c r="B959" t="s">
        <v>535</v>
      </c>
      <c r="C959" s="1">
        <v>42810</v>
      </c>
      <c r="D959" s="2">
        <v>1456894713</v>
      </c>
      <c r="E959" s="2">
        <v>141677</v>
      </c>
      <c r="F959">
        <v>71</v>
      </c>
      <c r="G959" s="2">
        <v>1523128022</v>
      </c>
      <c r="H959" s="2">
        <v>9966382</v>
      </c>
      <c r="I959" s="2">
        <v>386013926</v>
      </c>
      <c r="J959">
        <v>173</v>
      </c>
      <c r="K959">
        <v>17</v>
      </c>
      <c r="L959">
        <v>0</v>
      </c>
      <c r="M959" t="str">
        <f t="shared" si="14"/>
        <v>2010-2020</v>
      </c>
    </row>
    <row r="960" spans="1:13">
      <c r="A960" t="s">
        <v>1495</v>
      </c>
      <c r="B960" t="s">
        <v>371</v>
      </c>
      <c r="C960" s="1">
        <v>43973</v>
      </c>
      <c r="D960" s="2">
        <v>1060378159</v>
      </c>
      <c r="E960" s="2">
        <v>104647</v>
      </c>
      <c r="F960">
        <v>68</v>
      </c>
      <c r="G960" s="2">
        <v>514581598</v>
      </c>
      <c r="H960" s="2">
        <v>6465409</v>
      </c>
      <c r="I960" s="2">
        <v>538854965</v>
      </c>
      <c r="J960">
        <v>320</v>
      </c>
      <c r="K960">
        <v>438</v>
      </c>
      <c r="L960">
        <v>0</v>
      </c>
      <c r="M960" t="str">
        <f t="shared" si="14"/>
        <v>2010-2020</v>
      </c>
    </row>
    <row r="961" spans="1:13" hidden="1">
      <c r="A961" t="s">
        <v>1496</v>
      </c>
      <c r="B961" t="s">
        <v>1497</v>
      </c>
      <c r="C961" s="1">
        <v>45134</v>
      </c>
      <c r="D961" s="2">
        <v>118804209</v>
      </c>
      <c r="E961" s="2">
        <v>57036</v>
      </c>
      <c r="F961">
        <v>71</v>
      </c>
      <c r="G961" s="2">
        <v>16072797</v>
      </c>
      <c r="H961" s="2">
        <v>207183</v>
      </c>
      <c r="J961">
        <v>29</v>
      </c>
      <c r="L961">
        <v>0</v>
      </c>
      <c r="M961" t="str">
        <f t="shared" si="14"/>
        <v>After 2020</v>
      </c>
    </row>
    <row r="962" spans="1:13">
      <c r="A962" s="3">
        <v>0.44097222222222221</v>
      </c>
      <c r="B962" t="s">
        <v>642</v>
      </c>
      <c r="C962" s="1">
        <v>44868</v>
      </c>
      <c r="D962" s="2">
        <v>539802784</v>
      </c>
      <c r="E962" s="2">
        <v>82093</v>
      </c>
      <c r="F962">
        <v>74</v>
      </c>
      <c r="G962" s="2">
        <v>94379586</v>
      </c>
      <c r="H962" s="2">
        <v>652780</v>
      </c>
      <c r="I962" s="2">
        <v>119710596</v>
      </c>
      <c r="J962">
        <v>187</v>
      </c>
      <c r="K962">
        <v>265</v>
      </c>
      <c r="L962">
        <v>0</v>
      </c>
      <c r="M962" t="str">
        <f t="shared" si="14"/>
        <v>After 2020</v>
      </c>
    </row>
    <row r="963" spans="1:13">
      <c r="A963" t="s">
        <v>1498</v>
      </c>
      <c r="B963" t="s">
        <v>47</v>
      </c>
      <c r="C963" s="1">
        <v>44505</v>
      </c>
      <c r="D963" s="2">
        <v>631789333</v>
      </c>
      <c r="E963" s="2">
        <v>99512</v>
      </c>
      <c r="F963">
        <v>65</v>
      </c>
      <c r="G963" s="2">
        <v>182180447</v>
      </c>
      <c r="H963" s="2">
        <v>1908939</v>
      </c>
      <c r="I963" s="2">
        <v>181078488</v>
      </c>
      <c r="J963">
        <v>89</v>
      </c>
      <c r="K963" s="2">
        <v>1005</v>
      </c>
      <c r="L963">
        <v>1</v>
      </c>
      <c r="M963" t="str">
        <f t="shared" ref="M963:M1026" si="15">IF(YEAR(C963)&lt;2010,"Before 2010",IF(YEAR(C963)&lt;=2020,"2010-2020","After 2020"))</f>
        <v>After 2020</v>
      </c>
    </row>
    <row r="964" spans="1:13">
      <c r="A964" t="s">
        <v>1499</v>
      </c>
      <c r="B964" t="s">
        <v>1500</v>
      </c>
      <c r="C964" s="1">
        <v>40834</v>
      </c>
      <c r="D964" s="2">
        <v>1654956613</v>
      </c>
      <c r="E964" s="2">
        <v>177834</v>
      </c>
      <c r="F964">
        <v>77</v>
      </c>
      <c r="G964" s="2">
        <v>2989286684</v>
      </c>
      <c r="H964" s="2">
        <v>19870174</v>
      </c>
      <c r="I964" s="2">
        <v>8594414469</v>
      </c>
      <c r="J964">
        <v>94</v>
      </c>
      <c r="K964">
        <v>66</v>
      </c>
      <c r="L964">
        <v>0</v>
      </c>
      <c r="M964" t="str">
        <f t="shared" si="15"/>
        <v>2010-2020</v>
      </c>
    </row>
    <row r="965" spans="1:13">
      <c r="A965" t="s">
        <v>1501</v>
      </c>
      <c r="B965" t="s">
        <v>633</v>
      </c>
      <c r="C965" s="1">
        <v>43480</v>
      </c>
      <c r="D965" s="2">
        <v>759388276</v>
      </c>
      <c r="E965" s="2">
        <v>68502</v>
      </c>
      <c r="F965">
        <v>65</v>
      </c>
      <c r="G965" s="2">
        <v>1595484197</v>
      </c>
      <c r="H965" s="2">
        <v>8161642</v>
      </c>
      <c r="I965" s="2">
        <v>543804719</v>
      </c>
      <c r="J965">
        <v>40</v>
      </c>
      <c r="K965">
        <v>15</v>
      </c>
      <c r="L965">
        <v>0</v>
      </c>
      <c r="M965" t="str">
        <f t="shared" si="15"/>
        <v>2010-2020</v>
      </c>
    </row>
    <row r="966" spans="1:13" hidden="1">
      <c r="A966" t="s">
        <v>1502</v>
      </c>
      <c r="B966" t="s">
        <v>1503</v>
      </c>
      <c r="C966" s="1">
        <v>43252</v>
      </c>
      <c r="D966" s="2">
        <v>482021697</v>
      </c>
      <c r="E966" s="2">
        <v>68578</v>
      </c>
      <c r="F966">
        <v>66</v>
      </c>
      <c r="G966" s="2">
        <v>1965829285</v>
      </c>
      <c r="H966" s="2">
        <v>5786525</v>
      </c>
      <c r="I966" s="2">
        <v>289741256</v>
      </c>
      <c r="J966">
        <v>25</v>
      </c>
      <c r="L966">
        <v>1</v>
      </c>
      <c r="M966" t="str">
        <f t="shared" si="15"/>
        <v>2010-2020</v>
      </c>
    </row>
    <row r="967" spans="1:13">
      <c r="A967" t="s">
        <v>1504</v>
      </c>
      <c r="B967" t="s">
        <v>148</v>
      </c>
      <c r="C967" s="1">
        <v>44533</v>
      </c>
      <c r="D967" s="2">
        <v>456871037</v>
      </c>
      <c r="E967" s="2">
        <v>71261</v>
      </c>
      <c r="F967">
        <v>66</v>
      </c>
      <c r="G967" s="2">
        <v>142820854</v>
      </c>
      <c r="H967" s="2">
        <v>1393679</v>
      </c>
      <c r="I967" s="2">
        <v>1676387442</v>
      </c>
      <c r="J967">
        <v>105</v>
      </c>
      <c r="K967" s="2">
        <v>1324</v>
      </c>
      <c r="L967">
        <v>1</v>
      </c>
      <c r="M967" t="str">
        <f t="shared" si="15"/>
        <v>After 2020</v>
      </c>
    </row>
    <row r="968" spans="1:13">
      <c r="A968" t="s">
        <v>1505</v>
      </c>
      <c r="B968" t="s">
        <v>47</v>
      </c>
      <c r="C968" s="1">
        <v>43217</v>
      </c>
      <c r="D968" s="2">
        <v>1953403531</v>
      </c>
      <c r="E968" s="2">
        <v>239092</v>
      </c>
      <c r="F968">
        <v>74</v>
      </c>
      <c r="G968" s="2">
        <v>48443287</v>
      </c>
      <c r="H968" s="2">
        <v>734538</v>
      </c>
      <c r="I968" s="2">
        <v>97061584</v>
      </c>
      <c r="J968">
        <v>144</v>
      </c>
      <c r="K968">
        <v>203</v>
      </c>
      <c r="L968">
        <v>1</v>
      </c>
      <c r="M968" t="str">
        <f t="shared" si="15"/>
        <v>2010-2020</v>
      </c>
    </row>
    <row r="969" spans="1:13">
      <c r="A969" t="s">
        <v>1506</v>
      </c>
      <c r="B969" t="s">
        <v>1507</v>
      </c>
      <c r="C969" s="1">
        <v>40909</v>
      </c>
      <c r="D969" s="2">
        <v>1394048309</v>
      </c>
      <c r="E969" s="2">
        <v>211162</v>
      </c>
      <c r="F969">
        <v>77</v>
      </c>
      <c r="G969" s="2">
        <v>2007334200</v>
      </c>
      <c r="H969" s="2">
        <v>12223928</v>
      </c>
      <c r="I969" s="2">
        <v>367016981</v>
      </c>
      <c r="J969">
        <v>222</v>
      </c>
      <c r="K969">
        <v>967</v>
      </c>
      <c r="L969">
        <v>0</v>
      </c>
      <c r="M969" t="str">
        <f t="shared" si="15"/>
        <v>2010-2020</v>
      </c>
    </row>
    <row r="970" spans="1:13" hidden="1">
      <c r="A970" t="s">
        <v>1508</v>
      </c>
      <c r="B970" t="s">
        <v>1509</v>
      </c>
      <c r="C970" s="1">
        <v>44987</v>
      </c>
      <c r="D970" s="2">
        <v>187127704</v>
      </c>
      <c r="E970" s="2">
        <v>18938</v>
      </c>
      <c r="F970">
        <v>65</v>
      </c>
      <c r="G970" s="2">
        <v>425484500</v>
      </c>
      <c r="H970" s="2">
        <v>857540</v>
      </c>
      <c r="I970" s="2">
        <v>30085568</v>
      </c>
      <c r="J970">
        <v>8</v>
      </c>
      <c r="L970">
        <v>0</v>
      </c>
      <c r="M970" t="str">
        <f t="shared" si="15"/>
        <v>After 2020</v>
      </c>
    </row>
    <row r="971" spans="1:13">
      <c r="A971" t="s">
        <v>1510</v>
      </c>
      <c r="B971" t="s">
        <v>978</v>
      </c>
      <c r="C971" s="1">
        <v>43497</v>
      </c>
      <c r="D971" s="2">
        <v>995452298</v>
      </c>
      <c r="E971" s="2">
        <v>188608</v>
      </c>
      <c r="F971">
        <v>65</v>
      </c>
      <c r="G971" s="2">
        <v>464369299</v>
      </c>
      <c r="H971" s="2">
        <v>4586152</v>
      </c>
      <c r="I971" s="2">
        <v>1282810923</v>
      </c>
      <c r="J971">
        <v>255</v>
      </c>
      <c r="K971">
        <v>196</v>
      </c>
      <c r="L971">
        <v>0</v>
      </c>
      <c r="M971" t="str">
        <f t="shared" si="15"/>
        <v>2010-2020</v>
      </c>
    </row>
    <row r="972" spans="1:13" hidden="1">
      <c r="A972" t="s">
        <v>1511</v>
      </c>
      <c r="B972" t="s">
        <v>1512</v>
      </c>
      <c r="C972" s="1">
        <v>45068</v>
      </c>
      <c r="D972" s="2">
        <v>203379355</v>
      </c>
      <c r="E972" s="2">
        <v>14067</v>
      </c>
      <c r="F972">
        <v>63</v>
      </c>
      <c r="G972" s="2">
        <v>361600873</v>
      </c>
      <c r="H972" s="2">
        <v>2581315</v>
      </c>
      <c r="J972">
        <v>16</v>
      </c>
      <c r="L972">
        <v>0</v>
      </c>
      <c r="M972" t="str">
        <f t="shared" si="15"/>
        <v>After 2020</v>
      </c>
    </row>
    <row r="973" spans="1:13" hidden="1">
      <c r="A973" t="s">
        <v>1513</v>
      </c>
      <c r="B973" t="s">
        <v>1514</v>
      </c>
      <c r="C973" s="1">
        <v>45210</v>
      </c>
      <c r="D973" s="2">
        <v>140356426</v>
      </c>
      <c r="E973" s="2">
        <v>9363</v>
      </c>
      <c r="G973" s="2">
        <v>87822276</v>
      </c>
      <c r="H973" s="2">
        <v>963707</v>
      </c>
      <c r="I973" s="2">
        <v>1057039331</v>
      </c>
      <c r="J973">
        <v>4</v>
      </c>
      <c r="L973">
        <v>0</v>
      </c>
      <c r="M973" t="str">
        <f t="shared" si="15"/>
        <v>After 2020</v>
      </c>
    </row>
    <row r="974" spans="1:13">
      <c r="A974" t="s">
        <v>1515</v>
      </c>
      <c r="B974" t="s">
        <v>1046</v>
      </c>
      <c r="C974" s="1">
        <v>44306</v>
      </c>
      <c r="D974" s="2">
        <v>257167813</v>
      </c>
      <c r="E974" s="2">
        <v>38896</v>
      </c>
      <c r="F974">
        <v>55</v>
      </c>
      <c r="G974" s="2">
        <v>794011391</v>
      </c>
      <c r="H974" s="2">
        <v>4280865</v>
      </c>
      <c r="I974" s="2">
        <v>2167134347</v>
      </c>
      <c r="J974">
        <v>69</v>
      </c>
      <c r="K974">
        <v>176</v>
      </c>
      <c r="L974">
        <v>1</v>
      </c>
      <c r="M974" t="str">
        <f t="shared" si="15"/>
        <v>After 2020</v>
      </c>
    </row>
    <row r="975" spans="1:13" hidden="1">
      <c r="A975" t="s">
        <v>1516</v>
      </c>
      <c r="B975" t="s">
        <v>157</v>
      </c>
      <c r="C975" s="1">
        <v>45202</v>
      </c>
      <c r="D975" s="2">
        <v>181516735</v>
      </c>
      <c r="E975" s="2">
        <v>25092</v>
      </c>
      <c r="G975" s="2">
        <v>155509942</v>
      </c>
      <c r="H975" s="2">
        <v>2922165</v>
      </c>
      <c r="J975">
        <v>7</v>
      </c>
      <c r="L975">
        <v>0</v>
      </c>
      <c r="M975" t="str">
        <f t="shared" si="15"/>
        <v>After 2020</v>
      </c>
    </row>
    <row r="976" spans="1:13" hidden="1">
      <c r="A976" t="s">
        <v>1517</v>
      </c>
      <c r="B976" t="s">
        <v>86</v>
      </c>
      <c r="C976" s="1">
        <v>45323</v>
      </c>
      <c r="D976" s="2">
        <v>21167612</v>
      </c>
      <c r="E976" s="2">
        <v>1285</v>
      </c>
      <c r="G976" s="2">
        <v>147951356</v>
      </c>
      <c r="H976" s="2">
        <v>1755973</v>
      </c>
      <c r="I976" s="2">
        <v>70103300</v>
      </c>
      <c r="J976">
        <v>5</v>
      </c>
      <c r="L976">
        <v>0</v>
      </c>
      <c r="M976" t="str">
        <f t="shared" si="15"/>
        <v>After 2020</v>
      </c>
    </row>
    <row r="977" spans="1:13">
      <c r="A977" t="s">
        <v>1518</v>
      </c>
      <c r="B977" t="s">
        <v>163</v>
      </c>
      <c r="C977" s="1">
        <v>44679</v>
      </c>
      <c r="D977" s="2">
        <v>582023797</v>
      </c>
      <c r="E977" s="2">
        <v>48881</v>
      </c>
      <c r="F977">
        <v>70</v>
      </c>
      <c r="G977" s="2">
        <v>293059162</v>
      </c>
      <c r="H977" s="2">
        <v>1383526</v>
      </c>
      <c r="I977" s="2">
        <v>805988782</v>
      </c>
      <c r="J977">
        <v>26</v>
      </c>
      <c r="K977">
        <v>222</v>
      </c>
      <c r="L977">
        <v>0</v>
      </c>
      <c r="M977" t="str">
        <f t="shared" si="15"/>
        <v>After 2020</v>
      </c>
    </row>
    <row r="978" spans="1:13">
      <c r="A978" t="s">
        <v>224</v>
      </c>
      <c r="B978" t="s">
        <v>1519</v>
      </c>
      <c r="C978" s="1">
        <v>43875</v>
      </c>
      <c r="D978" s="2">
        <v>27312761</v>
      </c>
      <c r="E978" s="2">
        <v>9048</v>
      </c>
      <c r="F978">
        <v>38</v>
      </c>
      <c r="G978" s="2">
        <v>3538161</v>
      </c>
      <c r="H978" s="2">
        <v>118805</v>
      </c>
      <c r="I978" s="2">
        <v>5979843010</v>
      </c>
      <c r="J978">
        <v>6</v>
      </c>
      <c r="K978">
        <v>239</v>
      </c>
      <c r="L978">
        <v>1</v>
      </c>
      <c r="M978" t="str">
        <f t="shared" si="15"/>
        <v>2010-2020</v>
      </c>
    </row>
    <row r="979" spans="1:13" hidden="1">
      <c r="A979" t="s">
        <v>1520</v>
      </c>
      <c r="B979" t="s">
        <v>266</v>
      </c>
      <c r="C979" s="1">
        <v>45177</v>
      </c>
      <c r="D979" s="2">
        <v>287724574</v>
      </c>
      <c r="E979" s="2">
        <v>25460</v>
      </c>
      <c r="G979" s="2">
        <v>54771296</v>
      </c>
      <c r="H979" s="2">
        <v>818500</v>
      </c>
      <c r="I979" s="2">
        <v>469327093</v>
      </c>
      <c r="J979">
        <v>47</v>
      </c>
      <c r="K979">
        <v>34</v>
      </c>
      <c r="L979">
        <v>1</v>
      </c>
      <c r="M979" t="str">
        <f t="shared" si="15"/>
        <v>After 2020</v>
      </c>
    </row>
    <row r="980" spans="1:13" hidden="1">
      <c r="A980" t="s">
        <v>1521</v>
      </c>
      <c r="B980" t="s">
        <v>200</v>
      </c>
      <c r="C980" s="1">
        <v>45372</v>
      </c>
      <c r="D980" s="2">
        <v>123243341</v>
      </c>
      <c r="E980" s="2">
        <v>5069</v>
      </c>
      <c r="F980">
        <v>79</v>
      </c>
      <c r="G980" s="2">
        <v>53762979</v>
      </c>
      <c r="H980" s="2">
        <v>472820</v>
      </c>
      <c r="I980" s="2">
        <v>3100000</v>
      </c>
      <c r="J980">
        <v>13</v>
      </c>
      <c r="L980">
        <v>1</v>
      </c>
      <c r="M980" t="str">
        <f t="shared" si="15"/>
        <v>After 2020</v>
      </c>
    </row>
    <row r="981" spans="1:13" hidden="1">
      <c r="A981" t="s">
        <v>1522</v>
      </c>
      <c r="B981" t="s">
        <v>1523</v>
      </c>
      <c r="C981" s="1">
        <v>45394</v>
      </c>
      <c r="D981" s="2">
        <v>562814594</v>
      </c>
      <c r="E981">
        <v>17</v>
      </c>
      <c r="L981">
        <v>0</v>
      </c>
      <c r="M981" t="str">
        <f t="shared" si="15"/>
        <v>After 2020</v>
      </c>
    </row>
    <row r="982" spans="1:13" hidden="1">
      <c r="A982" t="s">
        <v>1524</v>
      </c>
      <c r="B982" t="s">
        <v>61</v>
      </c>
      <c r="C982" s="1">
        <v>45400</v>
      </c>
      <c r="D982" s="2">
        <v>150693008</v>
      </c>
      <c r="E982" s="2">
        <v>3273</v>
      </c>
      <c r="G982" s="2">
        <v>15389385</v>
      </c>
      <c r="H982" s="2">
        <v>261652</v>
      </c>
      <c r="I982" s="2">
        <v>39100</v>
      </c>
      <c r="J982">
        <v>29</v>
      </c>
      <c r="L982">
        <v>1</v>
      </c>
      <c r="M982" t="str">
        <f t="shared" si="15"/>
        <v>After 2020</v>
      </c>
    </row>
    <row r="983" spans="1:13">
      <c r="A983" t="s">
        <v>1525</v>
      </c>
      <c r="B983" t="s">
        <v>1526</v>
      </c>
      <c r="C983" s="1">
        <v>44211</v>
      </c>
      <c r="D983" s="2">
        <v>721002104</v>
      </c>
      <c r="E983" s="2">
        <v>146298</v>
      </c>
      <c r="F983">
        <v>71</v>
      </c>
      <c r="G983" s="2">
        <v>118729044</v>
      </c>
      <c r="H983" s="2">
        <v>952700</v>
      </c>
      <c r="I983" s="2">
        <v>81735548</v>
      </c>
      <c r="J983">
        <v>201</v>
      </c>
      <c r="K983">
        <v>220</v>
      </c>
      <c r="L983">
        <v>0</v>
      </c>
      <c r="M983" t="str">
        <f t="shared" si="15"/>
        <v>After 2020</v>
      </c>
    </row>
    <row r="984" spans="1:13" hidden="1">
      <c r="A984" t="s">
        <v>1527</v>
      </c>
      <c r="B984" t="s">
        <v>1528</v>
      </c>
      <c r="C984" s="1">
        <v>44819</v>
      </c>
      <c r="D984" s="2">
        <v>23823099</v>
      </c>
      <c r="E984" s="2">
        <v>10859</v>
      </c>
      <c r="F984">
        <v>53</v>
      </c>
      <c r="G984" s="2">
        <v>75987807</v>
      </c>
      <c r="H984" s="2">
        <v>365743</v>
      </c>
      <c r="I984" s="2">
        <v>1004679876</v>
      </c>
      <c r="J984">
        <v>3</v>
      </c>
      <c r="L984">
        <v>0</v>
      </c>
      <c r="M984" t="str">
        <f t="shared" si="15"/>
        <v>After 2020</v>
      </c>
    </row>
    <row r="985" spans="1:13">
      <c r="A985" t="s">
        <v>1529</v>
      </c>
      <c r="B985" t="s">
        <v>1530</v>
      </c>
      <c r="C985" s="1">
        <v>45422</v>
      </c>
      <c r="D985" s="2">
        <v>20538101</v>
      </c>
      <c r="E985" s="2">
        <v>3675</v>
      </c>
      <c r="F985">
        <v>74</v>
      </c>
      <c r="G985" s="2">
        <v>3575151</v>
      </c>
      <c r="H985" s="2">
        <v>101311</v>
      </c>
      <c r="I985" s="2">
        <v>108700</v>
      </c>
      <c r="J985">
        <v>23</v>
      </c>
      <c r="K985">
        <v>5</v>
      </c>
      <c r="L985">
        <v>1</v>
      </c>
      <c r="M985" t="str">
        <f t="shared" si="15"/>
        <v>After 2020</v>
      </c>
    </row>
    <row r="986" spans="1:13">
      <c r="A986" t="s">
        <v>1531</v>
      </c>
      <c r="B986" t="s">
        <v>123</v>
      </c>
      <c r="C986" s="1">
        <v>41275</v>
      </c>
      <c r="D986" s="2">
        <v>2525355904</v>
      </c>
      <c r="E986" s="2">
        <v>208671</v>
      </c>
      <c r="F986">
        <v>77</v>
      </c>
      <c r="G986" s="2">
        <v>1884843329</v>
      </c>
      <c r="H986" s="2">
        <v>9916244</v>
      </c>
      <c r="I986" s="2">
        <v>4406781129</v>
      </c>
      <c r="J986">
        <v>249</v>
      </c>
      <c r="K986">
        <v>80</v>
      </c>
      <c r="L986">
        <v>0</v>
      </c>
      <c r="M986" t="str">
        <f t="shared" si="15"/>
        <v>2010-2020</v>
      </c>
    </row>
    <row r="987" spans="1:13" hidden="1">
      <c r="A987" t="s">
        <v>1532</v>
      </c>
      <c r="B987" t="s">
        <v>295</v>
      </c>
      <c r="C987" s="1">
        <v>45205</v>
      </c>
      <c r="D987" s="2">
        <v>165204421</v>
      </c>
      <c r="E987" s="2">
        <v>38562</v>
      </c>
      <c r="G987" s="2">
        <v>16599214</v>
      </c>
      <c r="H987" s="2">
        <v>126612</v>
      </c>
      <c r="J987">
        <v>5</v>
      </c>
      <c r="L987">
        <v>1</v>
      </c>
      <c r="M987" t="str">
        <f t="shared" si="15"/>
        <v>After 2020</v>
      </c>
    </row>
    <row r="988" spans="1:13" hidden="1">
      <c r="A988" t="s">
        <v>1533</v>
      </c>
      <c r="B988" t="s">
        <v>1534</v>
      </c>
      <c r="C988" s="1">
        <v>45184</v>
      </c>
      <c r="D988" s="2">
        <v>66813186</v>
      </c>
      <c r="E988" s="2">
        <v>11024</v>
      </c>
      <c r="G988" s="2">
        <v>75881981</v>
      </c>
      <c r="H988" s="2">
        <v>409473</v>
      </c>
      <c r="I988" s="2">
        <v>34091093</v>
      </c>
      <c r="J988">
        <v>11</v>
      </c>
      <c r="K988">
        <v>29</v>
      </c>
      <c r="L988">
        <v>1</v>
      </c>
      <c r="M988" t="str">
        <f t="shared" si="15"/>
        <v>After 2020</v>
      </c>
    </row>
    <row r="989" spans="1:13">
      <c r="A989" t="s">
        <v>1535</v>
      </c>
      <c r="B989" t="s">
        <v>1536</v>
      </c>
      <c r="C989" s="1">
        <v>43147</v>
      </c>
      <c r="D989" s="2">
        <v>667508675</v>
      </c>
      <c r="E989" s="2">
        <v>78737</v>
      </c>
      <c r="F989">
        <v>61</v>
      </c>
      <c r="G989" s="2">
        <v>1001147152</v>
      </c>
      <c r="H989" s="2">
        <v>7847053</v>
      </c>
      <c r="I989" s="2">
        <v>8778203835</v>
      </c>
      <c r="J989">
        <v>97</v>
      </c>
      <c r="K989">
        <v>152</v>
      </c>
      <c r="L989">
        <v>0</v>
      </c>
      <c r="M989" t="str">
        <f t="shared" si="15"/>
        <v>2010-2020</v>
      </c>
    </row>
    <row r="990" spans="1:13" hidden="1">
      <c r="A990" t="s">
        <v>1537</v>
      </c>
      <c r="B990" t="s">
        <v>1538</v>
      </c>
      <c r="C990" s="1">
        <v>45191</v>
      </c>
      <c r="D990" s="2">
        <v>98395711</v>
      </c>
      <c r="E990" s="2">
        <v>14727</v>
      </c>
      <c r="G990" s="2">
        <v>198114786</v>
      </c>
      <c r="H990" s="2">
        <v>880794</v>
      </c>
      <c r="I990" s="2">
        <v>84398578</v>
      </c>
      <c r="J990">
        <v>10</v>
      </c>
      <c r="L990">
        <v>0</v>
      </c>
      <c r="M990" t="str">
        <f t="shared" si="15"/>
        <v>After 2020</v>
      </c>
    </row>
    <row r="991" spans="1:13" hidden="1">
      <c r="A991" t="s">
        <v>1539</v>
      </c>
      <c r="B991" t="s">
        <v>578</v>
      </c>
      <c r="C991" s="1">
        <v>44673</v>
      </c>
      <c r="D991" s="2">
        <v>1020452066</v>
      </c>
      <c r="E991" s="2">
        <v>108274</v>
      </c>
      <c r="F991">
        <v>79</v>
      </c>
      <c r="G991" s="2">
        <v>114404861</v>
      </c>
      <c r="H991" s="2">
        <v>1372385</v>
      </c>
      <c r="I991" s="2">
        <v>1013000586</v>
      </c>
      <c r="J991">
        <v>45</v>
      </c>
      <c r="L991">
        <v>0</v>
      </c>
      <c r="M991" t="str">
        <f t="shared" si="15"/>
        <v>After 2020</v>
      </c>
    </row>
    <row r="992" spans="1:13">
      <c r="A992" t="s">
        <v>1540</v>
      </c>
      <c r="B992" t="s">
        <v>295</v>
      </c>
      <c r="C992" s="1">
        <v>44260</v>
      </c>
      <c r="D992" s="2">
        <v>793287638</v>
      </c>
      <c r="E992" s="2">
        <v>225513</v>
      </c>
      <c r="F992">
        <v>71</v>
      </c>
      <c r="G992" s="2">
        <v>104966782</v>
      </c>
      <c r="H992" s="2">
        <v>872923</v>
      </c>
      <c r="I992" s="2">
        <v>319496635</v>
      </c>
      <c r="J992">
        <v>130</v>
      </c>
      <c r="K992">
        <v>82</v>
      </c>
      <c r="L992">
        <v>1</v>
      </c>
      <c r="M992" t="str">
        <f t="shared" si="15"/>
        <v>After 2020</v>
      </c>
    </row>
    <row r="993" spans="1:13" hidden="1">
      <c r="A993" t="s">
        <v>1541</v>
      </c>
      <c r="B993" t="s">
        <v>1542</v>
      </c>
      <c r="C993" s="1">
        <v>45064</v>
      </c>
      <c r="D993" s="2">
        <v>229120157</v>
      </c>
      <c r="E993" s="2">
        <v>11931</v>
      </c>
      <c r="F993">
        <v>69</v>
      </c>
      <c r="G993" s="2">
        <v>136914720</v>
      </c>
      <c r="H993" s="2">
        <v>1023397</v>
      </c>
      <c r="I993" s="2">
        <v>5604886674</v>
      </c>
      <c r="J993">
        <v>6</v>
      </c>
      <c r="L993">
        <v>0</v>
      </c>
      <c r="M993" t="str">
        <f t="shared" si="15"/>
        <v>After 2020</v>
      </c>
    </row>
    <row r="994" spans="1:13">
      <c r="A994" t="s">
        <v>1543</v>
      </c>
      <c r="B994" t="s">
        <v>1544</v>
      </c>
      <c r="C994" s="1">
        <v>45002</v>
      </c>
      <c r="D994" s="2">
        <v>459282058</v>
      </c>
      <c r="E994" s="2">
        <v>67717</v>
      </c>
      <c r="F994">
        <v>72</v>
      </c>
      <c r="G994" s="2">
        <v>100210832</v>
      </c>
      <c r="H994" s="2">
        <v>673502</v>
      </c>
      <c r="I994" s="2">
        <v>147682062</v>
      </c>
      <c r="J994">
        <v>46</v>
      </c>
      <c r="K994">
        <v>102</v>
      </c>
      <c r="L994">
        <v>1</v>
      </c>
      <c r="M994" t="str">
        <f t="shared" si="15"/>
        <v>After 2020</v>
      </c>
    </row>
    <row r="995" spans="1:13" hidden="1">
      <c r="A995" t="s">
        <v>1545</v>
      </c>
      <c r="B995" t="s">
        <v>1546</v>
      </c>
      <c r="C995" s="1">
        <v>45303</v>
      </c>
      <c r="D995" s="2">
        <v>1389772733</v>
      </c>
      <c r="E995">
        <v>1</v>
      </c>
      <c r="J995">
        <v>2</v>
      </c>
      <c r="L995">
        <v>0</v>
      </c>
      <c r="M995" t="str">
        <f t="shared" si="15"/>
        <v>After 2020</v>
      </c>
    </row>
    <row r="996" spans="1:13">
      <c r="A996" t="s">
        <v>1547</v>
      </c>
      <c r="B996" t="s">
        <v>1548</v>
      </c>
      <c r="C996" s="1">
        <v>44029</v>
      </c>
      <c r="D996" s="2">
        <v>670245273</v>
      </c>
      <c r="E996" s="2">
        <v>83819</v>
      </c>
      <c r="F996">
        <v>64</v>
      </c>
      <c r="G996" s="2">
        <v>537033479</v>
      </c>
      <c r="H996" s="2">
        <v>4862491</v>
      </c>
      <c r="I996" s="2">
        <v>1736930175</v>
      </c>
      <c r="J996">
        <v>58</v>
      </c>
      <c r="K996">
        <v>388</v>
      </c>
      <c r="L996">
        <v>0</v>
      </c>
      <c r="M996" t="str">
        <f t="shared" si="15"/>
        <v>2010-2020</v>
      </c>
    </row>
    <row r="997" spans="1:13" hidden="1">
      <c r="A997" t="s">
        <v>1549</v>
      </c>
      <c r="B997" t="s">
        <v>77</v>
      </c>
      <c r="C997" s="1">
        <v>45218</v>
      </c>
      <c r="D997" s="2">
        <v>137894955</v>
      </c>
      <c r="E997" s="2">
        <v>20037</v>
      </c>
      <c r="G997" s="2">
        <v>45533851</v>
      </c>
      <c r="H997" s="2">
        <v>1730466</v>
      </c>
      <c r="I997" s="2">
        <v>13108162</v>
      </c>
      <c r="J997">
        <v>37</v>
      </c>
      <c r="K997">
        <v>31</v>
      </c>
      <c r="L997">
        <v>1</v>
      </c>
      <c r="M997" t="str">
        <f t="shared" si="15"/>
        <v>After 2020</v>
      </c>
    </row>
    <row r="998" spans="1:13">
      <c r="A998" t="s">
        <v>1550</v>
      </c>
      <c r="B998" t="s">
        <v>1551</v>
      </c>
      <c r="C998" s="1">
        <v>44316</v>
      </c>
      <c r="D998" s="2">
        <v>218431985</v>
      </c>
      <c r="E998" s="2">
        <v>56998</v>
      </c>
      <c r="F998">
        <v>61</v>
      </c>
      <c r="G998" s="2">
        <v>336505073</v>
      </c>
      <c r="H998" s="2">
        <v>3901948</v>
      </c>
      <c r="I998" s="2">
        <v>4731467896</v>
      </c>
      <c r="J998">
        <v>24</v>
      </c>
      <c r="K998">
        <v>98</v>
      </c>
      <c r="L998">
        <v>0</v>
      </c>
      <c r="M998" t="str">
        <f t="shared" si="15"/>
        <v>After 2020</v>
      </c>
    </row>
    <row r="999" spans="1:13" hidden="1">
      <c r="A999" t="s">
        <v>1552</v>
      </c>
      <c r="B999" t="s">
        <v>39</v>
      </c>
      <c r="C999" s="1">
        <v>45084</v>
      </c>
      <c r="D999" s="2">
        <v>1611084670</v>
      </c>
      <c r="L999">
        <v>1</v>
      </c>
      <c r="M999" t="str">
        <f t="shared" si="15"/>
        <v>After 2020</v>
      </c>
    </row>
    <row r="1000" spans="1:13" hidden="1">
      <c r="A1000" t="s">
        <v>1553</v>
      </c>
      <c r="B1000" t="s">
        <v>520</v>
      </c>
      <c r="C1000" s="1">
        <v>45415</v>
      </c>
      <c r="D1000" s="2">
        <v>41924126</v>
      </c>
      <c r="E1000" s="2">
        <v>3794</v>
      </c>
      <c r="F1000">
        <v>79</v>
      </c>
      <c r="G1000" s="2">
        <v>4219901</v>
      </c>
      <c r="H1000" s="2">
        <v>103922</v>
      </c>
      <c r="J1000">
        <v>87</v>
      </c>
      <c r="K1000">
        <v>33</v>
      </c>
      <c r="L1000">
        <v>0</v>
      </c>
      <c r="M1000" t="str">
        <f t="shared" si="15"/>
        <v>After 2020</v>
      </c>
    </row>
    <row r="1001" spans="1:13" hidden="1">
      <c r="A1001" t="s">
        <v>1554</v>
      </c>
      <c r="B1001" t="s">
        <v>1555</v>
      </c>
      <c r="C1001" s="1">
        <v>45450</v>
      </c>
      <c r="D1001" s="2">
        <v>184278</v>
      </c>
      <c r="E1001">
        <v>74</v>
      </c>
      <c r="F1001">
        <v>42</v>
      </c>
      <c r="I1001" s="2">
        <v>205181975</v>
      </c>
      <c r="J1001">
        <v>4</v>
      </c>
      <c r="L1001">
        <v>1</v>
      </c>
      <c r="M1001" t="str">
        <f t="shared" si="15"/>
        <v>After 2020</v>
      </c>
    </row>
    <row r="1002" spans="1:13" hidden="1">
      <c r="A1002" t="s">
        <v>1556</v>
      </c>
      <c r="B1002" t="s">
        <v>1557</v>
      </c>
      <c r="C1002" s="1">
        <v>45443</v>
      </c>
      <c r="D1002" s="2">
        <v>2284977</v>
      </c>
      <c r="E1002" s="2">
        <v>1425</v>
      </c>
      <c r="F1002">
        <v>22</v>
      </c>
      <c r="G1002" s="2">
        <v>186215</v>
      </c>
      <c r="H1002" s="2">
        <v>4951</v>
      </c>
      <c r="J1002">
        <v>13</v>
      </c>
      <c r="L1002">
        <v>1</v>
      </c>
      <c r="M1002" t="str">
        <f t="shared" si="15"/>
        <v>After 2020</v>
      </c>
    </row>
    <row r="1003" spans="1:13">
      <c r="A1003" t="s">
        <v>1558</v>
      </c>
      <c r="B1003" t="s">
        <v>718</v>
      </c>
      <c r="C1003" s="1">
        <v>44827</v>
      </c>
      <c r="D1003" s="2">
        <v>157806193</v>
      </c>
      <c r="E1003" s="2">
        <v>27840</v>
      </c>
      <c r="F1003">
        <v>64</v>
      </c>
      <c r="G1003" s="2">
        <v>216925153</v>
      </c>
      <c r="H1003" s="2">
        <v>1357039</v>
      </c>
      <c r="I1003" s="2">
        <v>507673872</v>
      </c>
      <c r="J1003">
        <v>41</v>
      </c>
      <c r="K1003">
        <v>172</v>
      </c>
      <c r="L1003">
        <v>1</v>
      </c>
      <c r="M1003" t="str">
        <f t="shared" si="15"/>
        <v>After 2020</v>
      </c>
    </row>
    <row r="1004" spans="1:13">
      <c r="A1004" t="s">
        <v>1559</v>
      </c>
      <c r="B1004" t="s">
        <v>619</v>
      </c>
      <c r="C1004" s="1">
        <v>42957</v>
      </c>
      <c r="D1004" s="2">
        <v>846909112</v>
      </c>
      <c r="E1004" s="2">
        <v>81897</v>
      </c>
      <c r="F1004">
        <v>73</v>
      </c>
      <c r="G1004" s="2">
        <v>2003507626</v>
      </c>
      <c r="H1004" s="2">
        <v>8554387</v>
      </c>
      <c r="I1004" s="2">
        <v>259122341</v>
      </c>
      <c r="J1004">
        <v>50</v>
      </c>
      <c r="K1004">
        <v>115</v>
      </c>
      <c r="L1004">
        <v>0</v>
      </c>
      <c r="M1004" t="str">
        <f t="shared" si="15"/>
        <v>2010-2020</v>
      </c>
    </row>
    <row r="1005" spans="1:13" hidden="1">
      <c r="A1005" t="s">
        <v>1560</v>
      </c>
      <c r="B1005" t="s">
        <v>1561</v>
      </c>
      <c r="C1005" s="1">
        <v>42453</v>
      </c>
      <c r="D1005" s="2">
        <v>837042727</v>
      </c>
      <c r="E1005" s="2">
        <v>127522</v>
      </c>
      <c r="F1005">
        <v>70</v>
      </c>
      <c r="G1005" s="2">
        <v>2265062550</v>
      </c>
      <c r="H1005" s="2">
        <v>13313083</v>
      </c>
      <c r="I1005" s="2">
        <v>239446479</v>
      </c>
      <c r="J1005">
        <v>80</v>
      </c>
      <c r="L1005">
        <v>0</v>
      </c>
      <c r="M1005" t="str">
        <f t="shared" si="15"/>
        <v>2010-2020</v>
      </c>
    </row>
    <row r="1006" spans="1:13" hidden="1">
      <c r="A1006" t="s">
        <v>1562</v>
      </c>
      <c r="B1006" t="s">
        <v>1563</v>
      </c>
      <c r="C1006" s="1">
        <v>44903</v>
      </c>
      <c r="D1006" s="2">
        <v>415752953</v>
      </c>
      <c r="E1006" s="2">
        <v>20588</v>
      </c>
      <c r="F1006">
        <v>66</v>
      </c>
      <c r="G1006" s="2">
        <v>423072409</v>
      </c>
      <c r="H1006" s="2">
        <v>2136310</v>
      </c>
      <c r="I1006" s="2">
        <v>754580262</v>
      </c>
      <c r="J1006">
        <v>26</v>
      </c>
      <c r="L1006">
        <v>0</v>
      </c>
      <c r="M1006" t="str">
        <f t="shared" si="15"/>
        <v>After 2020</v>
      </c>
    </row>
    <row r="1007" spans="1:13" hidden="1">
      <c r="A1007" t="s">
        <v>1564</v>
      </c>
      <c r="B1007" t="s">
        <v>1565</v>
      </c>
      <c r="C1007" s="1">
        <v>45119</v>
      </c>
      <c r="D1007" s="2">
        <v>159909273</v>
      </c>
      <c r="E1007" s="2">
        <v>7624</v>
      </c>
      <c r="F1007">
        <v>64</v>
      </c>
      <c r="G1007" s="2">
        <v>329088407</v>
      </c>
      <c r="H1007" s="2">
        <v>1435514</v>
      </c>
      <c r="J1007">
        <v>12</v>
      </c>
      <c r="L1007">
        <v>0</v>
      </c>
      <c r="M1007" t="str">
        <f t="shared" si="15"/>
        <v>After 2020</v>
      </c>
    </row>
    <row r="1008" spans="1:13">
      <c r="A1008" t="s">
        <v>1566</v>
      </c>
      <c r="B1008" t="s">
        <v>288</v>
      </c>
      <c r="C1008" s="1">
        <v>43242</v>
      </c>
      <c r="D1008" s="2">
        <v>880781313</v>
      </c>
      <c r="E1008" s="2">
        <v>137341</v>
      </c>
      <c r="F1008">
        <v>72</v>
      </c>
      <c r="G1008" s="2">
        <v>432457883</v>
      </c>
      <c r="H1008" s="2">
        <v>3689786</v>
      </c>
      <c r="I1008" s="2">
        <v>33981823</v>
      </c>
      <c r="J1008">
        <v>21</v>
      </c>
      <c r="K1008">
        <v>113</v>
      </c>
      <c r="L1008">
        <v>1</v>
      </c>
      <c r="M1008" t="str">
        <f t="shared" si="15"/>
        <v>2010-2020</v>
      </c>
    </row>
    <row r="1009" spans="1:13">
      <c r="A1009" t="s">
        <v>1567</v>
      </c>
      <c r="B1009" t="s">
        <v>1568</v>
      </c>
      <c r="C1009" s="1">
        <v>44701</v>
      </c>
      <c r="D1009" s="2">
        <v>399707517</v>
      </c>
      <c r="E1009" s="2">
        <v>131547</v>
      </c>
      <c r="F1009">
        <v>69</v>
      </c>
      <c r="G1009" s="2">
        <v>44839108</v>
      </c>
      <c r="H1009" s="2">
        <v>449678</v>
      </c>
      <c r="I1009" s="2">
        <v>1130861</v>
      </c>
      <c r="J1009">
        <v>66</v>
      </c>
      <c r="K1009">
        <v>836</v>
      </c>
      <c r="L1009">
        <v>1</v>
      </c>
      <c r="M1009" t="str">
        <f t="shared" si="15"/>
        <v>After 2020</v>
      </c>
    </row>
    <row r="1010" spans="1:13" hidden="1">
      <c r="A1010" t="s">
        <v>1569</v>
      </c>
      <c r="B1010" t="s">
        <v>1570</v>
      </c>
      <c r="C1010" s="1">
        <v>45371</v>
      </c>
      <c r="D1010" s="2">
        <v>16264473</v>
      </c>
      <c r="E1010">
        <v>552</v>
      </c>
      <c r="G1010" s="2">
        <v>93523633</v>
      </c>
      <c r="H1010" s="2">
        <v>390514</v>
      </c>
      <c r="J1010">
        <v>1</v>
      </c>
      <c r="L1010">
        <v>0</v>
      </c>
      <c r="M1010" t="str">
        <f t="shared" si="15"/>
        <v>After 2020</v>
      </c>
    </row>
    <row r="1011" spans="1:13" hidden="1">
      <c r="A1011" t="s">
        <v>1571</v>
      </c>
      <c r="B1011" t="s">
        <v>1572</v>
      </c>
      <c r="C1011" s="1">
        <v>45009</v>
      </c>
      <c r="D1011" s="2">
        <v>408449</v>
      </c>
      <c r="E1011">
        <v>38</v>
      </c>
      <c r="F1011">
        <v>12</v>
      </c>
      <c r="G1011" s="2">
        <v>524571173</v>
      </c>
      <c r="H1011" s="2">
        <v>1510602</v>
      </c>
      <c r="I1011">
        <v>385</v>
      </c>
      <c r="L1011">
        <v>0</v>
      </c>
      <c r="M1011" t="str">
        <f t="shared" si="15"/>
        <v>After 2020</v>
      </c>
    </row>
    <row r="1012" spans="1:13" hidden="1">
      <c r="A1012" t="s">
        <v>1573</v>
      </c>
      <c r="B1012" t="s">
        <v>1574</v>
      </c>
      <c r="C1012" s="1">
        <v>44953</v>
      </c>
      <c r="D1012" s="2">
        <v>1696</v>
      </c>
      <c r="G1012" s="2">
        <v>604258394</v>
      </c>
      <c r="H1012" s="2">
        <v>1611760</v>
      </c>
      <c r="L1012">
        <v>1</v>
      </c>
      <c r="M1012" t="str">
        <f t="shared" si="15"/>
        <v>After 2020</v>
      </c>
    </row>
    <row r="1013" spans="1:13">
      <c r="A1013" t="s">
        <v>1575</v>
      </c>
      <c r="B1013" t="s">
        <v>161</v>
      </c>
      <c r="C1013" s="1">
        <v>43636</v>
      </c>
      <c r="D1013" s="2">
        <v>741766886</v>
      </c>
      <c r="E1013" s="2">
        <v>96241</v>
      </c>
      <c r="F1013">
        <v>62</v>
      </c>
      <c r="G1013" s="2">
        <v>659070547</v>
      </c>
      <c r="H1013" s="2">
        <v>10294151</v>
      </c>
      <c r="I1013" s="2">
        <v>493209730</v>
      </c>
      <c r="J1013">
        <v>68</v>
      </c>
      <c r="K1013">
        <v>504</v>
      </c>
      <c r="L1013">
        <v>0</v>
      </c>
      <c r="M1013" t="str">
        <f t="shared" si="15"/>
        <v>2010-2020</v>
      </c>
    </row>
    <row r="1014" spans="1:13">
      <c r="A1014" t="s">
        <v>1576</v>
      </c>
      <c r="B1014" t="s">
        <v>1577</v>
      </c>
      <c r="C1014" s="1">
        <v>44659</v>
      </c>
      <c r="D1014" s="2">
        <v>244709550</v>
      </c>
      <c r="E1014" s="2">
        <v>33533</v>
      </c>
      <c r="F1014">
        <v>69</v>
      </c>
      <c r="G1014" s="2">
        <v>92809269</v>
      </c>
      <c r="H1014" s="2">
        <v>501049</v>
      </c>
      <c r="I1014" s="2">
        <v>140118719</v>
      </c>
      <c r="J1014">
        <v>31</v>
      </c>
      <c r="K1014">
        <v>159</v>
      </c>
      <c r="L1014">
        <v>0</v>
      </c>
      <c r="M1014" t="str">
        <f t="shared" si="15"/>
        <v>After 2020</v>
      </c>
    </row>
    <row r="1015" spans="1:13" hidden="1">
      <c r="A1015" t="s">
        <v>1578</v>
      </c>
      <c r="B1015" t="s">
        <v>61</v>
      </c>
      <c r="C1015" s="1">
        <v>45400</v>
      </c>
      <c r="D1015" s="2">
        <v>175613480</v>
      </c>
      <c r="E1015" s="2">
        <v>4454</v>
      </c>
      <c r="F1015">
        <v>84</v>
      </c>
      <c r="G1015" s="2">
        <v>15237337</v>
      </c>
      <c r="H1015" s="2">
        <v>222750</v>
      </c>
      <c r="I1015" s="2">
        <v>1510800</v>
      </c>
      <c r="J1015">
        <v>29</v>
      </c>
      <c r="L1015">
        <v>0</v>
      </c>
      <c r="M1015" t="str">
        <f t="shared" si="15"/>
        <v>After 2020</v>
      </c>
    </row>
    <row r="1016" spans="1:13" hidden="1">
      <c r="A1016" t="s">
        <v>308</v>
      </c>
      <c r="B1016" t="s">
        <v>266</v>
      </c>
      <c r="C1016" s="1">
        <v>44330</v>
      </c>
      <c r="D1016" s="2">
        <v>2167768056</v>
      </c>
      <c r="E1016" s="2">
        <v>12805</v>
      </c>
      <c r="F1016">
        <v>54</v>
      </c>
      <c r="J1016">
        <v>93</v>
      </c>
      <c r="L1016">
        <v>0</v>
      </c>
      <c r="M1016" t="str">
        <f t="shared" si="15"/>
        <v>After 2020</v>
      </c>
    </row>
    <row r="1017" spans="1:13">
      <c r="A1017" t="s">
        <v>1579</v>
      </c>
      <c r="B1017" t="s">
        <v>266</v>
      </c>
      <c r="C1017" s="1">
        <v>45149</v>
      </c>
      <c r="D1017" s="2">
        <v>433515672</v>
      </c>
      <c r="E1017" s="2">
        <v>37313</v>
      </c>
      <c r="F1017">
        <v>12</v>
      </c>
      <c r="G1017" s="2">
        <v>37971085</v>
      </c>
      <c r="H1017" s="2">
        <v>871048</v>
      </c>
      <c r="I1017" s="2">
        <v>839351640</v>
      </c>
      <c r="J1017">
        <v>73</v>
      </c>
      <c r="K1017">
        <v>495</v>
      </c>
      <c r="L1017">
        <v>1</v>
      </c>
      <c r="M1017" t="str">
        <f t="shared" si="15"/>
        <v>After 2020</v>
      </c>
    </row>
    <row r="1018" spans="1:13">
      <c r="A1018" t="s">
        <v>1580</v>
      </c>
      <c r="B1018" t="s">
        <v>170</v>
      </c>
      <c r="C1018" s="1">
        <v>44022</v>
      </c>
      <c r="D1018" s="2">
        <v>599215039</v>
      </c>
      <c r="E1018" s="2">
        <v>57051</v>
      </c>
      <c r="F1018">
        <v>61</v>
      </c>
      <c r="G1018" s="2">
        <v>834762162</v>
      </c>
      <c r="H1018" s="2">
        <v>5130805</v>
      </c>
      <c r="I1018" s="2">
        <v>779241131</v>
      </c>
      <c r="J1018">
        <v>111</v>
      </c>
      <c r="K1018">
        <v>168</v>
      </c>
      <c r="L1018">
        <v>0</v>
      </c>
      <c r="M1018" t="str">
        <f t="shared" si="15"/>
        <v>2010-2020</v>
      </c>
    </row>
    <row r="1019" spans="1:13" hidden="1">
      <c r="A1019" t="s">
        <v>1581</v>
      </c>
      <c r="B1019" t="s">
        <v>266</v>
      </c>
      <c r="C1019" s="1">
        <v>44337</v>
      </c>
      <c r="D1019" s="2">
        <v>1133535049</v>
      </c>
      <c r="E1019" s="2">
        <v>116055</v>
      </c>
      <c r="F1019">
        <v>79</v>
      </c>
      <c r="G1019" s="2">
        <v>352845171</v>
      </c>
      <c r="H1019" s="2">
        <v>3883946</v>
      </c>
      <c r="I1019" s="2">
        <v>3266081830</v>
      </c>
      <c r="J1019">
        <v>56</v>
      </c>
      <c r="L1019">
        <v>1</v>
      </c>
      <c r="M1019" t="str">
        <f t="shared" si="15"/>
        <v>After 2020</v>
      </c>
    </row>
    <row r="1020" spans="1:13">
      <c r="A1020" t="s">
        <v>1582</v>
      </c>
      <c r="B1020" t="s">
        <v>1583</v>
      </c>
      <c r="C1020" s="1">
        <v>43644</v>
      </c>
      <c r="D1020" s="2">
        <v>968133091</v>
      </c>
      <c r="E1020" s="2">
        <v>142494</v>
      </c>
      <c r="F1020">
        <v>66</v>
      </c>
      <c r="G1020" s="2">
        <v>707665227</v>
      </c>
      <c r="H1020" s="2">
        <v>10665380</v>
      </c>
      <c r="I1020" s="2">
        <v>6342877983</v>
      </c>
      <c r="J1020">
        <v>76</v>
      </c>
      <c r="K1020">
        <v>267</v>
      </c>
      <c r="L1020">
        <v>1</v>
      </c>
      <c r="M1020" t="str">
        <f t="shared" si="15"/>
        <v>2010-2020</v>
      </c>
    </row>
    <row r="1021" spans="1:13" hidden="1">
      <c r="A1021" t="s">
        <v>1584</v>
      </c>
      <c r="B1021" t="s">
        <v>1585</v>
      </c>
      <c r="C1021" s="1">
        <v>45190</v>
      </c>
      <c r="D1021" s="2">
        <v>62097485</v>
      </c>
      <c r="E1021" s="2">
        <v>16027</v>
      </c>
      <c r="G1021" s="2">
        <v>36646460</v>
      </c>
      <c r="H1021" s="2">
        <v>717689</v>
      </c>
      <c r="I1021" s="2">
        <v>39957104</v>
      </c>
      <c r="J1021">
        <v>23</v>
      </c>
      <c r="K1021">
        <v>44</v>
      </c>
      <c r="L1021">
        <v>0</v>
      </c>
      <c r="M1021" t="str">
        <f t="shared" si="15"/>
        <v>After 2020</v>
      </c>
    </row>
    <row r="1022" spans="1:13" hidden="1">
      <c r="A1022" t="s">
        <v>282</v>
      </c>
      <c r="B1022" t="s">
        <v>1586</v>
      </c>
      <c r="C1022" s="1">
        <v>44886</v>
      </c>
      <c r="D1022" s="2">
        <v>23191929</v>
      </c>
      <c r="E1022" s="2">
        <v>5912</v>
      </c>
      <c r="F1022">
        <v>51</v>
      </c>
      <c r="G1022" s="2">
        <v>128703160</v>
      </c>
      <c r="H1022" s="2">
        <v>1112327</v>
      </c>
      <c r="I1022" s="2">
        <v>6284732144</v>
      </c>
      <c r="J1022">
        <v>3</v>
      </c>
      <c r="L1022">
        <v>0</v>
      </c>
      <c r="M1022" t="str">
        <f t="shared" si="15"/>
        <v>After 2020</v>
      </c>
    </row>
    <row r="1023" spans="1:13">
      <c r="A1023" t="s">
        <v>1587</v>
      </c>
      <c r="B1023" t="s">
        <v>1588</v>
      </c>
      <c r="C1023" s="1">
        <v>44832</v>
      </c>
      <c r="D1023" s="2">
        <v>150177750</v>
      </c>
      <c r="E1023" s="2">
        <v>30142</v>
      </c>
      <c r="F1023">
        <v>59</v>
      </c>
      <c r="G1023" s="2">
        <v>153683754</v>
      </c>
      <c r="H1023" s="2">
        <v>1673637</v>
      </c>
      <c r="I1023" s="2">
        <v>15253039012</v>
      </c>
      <c r="J1023">
        <v>9</v>
      </c>
      <c r="K1023">
        <v>281</v>
      </c>
      <c r="L1023">
        <v>1</v>
      </c>
      <c r="M1023" t="str">
        <f t="shared" si="15"/>
        <v>After 2020</v>
      </c>
    </row>
    <row r="1024" spans="1:13" hidden="1">
      <c r="A1024" t="s">
        <v>1589</v>
      </c>
      <c r="B1024" t="s">
        <v>1590</v>
      </c>
      <c r="C1024" s="1">
        <v>44779</v>
      </c>
      <c r="D1024" s="2">
        <v>1858478</v>
      </c>
      <c r="E1024">
        <v>581</v>
      </c>
      <c r="F1024">
        <v>28</v>
      </c>
      <c r="G1024" s="2">
        <v>163462</v>
      </c>
      <c r="H1024" s="2">
        <v>3981</v>
      </c>
      <c r="I1024" s="2">
        <v>1420793896</v>
      </c>
      <c r="L1024">
        <v>0</v>
      </c>
      <c r="M1024" t="str">
        <f t="shared" si="15"/>
        <v>After 2020</v>
      </c>
    </row>
    <row r="1025" spans="1:13">
      <c r="A1025" t="s">
        <v>1591</v>
      </c>
      <c r="B1025" t="s">
        <v>1592</v>
      </c>
      <c r="C1025" s="1">
        <v>45386</v>
      </c>
      <c r="D1025" s="2">
        <v>34629239</v>
      </c>
      <c r="E1025" s="2">
        <v>3962</v>
      </c>
      <c r="F1025">
        <v>14</v>
      </c>
      <c r="G1025" s="2">
        <v>2560026</v>
      </c>
      <c r="H1025" s="2">
        <v>50310</v>
      </c>
      <c r="I1025" s="2">
        <v>4592500</v>
      </c>
      <c r="J1025">
        <v>49</v>
      </c>
      <c r="K1025">
        <v>7</v>
      </c>
      <c r="L1025">
        <v>1</v>
      </c>
      <c r="M1025" t="str">
        <f t="shared" si="15"/>
        <v>After 2020</v>
      </c>
    </row>
    <row r="1026" spans="1:13" hidden="1">
      <c r="A1026" t="s">
        <v>1593</v>
      </c>
      <c r="B1026" t="s">
        <v>1594</v>
      </c>
      <c r="C1026" s="1">
        <v>40679</v>
      </c>
      <c r="D1026" s="2">
        <v>11477477</v>
      </c>
      <c r="E1026" s="2">
        <v>7679</v>
      </c>
      <c r="F1026">
        <v>36</v>
      </c>
      <c r="G1026" s="2">
        <v>11457166</v>
      </c>
      <c r="H1026" s="2">
        <v>123604</v>
      </c>
      <c r="I1026" s="2">
        <v>233232311463</v>
      </c>
      <c r="J1026">
        <v>4</v>
      </c>
      <c r="L1026">
        <v>0</v>
      </c>
      <c r="M1026" t="str">
        <f t="shared" si="15"/>
        <v>2010-2020</v>
      </c>
    </row>
    <row r="1027" spans="1:13" hidden="1">
      <c r="A1027" t="s">
        <v>1595</v>
      </c>
      <c r="B1027" t="s">
        <v>72</v>
      </c>
      <c r="C1027" s="1">
        <v>45378</v>
      </c>
      <c r="D1027" s="2">
        <v>76870736</v>
      </c>
      <c r="E1027" s="2">
        <v>5252</v>
      </c>
      <c r="G1027" s="2">
        <v>6424033</v>
      </c>
      <c r="H1027" s="2">
        <v>126715</v>
      </c>
      <c r="J1027">
        <v>76</v>
      </c>
      <c r="K1027">
        <v>23</v>
      </c>
      <c r="L1027">
        <v>0</v>
      </c>
      <c r="M1027" t="str">
        <f t="shared" ref="M1027:M1090" si="16">IF(YEAR(C1027)&lt;2010,"Before 2010",IF(YEAR(C1027)&lt;=2020,"2010-2020","After 2020"))</f>
        <v>After 2020</v>
      </c>
    </row>
    <row r="1028" spans="1:13">
      <c r="A1028" t="s">
        <v>1596</v>
      </c>
      <c r="B1028" t="s">
        <v>631</v>
      </c>
      <c r="C1028" s="1">
        <v>42005</v>
      </c>
      <c r="D1028" s="2">
        <v>2178606166</v>
      </c>
      <c r="E1028" s="2">
        <v>291456</v>
      </c>
      <c r="F1028">
        <v>79</v>
      </c>
      <c r="G1028" s="2">
        <v>1256080361</v>
      </c>
      <c r="H1028" s="2">
        <v>8723122</v>
      </c>
      <c r="I1028" s="2">
        <v>1597020461</v>
      </c>
      <c r="J1028">
        <v>458</v>
      </c>
      <c r="K1028">
        <v>376</v>
      </c>
      <c r="L1028">
        <v>0</v>
      </c>
      <c r="M1028" t="str">
        <f t="shared" si="16"/>
        <v>2010-2020</v>
      </c>
    </row>
    <row r="1029" spans="1:13">
      <c r="A1029" t="s">
        <v>1597</v>
      </c>
      <c r="B1029" t="s">
        <v>1598</v>
      </c>
      <c r="C1029" s="1">
        <v>45205</v>
      </c>
      <c r="D1029" s="2">
        <v>155648648</v>
      </c>
      <c r="E1029" s="2">
        <v>28131</v>
      </c>
      <c r="F1029">
        <v>82</v>
      </c>
      <c r="G1029" s="2">
        <v>27758776</v>
      </c>
      <c r="H1029" s="2">
        <v>286628</v>
      </c>
      <c r="I1029" s="2">
        <v>7609548</v>
      </c>
      <c r="J1029">
        <v>20</v>
      </c>
      <c r="K1029">
        <v>203</v>
      </c>
      <c r="L1029">
        <v>1</v>
      </c>
      <c r="M1029" t="str">
        <f t="shared" si="16"/>
        <v>After 2020</v>
      </c>
    </row>
    <row r="1030" spans="1:13">
      <c r="A1030" t="s">
        <v>1599</v>
      </c>
      <c r="B1030" t="s">
        <v>315</v>
      </c>
      <c r="C1030" s="1">
        <v>43735</v>
      </c>
      <c r="D1030" s="2">
        <v>820923123</v>
      </c>
      <c r="E1030" s="2">
        <v>158363</v>
      </c>
      <c r="F1030">
        <v>68</v>
      </c>
      <c r="G1030" s="2">
        <v>661665888</v>
      </c>
      <c r="H1030" s="2">
        <v>6303898</v>
      </c>
      <c r="I1030" s="2">
        <v>129969428</v>
      </c>
      <c r="J1030">
        <v>68</v>
      </c>
      <c r="K1030">
        <v>401</v>
      </c>
      <c r="L1030">
        <v>1</v>
      </c>
      <c r="M1030" t="str">
        <f t="shared" si="16"/>
        <v>2010-2020</v>
      </c>
    </row>
    <row r="1031" spans="1:13" hidden="1">
      <c r="A1031" t="s">
        <v>1600</v>
      </c>
      <c r="B1031" t="s">
        <v>1601</v>
      </c>
      <c r="C1031" s="1">
        <v>45261</v>
      </c>
      <c r="D1031" s="2">
        <v>181457783</v>
      </c>
      <c r="E1031" s="2">
        <v>12424</v>
      </c>
      <c r="F1031">
        <v>74</v>
      </c>
      <c r="G1031" s="2">
        <v>130834495</v>
      </c>
      <c r="H1031" s="2">
        <v>1816271</v>
      </c>
      <c r="J1031">
        <v>9</v>
      </c>
      <c r="L1031">
        <v>0</v>
      </c>
      <c r="M1031" t="str">
        <f t="shared" si="16"/>
        <v>After 2020</v>
      </c>
    </row>
    <row r="1032" spans="1:13">
      <c r="A1032" t="s">
        <v>1602</v>
      </c>
      <c r="B1032" t="s">
        <v>892</v>
      </c>
      <c r="C1032" s="1">
        <v>40544</v>
      </c>
      <c r="D1032" s="2">
        <v>1634403761</v>
      </c>
      <c r="E1032" s="2">
        <v>244291</v>
      </c>
      <c r="F1032">
        <v>74</v>
      </c>
      <c r="G1032" s="2">
        <v>1855838617</v>
      </c>
      <c r="H1032" s="2">
        <v>9070363</v>
      </c>
      <c r="I1032" s="2">
        <v>510515661</v>
      </c>
      <c r="J1032">
        <v>253</v>
      </c>
      <c r="K1032">
        <v>53</v>
      </c>
      <c r="L1032">
        <v>0</v>
      </c>
      <c r="M1032" t="str">
        <f t="shared" si="16"/>
        <v>2010-2020</v>
      </c>
    </row>
    <row r="1033" spans="1:13" hidden="1">
      <c r="A1033" t="s">
        <v>1603</v>
      </c>
      <c r="B1033" t="s">
        <v>1604</v>
      </c>
      <c r="C1033" s="1">
        <v>44712</v>
      </c>
      <c r="D1033" s="2">
        <v>296648613</v>
      </c>
      <c r="E1033" s="2">
        <v>21479</v>
      </c>
      <c r="F1033">
        <v>68</v>
      </c>
      <c r="G1033" s="2">
        <v>510727740</v>
      </c>
      <c r="H1033" s="2">
        <v>6497078</v>
      </c>
      <c r="I1033" s="2">
        <v>410960127</v>
      </c>
      <c r="J1033">
        <v>2</v>
      </c>
      <c r="L1033">
        <v>0</v>
      </c>
      <c r="M1033" t="str">
        <f t="shared" si="16"/>
        <v>After 2020</v>
      </c>
    </row>
    <row r="1034" spans="1:13">
      <c r="A1034" t="s">
        <v>1605</v>
      </c>
      <c r="B1034" t="s">
        <v>1314</v>
      </c>
      <c r="C1034" s="1">
        <v>45049</v>
      </c>
      <c r="D1034" s="2">
        <v>218340846</v>
      </c>
      <c r="E1034" s="2">
        <v>30667</v>
      </c>
      <c r="F1034">
        <v>64</v>
      </c>
      <c r="G1034" s="2">
        <v>223159269</v>
      </c>
      <c r="H1034" s="2">
        <v>879627</v>
      </c>
      <c r="I1034" s="2">
        <v>876147905</v>
      </c>
      <c r="J1034">
        <v>20</v>
      </c>
      <c r="K1034">
        <v>12</v>
      </c>
      <c r="L1034">
        <v>1</v>
      </c>
      <c r="M1034" t="str">
        <f t="shared" si="16"/>
        <v>After 2020</v>
      </c>
    </row>
    <row r="1035" spans="1:13" hidden="1">
      <c r="A1035" t="s">
        <v>1606</v>
      </c>
      <c r="B1035" t="s">
        <v>1347</v>
      </c>
      <c r="C1035" s="1">
        <v>42251</v>
      </c>
      <c r="D1035" s="2">
        <v>53822187</v>
      </c>
      <c r="E1035" s="2">
        <v>2081</v>
      </c>
      <c r="G1035" s="2">
        <v>3617929617</v>
      </c>
      <c r="H1035" s="2">
        <v>17418989</v>
      </c>
      <c r="I1035">
        <v>956</v>
      </c>
      <c r="L1035">
        <v>0</v>
      </c>
      <c r="M1035" t="str">
        <f t="shared" si="16"/>
        <v>2010-2020</v>
      </c>
    </row>
    <row r="1036" spans="1:13">
      <c r="A1036" t="s">
        <v>1607</v>
      </c>
      <c r="B1036" t="s">
        <v>1608</v>
      </c>
      <c r="C1036" s="1">
        <v>43531</v>
      </c>
      <c r="D1036" s="2">
        <v>1184536529</v>
      </c>
      <c r="E1036" s="2">
        <v>199838</v>
      </c>
      <c r="F1036">
        <v>69</v>
      </c>
      <c r="G1036" s="2">
        <v>439603979</v>
      </c>
      <c r="H1036" s="2">
        <v>6566306</v>
      </c>
      <c r="I1036" s="2">
        <v>6956515458</v>
      </c>
      <c r="J1036">
        <v>124</v>
      </c>
      <c r="K1036">
        <v>210</v>
      </c>
      <c r="L1036">
        <v>0</v>
      </c>
      <c r="M1036" t="str">
        <f t="shared" si="16"/>
        <v>2010-2020</v>
      </c>
    </row>
    <row r="1037" spans="1:13" hidden="1">
      <c r="A1037" t="s">
        <v>1609</v>
      </c>
      <c r="B1037" t="s">
        <v>602</v>
      </c>
      <c r="C1037" s="1">
        <v>45427</v>
      </c>
      <c r="D1037" s="2">
        <v>38139811</v>
      </c>
      <c r="E1037" s="2">
        <v>1763</v>
      </c>
      <c r="F1037">
        <v>79</v>
      </c>
      <c r="G1037" s="2">
        <v>19437867</v>
      </c>
      <c r="H1037" s="2">
        <v>412418</v>
      </c>
      <c r="J1037">
        <v>9</v>
      </c>
      <c r="L1037">
        <v>0</v>
      </c>
      <c r="M1037" t="str">
        <f t="shared" si="16"/>
        <v>After 2020</v>
      </c>
    </row>
    <row r="1038" spans="1:13">
      <c r="A1038" t="s">
        <v>1610</v>
      </c>
      <c r="B1038" t="s">
        <v>631</v>
      </c>
      <c r="C1038" s="1">
        <v>42202</v>
      </c>
      <c r="D1038" s="2">
        <v>1156342373</v>
      </c>
      <c r="E1038" s="2">
        <v>168603</v>
      </c>
      <c r="F1038">
        <v>78</v>
      </c>
      <c r="G1038" s="2">
        <v>1961319809</v>
      </c>
      <c r="H1038" s="2">
        <v>8520003</v>
      </c>
      <c r="I1038" s="2">
        <v>982629718</v>
      </c>
      <c r="J1038">
        <v>364</v>
      </c>
      <c r="K1038">
        <v>80</v>
      </c>
      <c r="L1038">
        <v>0</v>
      </c>
      <c r="M1038" t="str">
        <f t="shared" si="16"/>
        <v>2010-2020</v>
      </c>
    </row>
    <row r="1039" spans="1:13" hidden="1">
      <c r="A1039" t="s">
        <v>1611</v>
      </c>
      <c r="B1039" t="s">
        <v>236</v>
      </c>
      <c r="C1039" s="1">
        <v>42736</v>
      </c>
      <c r="D1039" s="2">
        <v>1388024799</v>
      </c>
      <c r="E1039" s="2">
        <v>219410</v>
      </c>
      <c r="F1039">
        <v>79</v>
      </c>
      <c r="G1039" s="2">
        <v>583707677</v>
      </c>
      <c r="H1039" s="2">
        <v>4328247</v>
      </c>
      <c r="I1039" s="2">
        <v>236970860</v>
      </c>
      <c r="J1039">
        <v>133</v>
      </c>
      <c r="L1039">
        <v>0</v>
      </c>
      <c r="M1039" t="str">
        <f t="shared" si="16"/>
        <v>2010-2020</v>
      </c>
    </row>
    <row r="1040" spans="1:13">
      <c r="A1040" t="s">
        <v>1612</v>
      </c>
      <c r="B1040" t="s">
        <v>1613</v>
      </c>
      <c r="C1040" s="1">
        <v>42993</v>
      </c>
      <c r="D1040" s="2">
        <v>1472430869</v>
      </c>
      <c r="E1040" s="2">
        <v>187536</v>
      </c>
      <c r="F1040">
        <v>73</v>
      </c>
      <c r="G1040" s="2">
        <v>668707222</v>
      </c>
      <c r="H1040" s="2">
        <v>7011620</v>
      </c>
      <c r="I1040" s="2">
        <v>270757450</v>
      </c>
      <c r="J1040">
        <v>68</v>
      </c>
      <c r="K1040">
        <v>137</v>
      </c>
      <c r="L1040">
        <v>0</v>
      </c>
      <c r="M1040" t="str">
        <f t="shared" si="16"/>
        <v>2010-2020</v>
      </c>
    </row>
    <row r="1041" spans="1:13" hidden="1">
      <c r="A1041" t="s">
        <v>1614</v>
      </c>
      <c r="B1041" t="s">
        <v>236</v>
      </c>
      <c r="C1041" s="1">
        <v>45381</v>
      </c>
      <c r="D1041" s="2">
        <v>656618110</v>
      </c>
      <c r="E1041">
        <v>3</v>
      </c>
      <c r="L1041">
        <v>1</v>
      </c>
      <c r="M1041" t="str">
        <f t="shared" si="16"/>
        <v>After 2020</v>
      </c>
    </row>
    <row r="1042" spans="1:13">
      <c r="A1042" t="s">
        <v>1615</v>
      </c>
      <c r="B1042" t="s">
        <v>978</v>
      </c>
      <c r="C1042" s="1">
        <v>44764</v>
      </c>
      <c r="D1042" s="2">
        <v>460973352</v>
      </c>
      <c r="E1042" s="2">
        <v>87026</v>
      </c>
      <c r="F1042">
        <v>69</v>
      </c>
      <c r="G1042" s="2">
        <v>21938855</v>
      </c>
      <c r="H1042" s="2">
        <v>220610</v>
      </c>
      <c r="I1042" s="2">
        <v>202563112</v>
      </c>
      <c r="J1042">
        <v>93</v>
      </c>
      <c r="K1042">
        <v>171</v>
      </c>
      <c r="L1042">
        <v>0</v>
      </c>
      <c r="M1042" t="str">
        <f t="shared" si="16"/>
        <v>After 2020</v>
      </c>
    </row>
    <row r="1043" spans="1:13">
      <c r="A1043" t="s">
        <v>1616</v>
      </c>
      <c r="B1043" t="s">
        <v>141</v>
      </c>
      <c r="C1043" s="1">
        <v>43890</v>
      </c>
      <c r="D1043" s="2">
        <v>745086450</v>
      </c>
      <c r="E1043" s="2">
        <v>95154</v>
      </c>
      <c r="F1043">
        <v>67</v>
      </c>
      <c r="G1043" s="2">
        <v>818482247</v>
      </c>
      <c r="H1043" s="2">
        <v>8068018</v>
      </c>
      <c r="I1043" s="2">
        <v>1133216780</v>
      </c>
      <c r="J1043">
        <v>128</v>
      </c>
      <c r="K1043">
        <v>38</v>
      </c>
      <c r="L1043">
        <v>0</v>
      </c>
      <c r="M1043" t="str">
        <f t="shared" si="16"/>
        <v>2010-2020</v>
      </c>
    </row>
    <row r="1044" spans="1:13">
      <c r="A1044" t="s">
        <v>1617</v>
      </c>
      <c r="B1044" t="s">
        <v>411</v>
      </c>
      <c r="C1044" s="1">
        <v>45128</v>
      </c>
      <c r="D1044" s="2">
        <v>234215735</v>
      </c>
      <c r="E1044" s="2">
        <v>20419</v>
      </c>
      <c r="F1044">
        <v>74</v>
      </c>
      <c r="G1044" s="2">
        <v>189170317</v>
      </c>
      <c r="H1044" s="2">
        <v>1734442</v>
      </c>
      <c r="I1044" s="2">
        <v>297802502</v>
      </c>
      <c r="J1044">
        <v>24</v>
      </c>
      <c r="K1044">
        <v>21</v>
      </c>
      <c r="L1044">
        <v>0</v>
      </c>
      <c r="M1044" t="str">
        <f t="shared" si="16"/>
        <v>After 2020</v>
      </c>
    </row>
    <row r="1045" spans="1:13">
      <c r="A1045" t="s">
        <v>40</v>
      </c>
      <c r="B1045" t="s">
        <v>1618</v>
      </c>
      <c r="C1045" s="1">
        <v>44316</v>
      </c>
      <c r="D1045" s="2">
        <v>535847791</v>
      </c>
      <c r="E1045" s="2">
        <v>57454</v>
      </c>
      <c r="F1045">
        <v>73</v>
      </c>
      <c r="G1045" s="2">
        <v>602969531</v>
      </c>
      <c r="H1045" s="2">
        <v>3455570</v>
      </c>
      <c r="I1045" s="2">
        <v>5134093462</v>
      </c>
      <c r="J1045">
        <v>23</v>
      </c>
      <c r="K1045">
        <v>394</v>
      </c>
      <c r="L1045">
        <v>0</v>
      </c>
      <c r="M1045" t="str">
        <f t="shared" si="16"/>
        <v>After 2020</v>
      </c>
    </row>
    <row r="1046" spans="1:13">
      <c r="A1046" t="s">
        <v>1619</v>
      </c>
      <c r="B1046" t="s">
        <v>1011</v>
      </c>
      <c r="C1046" s="1">
        <v>44034</v>
      </c>
      <c r="D1046" s="2">
        <v>716319941</v>
      </c>
      <c r="E1046" s="2">
        <v>98905</v>
      </c>
      <c r="F1046">
        <v>65</v>
      </c>
      <c r="G1046" s="2">
        <v>460154791</v>
      </c>
      <c r="H1046" s="2">
        <v>3442896</v>
      </c>
      <c r="I1046" s="2">
        <v>1506051452</v>
      </c>
      <c r="J1046">
        <v>145</v>
      </c>
      <c r="K1046">
        <v>115</v>
      </c>
      <c r="L1046">
        <v>0</v>
      </c>
      <c r="M1046" t="str">
        <f t="shared" si="16"/>
        <v>2010-2020</v>
      </c>
    </row>
    <row r="1047" spans="1:13" hidden="1">
      <c r="A1047" t="s">
        <v>1620</v>
      </c>
      <c r="B1047" t="s">
        <v>332</v>
      </c>
      <c r="C1047" s="1">
        <v>45191</v>
      </c>
      <c r="D1047" s="2">
        <v>152487756</v>
      </c>
      <c r="E1047" s="2">
        <v>26763</v>
      </c>
      <c r="G1047" s="2">
        <v>91266986</v>
      </c>
      <c r="H1047" s="2">
        <v>531703</v>
      </c>
      <c r="I1047" s="2">
        <v>7708938</v>
      </c>
      <c r="J1047">
        <v>33</v>
      </c>
      <c r="K1047">
        <v>34</v>
      </c>
      <c r="L1047">
        <v>0</v>
      </c>
      <c r="M1047" t="str">
        <f t="shared" si="16"/>
        <v>After 2020</v>
      </c>
    </row>
    <row r="1048" spans="1:13">
      <c r="A1048" t="s">
        <v>1621</v>
      </c>
      <c r="B1048" t="s">
        <v>1033</v>
      </c>
      <c r="C1048" s="1">
        <v>43280</v>
      </c>
      <c r="D1048" s="2">
        <v>1749353402</v>
      </c>
      <c r="E1048" s="2">
        <v>182732</v>
      </c>
      <c r="F1048">
        <v>72</v>
      </c>
      <c r="G1048" s="2">
        <v>244698483</v>
      </c>
      <c r="H1048" s="2">
        <v>2156754</v>
      </c>
      <c r="I1048" s="2">
        <v>379547638</v>
      </c>
      <c r="J1048">
        <v>148</v>
      </c>
      <c r="K1048">
        <v>53</v>
      </c>
      <c r="L1048">
        <v>1</v>
      </c>
      <c r="M1048" t="str">
        <f t="shared" si="16"/>
        <v>2010-2020</v>
      </c>
    </row>
    <row r="1049" spans="1:13">
      <c r="A1049" t="s">
        <v>1622</v>
      </c>
      <c r="B1049" t="s">
        <v>1623</v>
      </c>
      <c r="C1049" s="1">
        <v>44148</v>
      </c>
      <c r="D1049" s="2">
        <v>164137928</v>
      </c>
      <c r="E1049" s="2">
        <v>47324</v>
      </c>
      <c r="F1049">
        <v>58</v>
      </c>
      <c r="G1049" s="2">
        <v>569438267</v>
      </c>
      <c r="H1049" s="2">
        <v>9098356</v>
      </c>
      <c r="I1049" s="2">
        <v>8443743856</v>
      </c>
      <c r="J1049">
        <v>43</v>
      </c>
      <c r="K1049">
        <v>26</v>
      </c>
      <c r="L1049">
        <v>0</v>
      </c>
      <c r="M1049" t="str">
        <f t="shared" si="16"/>
        <v>2010-2020</v>
      </c>
    </row>
    <row r="1050" spans="1:13" hidden="1">
      <c r="A1050" t="s">
        <v>1624</v>
      </c>
      <c r="B1050" t="s">
        <v>1055</v>
      </c>
      <c r="C1050" s="1">
        <v>45120</v>
      </c>
      <c r="D1050" s="2">
        <v>28340672</v>
      </c>
      <c r="E1050" s="2">
        <v>7147</v>
      </c>
      <c r="F1050">
        <v>55</v>
      </c>
      <c r="G1050" s="2">
        <v>6667293</v>
      </c>
      <c r="H1050" s="2">
        <v>144046</v>
      </c>
      <c r="I1050" s="2">
        <v>395590915</v>
      </c>
      <c r="J1050">
        <v>8</v>
      </c>
      <c r="L1050">
        <v>1</v>
      </c>
      <c r="M1050" t="str">
        <f t="shared" si="16"/>
        <v>After 2020</v>
      </c>
    </row>
    <row r="1051" spans="1:13" hidden="1">
      <c r="A1051" t="s">
        <v>1625</v>
      </c>
      <c r="B1051" t="s">
        <v>1626</v>
      </c>
      <c r="C1051" s="1">
        <v>44610</v>
      </c>
      <c r="D1051" s="2">
        <v>547114702</v>
      </c>
      <c r="E1051" s="2">
        <v>110008</v>
      </c>
      <c r="F1051">
        <v>75</v>
      </c>
      <c r="G1051" s="2">
        <v>152539885</v>
      </c>
      <c r="H1051" s="2">
        <v>1025216</v>
      </c>
      <c r="I1051" s="2">
        <v>367187204</v>
      </c>
      <c r="J1051">
        <v>85</v>
      </c>
      <c r="L1051">
        <v>0</v>
      </c>
      <c r="M1051" t="str">
        <f t="shared" si="16"/>
        <v>After 2020</v>
      </c>
    </row>
    <row r="1052" spans="1:13">
      <c r="A1052" t="s">
        <v>1627</v>
      </c>
      <c r="B1052" t="s">
        <v>1628</v>
      </c>
      <c r="C1052" s="1">
        <v>45085</v>
      </c>
      <c r="D1052" s="2">
        <v>142574143</v>
      </c>
      <c r="E1052" s="2">
        <v>72496</v>
      </c>
      <c r="F1052">
        <v>62</v>
      </c>
      <c r="G1052" s="2">
        <v>16368063</v>
      </c>
      <c r="H1052" s="2">
        <v>168658</v>
      </c>
      <c r="I1052" s="2">
        <v>264112132</v>
      </c>
      <c r="J1052">
        <v>90</v>
      </c>
      <c r="K1052">
        <v>45</v>
      </c>
      <c r="L1052">
        <v>1</v>
      </c>
      <c r="M1052" t="str">
        <f t="shared" si="16"/>
        <v>After 2020</v>
      </c>
    </row>
    <row r="1053" spans="1:13" hidden="1">
      <c r="A1053" t="s">
        <v>1629</v>
      </c>
      <c r="B1053" t="s">
        <v>1630</v>
      </c>
      <c r="C1053" s="1">
        <v>44792</v>
      </c>
      <c r="D1053" s="2">
        <v>239149370</v>
      </c>
      <c r="E1053" s="2">
        <v>46984</v>
      </c>
      <c r="F1053">
        <v>67</v>
      </c>
      <c r="G1053" s="2">
        <v>281173184</v>
      </c>
      <c r="H1053" s="2">
        <v>3281196</v>
      </c>
      <c r="I1053" s="2">
        <v>2285171989</v>
      </c>
      <c r="J1053">
        <v>32</v>
      </c>
      <c r="L1053">
        <v>0</v>
      </c>
      <c r="M1053" t="str">
        <f t="shared" si="16"/>
        <v>After 2020</v>
      </c>
    </row>
    <row r="1054" spans="1:13" hidden="1">
      <c r="A1054" t="s">
        <v>1631</v>
      </c>
      <c r="B1054" t="s">
        <v>1632</v>
      </c>
      <c r="C1054" s="1">
        <v>45324</v>
      </c>
      <c r="D1054" s="2">
        <v>33174286</v>
      </c>
      <c r="E1054" s="2">
        <v>1658</v>
      </c>
      <c r="G1054" s="2">
        <v>119795906</v>
      </c>
      <c r="H1054" s="2">
        <v>342242</v>
      </c>
      <c r="J1054">
        <v>9</v>
      </c>
      <c r="L1054">
        <v>0</v>
      </c>
      <c r="M1054" t="str">
        <f t="shared" si="16"/>
        <v>After 2020</v>
      </c>
    </row>
    <row r="1055" spans="1:13">
      <c r="A1055" t="s">
        <v>1633</v>
      </c>
      <c r="B1055" t="s">
        <v>1062</v>
      </c>
      <c r="C1055" s="1">
        <v>44728</v>
      </c>
      <c r="D1055" s="2">
        <v>302939117</v>
      </c>
      <c r="E1055" s="2">
        <v>48916</v>
      </c>
      <c r="F1055">
        <v>62</v>
      </c>
      <c r="G1055" s="2">
        <v>236850911</v>
      </c>
      <c r="H1055" s="2">
        <v>1744818</v>
      </c>
      <c r="I1055" s="2">
        <v>74013480</v>
      </c>
      <c r="J1055">
        <v>57</v>
      </c>
      <c r="K1055">
        <v>654</v>
      </c>
      <c r="L1055">
        <v>0</v>
      </c>
      <c r="M1055" t="str">
        <f t="shared" si="16"/>
        <v>After 2020</v>
      </c>
    </row>
    <row r="1056" spans="1:13" hidden="1">
      <c r="A1056" t="s">
        <v>1634</v>
      </c>
      <c r="B1056" t="s">
        <v>1635</v>
      </c>
      <c r="C1056" s="1">
        <v>44069</v>
      </c>
      <c r="D1056" s="2">
        <v>58283353</v>
      </c>
      <c r="E1056">
        <v>12</v>
      </c>
      <c r="G1056" s="2">
        <v>1558088734</v>
      </c>
      <c r="H1056" s="2">
        <v>6652026</v>
      </c>
      <c r="L1056">
        <v>0</v>
      </c>
      <c r="M1056" t="str">
        <f t="shared" si="16"/>
        <v>2010-2020</v>
      </c>
    </row>
    <row r="1057" spans="1:13" hidden="1">
      <c r="A1057" t="s">
        <v>1636</v>
      </c>
      <c r="B1057" t="s">
        <v>1637</v>
      </c>
      <c r="C1057" s="1">
        <v>43840</v>
      </c>
      <c r="D1057" s="2">
        <v>1104008150</v>
      </c>
      <c r="E1057" s="2">
        <v>173612</v>
      </c>
      <c r="F1057">
        <v>72</v>
      </c>
      <c r="G1057" s="2">
        <v>431904675</v>
      </c>
      <c r="H1057" s="2">
        <v>4882117</v>
      </c>
      <c r="I1057" s="2">
        <v>2922804533</v>
      </c>
      <c r="J1057">
        <v>72</v>
      </c>
      <c r="L1057">
        <v>0</v>
      </c>
      <c r="M1057" t="str">
        <f t="shared" si="16"/>
        <v>2010-2020</v>
      </c>
    </row>
    <row r="1058" spans="1:13" hidden="1">
      <c r="A1058" t="s">
        <v>1638</v>
      </c>
      <c r="B1058" t="s">
        <v>1639</v>
      </c>
      <c r="C1058" s="1">
        <v>45239</v>
      </c>
      <c r="D1058" s="2">
        <v>27891947</v>
      </c>
      <c r="E1058" s="2">
        <v>11898</v>
      </c>
      <c r="J1058">
        <v>8</v>
      </c>
      <c r="L1058">
        <v>0</v>
      </c>
      <c r="M1058" t="str">
        <f t="shared" si="16"/>
        <v>After 2020</v>
      </c>
    </row>
    <row r="1059" spans="1:13">
      <c r="A1059" t="s">
        <v>1640</v>
      </c>
      <c r="B1059" t="s">
        <v>1641</v>
      </c>
      <c r="C1059" s="1">
        <v>44385</v>
      </c>
      <c r="D1059" s="2">
        <v>701919939</v>
      </c>
      <c r="E1059" s="2">
        <v>105247</v>
      </c>
      <c r="F1059">
        <v>68</v>
      </c>
      <c r="G1059" s="2">
        <v>560364244</v>
      </c>
      <c r="H1059" s="2">
        <v>2647485</v>
      </c>
      <c r="I1059" s="2">
        <v>74137126</v>
      </c>
      <c r="J1059">
        <v>85</v>
      </c>
      <c r="K1059">
        <v>15</v>
      </c>
      <c r="L1059">
        <v>1</v>
      </c>
      <c r="M1059" t="str">
        <f t="shared" si="16"/>
        <v>After 2020</v>
      </c>
    </row>
    <row r="1060" spans="1:13">
      <c r="A1060" t="s">
        <v>1642</v>
      </c>
      <c r="B1060" t="s">
        <v>1643</v>
      </c>
      <c r="C1060" s="1">
        <v>44232</v>
      </c>
      <c r="D1060" s="2">
        <v>861100951</v>
      </c>
      <c r="E1060" s="2">
        <v>153435</v>
      </c>
      <c r="F1060">
        <v>74</v>
      </c>
      <c r="G1060" s="2">
        <v>95899960</v>
      </c>
      <c r="H1060" s="2">
        <v>848696</v>
      </c>
      <c r="I1060" s="2">
        <v>184453448</v>
      </c>
      <c r="J1060">
        <v>122</v>
      </c>
      <c r="K1060">
        <v>305</v>
      </c>
      <c r="L1060">
        <v>0</v>
      </c>
      <c r="M1060" t="str">
        <f t="shared" si="16"/>
        <v>After 2020</v>
      </c>
    </row>
    <row r="1061" spans="1:13" hidden="1">
      <c r="A1061" t="s">
        <v>1644</v>
      </c>
      <c r="B1061" t="s">
        <v>1645</v>
      </c>
      <c r="C1061" s="1">
        <v>45211</v>
      </c>
      <c r="D1061" s="2">
        <v>48339964</v>
      </c>
      <c r="E1061" s="2">
        <v>24760</v>
      </c>
      <c r="G1061" s="2">
        <v>9010442</v>
      </c>
      <c r="H1061" s="2">
        <v>103229</v>
      </c>
      <c r="I1061" s="2">
        <v>10073870</v>
      </c>
      <c r="J1061">
        <v>21</v>
      </c>
      <c r="K1061">
        <v>406</v>
      </c>
      <c r="L1061">
        <v>1</v>
      </c>
      <c r="M1061" t="str">
        <f t="shared" si="16"/>
        <v>After 2020</v>
      </c>
    </row>
    <row r="1062" spans="1:13" hidden="1">
      <c r="A1062" t="s">
        <v>1646</v>
      </c>
      <c r="B1062" t="s">
        <v>266</v>
      </c>
      <c r="C1062" s="1">
        <v>45233</v>
      </c>
      <c r="D1062" s="2">
        <v>259807712</v>
      </c>
      <c r="E1062" s="2">
        <v>30605</v>
      </c>
      <c r="G1062" s="2">
        <v>9545403</v>
      </c>
      <c r="H1062" s="2">
        <v>163045</v>
      </c>
      <c r="I1062" s="2">
        <v>538186129</v>
      </c>
      <c r="J1062">
        <v>41</v>
      </c>
      <c r="L1062">
        <v>0</v>
      </c>
      <c r="M1062" t="str">
        <f t="shared" si="16"/>
        <v>After 2020</v>
      </c>
    </row>
    <row r="1063" spans="1:13" hidden="1">
      <c r="A1063" t="s">
        <v>1647</v>
      </c>
      <c r="B1063" t="s">
        <v>1648</v>
      </c>
      <c r="C1063" s="1">
        <v>45114</v>
      </c>
      <c r="D1063" s="2">
        <v>210195998</v>
      </c>
      <c r="E1063" s="2">
        <v>10723</v>
      </c>
      <c r="F1063">
        <v>65</v>
      </c>
      <c r="G1063" s="2">
        <v>291263121</v>
      </c>
      <c r="H1063" s="2">
        <v>1409361</v>
      </c>
      <c r="I1063" s="2">
        <v>55226429</v>
      </c>
      <c r="J1063">
        <v>6</v>
      </c>
      <c r="L1063">
        <v>0</v>
      </c>
      <c r="M1063" t="str">
        <f t="shared" si="16"/>
        <v>After 2020</v>
      </c>
    </row>
    <row r="1064" spans="1:13" hidden="1">
      <c r="A1064" t="s">
        <v>1649</v>
      </c>
      <c r="B1064" t="s">
        <v>1570</v>
      </c>
      <c r="C1064" s="1">
        <v>45356</v>
      </c>
      <c r="D1064" s="2">
        <v>65661355</v>
      </c>
      <c r="E1064" s="2">
        <v>2351</v>
      </c>
      <c r="F1064">
        <v>76</v>
      </c>
      <c r="G1064" s="2">
        <v>89220257</v>
      </c>
      <c r="H1064" s="2">
        <v>546476</v>
      </c>
      <c r="J1064">
        <v>16</v>
      </c>
      <c r="L1064">
        <v>0</v>
      </c>
      <c r="M1064" t="str">
        <f t="shared" si="16"/>
        <v>After 2020</v>
      </c>
    </row>
    <row r="1065" spans="1:13" hidden="1">
      <c r="A1065" t="s">
        <v>1650</v>
      </c>
      <c r="B1065" t="s">
        <v>1651</v>
      </c>
      <c r="C1065" s="1">
        <v>44914</v>
      </c>
      <c r="D1065" s="2">
        <v>16119</v>
      </c>
      <c r="E1065">
        <v>5</v>
      </c>
      <c r="F1065">
        <v>6</v>
      </c>
      <c r="G1065" s="2">
        <v>634519417</v>
      </c>
      <c r="H1065" s="2">
        <v>4362725</v>
      </c>
      <c r="L1065">
        <v>0</v>
      </c>
      <c r="M1065" t="str">
        <f t="shared" si="16"/>
        <v>After 2020</v>
      </c>
    </row>
    <row r="1066" spans="1:13" hidden="1">
      <c r="A1066" t="s">
        <v>1652</v>
      </c>
      <c r="B1066" t="s">
        <v>739</v>
      </c>
      <c r="C1066" s="1">
        <v>45099</v>
      </c>
      <c r="D1066" s="2">
        <v>142430643</v>
      </c>
      <c r="E1066" s="2">
        <v>6611</v>
      </c>
      <c r="F1066">
        <v>64</v>
      </c>
      <c r="G1066" s="2">
        <v>347065741</v>
      </c>
      <c r="H1066" s="2">
        <v>4171813</v>
      </c>
      <c r="I1066" s="2">
        <v>18800</v>
      </c>
      <c r="J1066">
        <v>8</v>
      </c>
      <c r="L1066">
        <v>0</v>
      </c>
      <c r="M1066" t="str">
        <f t="shared" si="16"/>
        <v>After 2020</v>
      </c>
    </row>
    <row r="1067" spans="1:13">
      <c r="A1067" t="s">
        <v>1653</v>
      </c>
      <c r="B1067" t="s">
        <v>1654</v>
      </c>
      <c r="C1067" s="1">
        <v>43028</v>
      </c>
      <c r="D1067" s="2">
        <v>871780891</v>
      </c>
      <c r="E1067" s="2">
        <v>56085</v>
      </c>
      <c r="F1067">
        <v>68</v>
      </c>
      <c r="G1067" s="2">
        <v>2169311851</v>
      </c>
      <c r="H1067" s="2">
        <v>4669074</v>
      </c>
      <c r="I1067" s="2">
        <v>121241311</v>
      </c>
      <c r="J1067">
        <v>41</v>
      </c>
      <c r="K1067">
        <v>55</v>
      </c>
      <c r="L1067">
        <v>0</v>
      </c>
      <c r="M1067" t="str">
        <f t="shared" si="16"/>
        <v>2010-2020</v>
      </c>
    </row>
    <row r="1068" spans="1:13">
      <c r="A1068" t="s">
        <v>1655</v>
      </c>
      <c r="B1068" t="s">
        <v>1656</v>
      </c>
      <c r="C1068" s="1">
        <v>45425</v>
      </c>
      <c r="D1068" s="2">
        <v>8699917</v>
      </c>
      <c r="E1068">
        <v>533</v>
      </c>
      <c r="F1068">
        <v>58</v>
      </c>
      <c r="G1068" s="2">
        <v>31498812</v>
      </c>
      <c r="H1068" s="2">
        <v>685645</v>
      </c>
      <c r="I1068" s="2">
        <v>329800</v>
      </c>
      <c r="J1068">
        <v>5</v>
      </c>
      <c r="K1068">
        <v>9</v>
      </c>
      <c r="L1068">
        <v>0</v>
      </c>
      <c r="M1068" t="str">
        <f t="shared" si="16"/>
        <v>After 2020</v>
      </c>
    </row>
    <row r="1069" spans="1:13">
      <c r="A1069" t="s">
        <v>1657</v>
      </c>
      <c r="B1069" t="s">
        <v>912</v>
      </c>
      <c r="C1069" s="1">
        <v>40909</v>
      </c>
      <c r="D1069" s="2">
        <v>1419912461</v>
      </c>
      <c r="E1069" s="2">
        <v>180128</v>
      </c>
      <c r="F1069">
        <v>70</v>
      </c>
      <c r="G1069" s="2">
        <v>2336257288</v>
      </c>
      <c r="H1069" s="2">
        <v>11532780</v>
      </c>
      <c r="I1069" s="2">
        <v>6890158</v>
      </c>
      <c r="J1069">
        <v>164</v>
      </c>
      <c r="K1069">
        <v>81</v>
      </c>
      <c r="L1069">
        <v>0</v>
      </c>
      <c r="M1069" t="str">
        <f t="shared" si="16"/>
        <v>2010-2020</v>
      </c>
    </row>
    <row r="1070" spans="1:13">
      <c r="A1070" t="s">
        <v>1658</v>
      </c>
      <c r="B1070" t="s">
        <v>1659</v>
      </c>
      <c r="C1070" s="1">
        <v>44609</v>
      </c>
      <c r="D1070" s="2">
        <v>535013440</v>
      </c>
      <c r="E1070" s="2">
        <v>57772</v>
      </c>
      <c r="F1070">
        <v>71</v>
      </c>
      <c r="G1070" s="2">
        <v>162236183</v>
      </c>
      <c r="H1070" s="2">
        <v>1010851</v>
      </c>
      <c r="I1070" s="2">
        <v>4479627831</v>
      </c>
      <c r="J1070">
        <v>54</v>
      </c>
      <c r="K1070">
        <v>327</v>
      </c>
      <c r="L1070">
        <v>1</v>
      </c>
      <c r="M1070" t="str">
        <f t="shared" si="16"/>
        <v>After 2020</v>
      </c>
    </row>
    <row r="1071" spans="1:13" hidden="1">
      <c r="A1071" t="s">
        <v>1660</v>
      </c>
      <c r="B1071" t="s">
        <v>1661</v>
      </c>
      <c r="C1071" s="1">
        <v>44893</v>
      </c>
      <c r="D1071" s="2">
        <v>1071</v>
      </c>
      <c r="E1071">
        <v>6</v>
      </c>
      <c r="G1071" s="2">
        <v>654777639</v>
      </c>
      <c r="L1071">
        <v>0</v>
      </c>
      <c r="M1071" t="str">
        <f t="shared" si="16"/>
        <v>After 2020</v>
      </c>
    </row>
    <row r="1072" spans="1:13">
      <c r="A1072" t="s">
        <v>1662</v>
      </c>
      <c r="B1072" t="s">
        <v>1663</v>
      </c>
      <c r="C1072" s="1">
        <v>45079</v>
      </c>
      <c r="D1072" s="2">
        <v>354097795</v>
      </c>
      <c r="E1072" s="2">
        <v>53606</v>
      </c>
      <c r="F1072">
        <v>74</v>
      </c>
      <c r="G1072" s="2">
        <v>89166241</v>
      </c>
      <c r="H1072" s="2">
        <v>599270</v>
      </c>
      <c r="I1072" s="2">
        <v>107126101</v>
      </c>
      <c r="J1072">
        <v>64</v>
      </c>
      <c r="K1072">
        <v>53</v>
      </c>
      <c r="L1072">
        <v>1</v>
      </c>
      <c r="M1072" t="str">
        <f t="shared" si="16"/>
        <v>After 2020</v>
      </c>
    </row>
    <row r="1073" spans="1:13" hidden="1">
      <c r="A1073" t="s">
        <v>1664</v>
      </c>
      <c r="B1073" t="s">
        <v>1665</v>
      </c>
      <c r="C1073" s="1">
        <v>45188</v>
      </c>
      <c r="D1073" s="2">
        <v>56978899</v>
      </c>
      <c r="E1073" s="2">
        <v>19534</v>
      </c>
      <c r="G1073" s="2">
        <v>31575700</v>
      </c>
      <c r="H1073" s="2">
        <v>824524</v>
      </c>
      <c r="I1073" s="2">
        <v>641905367</v>
      </c>
      <c r="J1073">
        <v>3</v>
      </c>
      <c r="K1073">
        <v>49</v>
      </c>
      <c r="L1073">
        <v>1</v>
      </c>
      <c r="M1073" t="str">
        <f t="shared" si="16"/>
        <v>After 2020</v>
      </c>
    </row>
    <row r="1074" spans="1:13" hidden="1">
      <c r="A1074" t="s">
        <v>1666</v>
      </c>
      <c r="B1074" t="s">
        <v>79</v>
      </c>
      <c r="C1074" s="1">
        <v>45415</v>
      </c>
      <c r="D1074" s="2">
        <v>38895</v>
      </c>
      <c r="E1074">
        <v>8</v>
      </c>
      <c r="G1074" s="2">
        <v>50007108</v>
      </c>
      <c r="H1074" s="2">
        <v>65432</v>
      </c>
      <c r="J1074">
        <v>1</v>
      </c>
      <c r="L1074">
        <v>0</v>
      </c>
      <c r="M1074" t="str">
        <f t="shared" si="16"/>
        <v>After 2020</v>
      </c>
    </row>
    <row r="1075" spans="1:13" hidden="1">
      <c r="A1075" t="s">
        <v>1667</v>
      </c>
      <c r="B1075" t="s">
        <v>51</v>
      </c>
      <c r="C1075" s="1">
        <v>45429</v>
      </c>
      <c r="D1075" s="2">
        <v>58810212</v>
      </c>
      <c r="E1075" s="2">
        <v>3394</v>
      </c>
      <c r="F1075">
        <v>87</v>
      </c>
      <c r="J1075">
        <v>31</v>
      </c>
      <c r="L1075">
        <v>0</v>
      </c>
      <c r="M1075" t="str">
        <f t="shared" si="16"/>
        <v>After 2020</v>
      </c>
    </row>
    <row r="1076" spans="1:13" hidden="1">
      <c r="A1076" t="s">
        <v>1668</v>
      </c>
      <c r="B1076" t="s">
        <v>141</v>
      </c>
      <c r="C1076" s="1">
        <v>44687</v>
      </c>
      <c r="D1076" s="2">
        <v>366872354</v>
      </c>
      <c r="E1076" s="2">
        <v>61014</v>
      </c>
      <c r="F1076">
        <v>68</v>
      </c>
      <c r="G1076" s="2">
        <v>146768761</v>
      </c>
      <c r="H1076" s="2">
        <v>1402279</v>
      </c>
      <c r="I1076" s="2">
        <v>1794129686</v>
      </c>
      <c r="J1076">
        <v>14</v>
      </c>
      <c r="L1076">
        <v>0</v>
      </c>
      <c r="M1076" t="str">
        <f t="shared" si="16"/>
        <v>After 2020</v>
      </c>
    </row>
    <row r="1077" spans="1:13">
      <c r="A1077" t="s">
        <v>1669</v>
      </c>
      <c r="B1077" t="s">
        <v>1174</v>
      </c>
      <c r="C1077" s="1">
        <v>43503</v>
      </c>
      <c r="D1077" s="2">
        <v>968194426</v>
      </c>
      <c r="E1077" s="2">
        <v>121168</v>
      </c>
      <c r="F1077">
        <v>64</v>
      </c>
      <c r="G1077" s="2">
        <v>468753245</v>
      </c>
      <c r="H1077" s="2">
        <v>3701432</v>
      </c>
      <c r="I1077" s="2">
        <v>175481915</v>
      </c>
      <c r="J1077">
        <v>171</v>
      </c>
      <c r="K1077">
        <v>955</v>
      </c>
      <c r="L1077">
        <v>0</v>
      </c>
      <c r="M1077" t="str">
        <f t="shared" si="16"/>
        <v>2010-2020</v>
      </c>
    </row>
    <row r="1078" spans="1:13" hidden="1">
      <c r="A1078" t="s">
        <v>1670</v>
      </c>
      <c r="B1078" t="s">
        <v>200</v>
      </c>
      <c r="C1078" s="1">
        <v>45288</v>
      </c>
      <c r="D1078" s="2">
        <v>164219485</v>
      </c>
      <c r="E1078" s="2">
        <v>11966</v>
      </c>
      <c r="G1078" s="2">
        <v>101560741</v>
      </c>
      <c r="H1078" s="2">
        <v>564659</v>
      </c>
      <c r="J1078">
        <v>15</v>
      </c>
      <c r="L1078">
        <v>1</v>
      </c>
      <c r="M1078" t="str">
        <f t="shared" si="16"/>
        <v>After 2020</v>
      </c>
    </row>
    <row r="1079" spans="1:13" hidden="1">
      <c r="A1079" t="s">
        <v>1671</v>
      </c>
      <c r="B1079" t="s">
        <v>63</v>
      </c>
      <c r="C1079" s="1">
        <v>45183</v>
      </c>
      <c r="D1079" s="2">
        <v>21648841</v>
      </c>
      <c r="E1079" s="2">
        <v>2778</v>
      </c>
      <c r="I1079" s="2">
        <v>3067524132</v>
      </c>
      <c r="J1079">
        <v>2</v>
      </c>
      <c r="K1079">
        <v>400</v>
      </c>
      <c r="L1079">
        <v>1</v>
      </c>
      <c r="M1079" t="str">
        <f t="shared" si="16"/>
        <v>After 2020</v>
      </c>
    </row>
    <row r="1080" spans="1:13">
      <c r="A1080" t="s">
        <v>1672</v>
      </c>
      <c r="B1080" t="s">
        <v>444</v>
      </c>
      <c r="C1080" s="1">
        <v>44126</v>
      </c>
      <c r="D1080" s="2">
        <v>579749218</v>
      </c>
      <c r="E1080" s="2">
        <v>90725</v>
      </c>
      <c r="F1080">
        <v>65</v>
      </c>
      <c r="G1080" s="2">
        <v>645701697</v>
      </c>
      <c r="H1080" s="2">
        <v>3354975</v>
      </c>
      <c r="I1080" s="2">
        <v>1294351127</v>
      </c>
      <c r="J1080">
        <v>89</v>
      </c>
      <c r="K1080">
        <v>13</v>
      </c>
      <c r="L1080">
        <v>1</v>
      </c>
      <c r="M1080" t="str">
        <f t="shared" si="16"/>
        <v>2010-2020</v>
      </c>
    </row>
    <row r="1081" spans="1:13" hidden="1">
      <c r="A1081" t="s">
        <v>1673</v>
      </c>
      <c r="B1081" t="s">
        <v>1674</v>
      </c>
      <c r="C1081" s="1">
        <v>45373</v>
      </c>
      <c r="D1081" s="2">
        <v>2730458</v>
      </c>
      <c r="E1081">
        <v>257</v>
      </c>
      <c r="G1081" s="2">
        <v>89974882</v>
      </c>
      <c r="H1081" s="2">
        <v>536584</v>
      </c>
      <c r="J1081">
        <v>1</v>
      </c>
      <c r="L1081">
        <v>0</v>
      </c>
      <c r="M1081" t="str">
        <f t="shared" si="16"/>
        <v>After 2020</v>
      </c>
    </row>
    <row r="1082" spans="1:13">
      <c r="A1082" t="s">
        <v>1675</v>
      </c>
      <c r="B1082" t="s">
        <v>1676</v>
      </c>
      <c r="C1082" s="1">
        <v>44119</v>
      </c>
      <c r="D1082" s="2">
        <v>233139871</v>
      </c>
      <c r="E1082" s="2">
        <v>77694</v>
      </c>
      <c r="F1082">
        <v>63</v>
      </c>
      <c r="G1082" s="2">
        <v>425539008</v>
      </c>
      <c r="H1082" s="2">
        <v>2824144</v>
      </c>
      <c r="I1082" s="2">
        <v>111422826</v>
      </c>
      <c r="J1082">
        <v>53</v>
      </c>
      <c r="K1082">
        <v>57</v>
      </c>
      <c r="L1082">
        <v>1</v>
      </c>
      <c r="M1082" t="str">
        <f t="shared" si="16"/>
        <v>2010-2020</v>
      </c>
    </row>
    <row r="1083" spans="1:13" hidden="1">
      <c r="A1083" t="s">
        <v>1677</v>
      </c>
      <c r="B1083" t="s">
        <v>1678</v>
      </c>
      <c r="C1083" s="1">
        <v>45408</v>
      </c>
      <c r="D1083" s="2">
        <v>56282981</v>
      </c>
      <c r="E1083" s="2">
        <v>5849</v>
      </c>
      <c r="F1083">
        <v>80</v>
      </c>
      <c r="G1083" s="2">
        <v>13102384</v>
      </c>
      <c r="H1083" s="2">
        <v>110873</v>
      </c>
      <c r="J1083">
        <v>25</v>
      </c>
      <c r="L1083">
        <v>1</v>
      </c>
      <c r="M1083" t="str">
        <f t="shared" si="16"/>
        <v>After 2020</v>
      </c>
    </row>
    <row r="1084" spans="1:13" hidden="1">
      <c r="A1084" t="s">
        <v>1679</v>
      </c>
      <c r="B1084" t="s">
        <v>1680</v>
      </c>
      <c r="C1084" s="1">
        <v>44575</v>
      </c>
      <c r="D1084" s="2">
        <v>24285898</v>
      </c>
      <c r="E1084" s="2">
        <v>8422</v>
      </c>
      <c r="F1084">
        <v>54</v>
      </c>
      <c r="G1084" s="2">
        <v>9750600</v>
      </c>
      <c r="H1084" s="2">
        <v>41196</v>
      </c>
      <c r="I1084" s="2">
        <v>1029336</v>
      </c>
      <c r="J1084">
        <v>1</v>
      </c>
      <c r="L1084">
        <v>1</v>
      </c>
      <c r="M1084" t="str">
        <f t="shared" si="16"/>
        <v>After 2020</v>
      </c>
    </row>
    <row r="1085" spans="1:13">
      <c r="A1085" t="s">
        <v>1681</v>
      </c>
      <c r="B1085" t="s">
        <v>444</v>
      </c>
      <c r="C1085" s="1">
        <v>45114</v>
      </c>
      <c r="D1085" s="2">
        <v>310562790</v>
      </c>
      <c r="E1085" s="2">
        <v>33458</v>
      </c>
      <c r="F1085">
        <v>79</v>
      </c>
      <c r="G1085" s="2">
        <v>113130284</v>
      </c>
      <c r="H1085" s="2">
        <v>482647</v>
      </c>
      <c r="I1085" s="2">
        <v>372688472</v>
      </c>
      <c r="J1085">
        <v>55</v>
      </c>
      <c r="K1085">
        <v>50</v>
      </c>
      <c r="L1085">
        <v>1</v>
      </c>
      <c r="M1085" t="str">
        <f t="shared" si="16"/>
        <v>After 2020</v>
      </c>
    </row>
    <row r="1086" spans="1:13">
      <c r="A1086" t="s">
        <v>1682</v>
      </c>
      <c r="B1086" t="s">
        <v>1083</v>
      </c>
      <c r="C1086" s="1">
        <v>43385</v>
      </c>
      <c r="D1086" s="2">
        <v>1070685587</v>
      </c>
      <c r="E1086" s="2">
        <v>203323</v>
      </c>
      <c r="F1086">
        <v>71</v>
      </c>
      <c r="G1086" s="2">
        <v>494548432</v>
      </c>
      <c r="H1086" s="2">
        <v>4682485</v>
      </c>
      <c r="I1086" s="2">
        <v>463776007</v>
      </c>
      <c r="J1086">
        <v>82</v>
      </c>
      <c r="K1086">
        <v>90</v>
      </c>
      <c r="L1086">
        <v>1</v>
      </c>
      <c r="M1086" t="str">
        <f t="shared" si="16"/>
        <v>2010-2020</v>
      </c>
    </row>
    <row r="1087" spans="1:13" hidden="1">
      <c r="A1087" t="s">
        <v>1683</v>
      </c>
      <c r="B1087" t="s">
        <v>1565</v>
      </c>
      <c r="C1087" s="1">
        <v>44759</v>
      </c>
      <c r="D1087" s="2">
        <v>516740949</v>
      </c>
      <c r="E1087" s="2">
        <v>30584</v>
      </c>
      <c r="F1087">
        <v>67</v>
      </c>
      <c r="G1087" s="2">
        <v>548697509</v>
      </c>
      <c r="H1087" s="2">
        <v>6082861</v>
      </c>
      <c r="J1087">
        <v>35</v>
      </c>
      <c r="L1087">
        <v>0</v>
      </c>
      <c r="M1087" t="str">
        <f t="shared" si="16"/>
        <v>After 2020</v>
      </c>
    </row>
    <row r="1088" spans="1:13" hidden="1">
      <c r="A1088" t="s">
        <v>1684</v>
      </c>
      <c r="B1088" t="s">
        <v>515</v>
      </c>
      <c r="C1088" s="1">
        <v>45434</v>
      </c>
      <c r="D1088" s="2">
        <v>9084595</v>
      </c>
      <c r="E1088" s="2">
        <v>1087</v>
      </c>
      <c r="G1088" s="2">
        <v>11912619</v>
      </c>
      <c r="H1088" s="2">
        <v>302647</v>
      </c>
      <c r="J1088">
        <v>33</v>
      </c>
      <c r="K1088">
        <v>15</v>
      </c>
      <c r="L1088">
        <v>0</v>
      </c>
      <c r="M1088" t="str">
        <f t="shared" si="16"/>
        <v>After 2020</v>
      </c>
    </row>
    <row r="1089" spans="1:13" hidden="1">
      <c r="A1089" t="s">
        <v>1685</v>
      </c>
      <c r="B1089" t="s">
        <v>1686</v>
      </c>
      <c r="C1089" s="1">
        <v>42282</v>
      </c>
      <c r="D1089" s="2">
        <v>70061366</v>
      </c>
      <c r="E1089" s="2">
        <v>6847</v>
      </c>
      <c r="F1089">
        <v>62</v>
      </c>
      <c r="G1089" s="2">
        <v>3257763799</v>
      </c>
      <c r="H1089" s="2">
        <v>9018759</v>
      </c>
      <c r="J1089">
        <v>2</v>
      </c>
      <c r="L1089">
        <v>0</v>
      </c>
      <c r="M1089" t="str">
        <f t="shared" si="16"/>
        <v>2010-2020</v>
      </c>
    </row>
    <row r="1090" spans="1:13">
      <c r="A1090" t="s">
        <v>1687</v>
      </c>
      <c r="B1090" t="s">
        <v>1688</v>
      </c>
      <c r="C1090" s="1">
        <v>45023</v>
      </c>
      <c r="D1090" s="2">
        <v>144252786</v>
      </c>
      <c r="E1090" s="2">
        <v>35929</v>
      </c>
      <c r="F1090">
        <v>64</v>
      </c>
      <c r="G1090" s="2">
        <v>68229038</v>
      </c>
      <c r="H1090" s="2">
        <v>1462629</v>
      </c>
      <c r="I1090" s="2">
        <v>3002241315</v>
      </c>
      <c r="J1090">
        <v>17</v>
      </c>
      <c r="K1090">
        <v>817</v>
      </c>
      <c r="L1090">
        <v>0</v>
      </c>
      <c r="M1090" t="str">
        <f t="shared" si="16"/>
        <v>After 2020</v>
      </c>
    </row>
    <row r="1091" spans="1:13" hidden="1">
      <c r="A1091" t="s">
        <v>1689</v>
      </c>
      <c r="B1091" t="s">
        <v>245</v>
      </c>
      <c r="C1091" s="1">
        <v>41855</v>
      </c>
      <c r="G1091" s="2">
        <v>4069201723</v>
      </c>
      <c r="H1091" s="2">
        <v>18144051</v>
      </c>
      <c r="L1091">
        <v>0</v>
      </c>
      <c r="M1091" t="str">
        <f t="shared" ref="M1091:M1154" si="17">IF(YEAR(C1091)&lt;2010,"Before 2010",IF(YEAR(C1091)&lt;=2020,"2010-2020","After 2020"))</f>
        <v>2010-2020</v>
      </c>
    </row>
    <row r="1092" spans="1:13">
      <c r="A1092" t="s">
        <v>1690</v>
      </c>
      <c r="B1092" t="s">
        <v>127</v>
      </c>
      <c r="C1092" s="1">
        <v>44413</v>
      </c>
      <c r="D1092" s="2">
        <v>465348362</v>
      </c>
      <c r="E1092" s="2">
        <v>89586</v>
      </c>
      <c r="F1092">
        <v>57</v>
      </c>
      <c r="G1092" s="2">
        <v>218889957</v>
      </c>
      <c r="H1092" s="2">
        <v>2186587</v>
      </c>
      <c r="I1092" s="2">
        <v>224955330</v>
      </c>
      <c r="J1092">
        <v>151</v>
      </c>
      <c r="K1092">
        <v>489</v>
      </c>
      <c r="L1092">
        <v>0</v>
      </c>
      <c r="M1092" t="str">
        <f t="shared" si="17"/>
        <v>After 2020</v>
      </c>
    </row>
    <row r="1093" spans="1:13">
      <c r="A1093" t="s">
        <v>1691</v>
      </c>
      <c r="B1093" t="s">
        <v>61</v>
      </c>
      <c r="C1093" s="1">
        <v>44855</v>
      </c>
      <c r="D1093" s="2">
        <v>711138043</v>
      </c>
      <c r="E1093" s="2">
        <v>42535</v>
      </c>
      <c r="F1093">
        <v>73</v>
      </c>
      <c r="G1093" s="2">
        <v>26695871</v>
      </c>
      <c r="H1093" s="2">
        <v>411132</v>
      </c>
      <c r="I1093" s="2">
        <v>302181012</v>
      </c>
      <c r="J1093">
        <v>66</v>
      </c>
      <c r="K1093" s="2">
        <v>1936</v>
      </c>
      <c r="L1093">
        <v>1</v>
      </c>
      <c r="M1093" t="str">
        <f t="shared" si="17"/>
        <v>After 2020</v>
      </c>
    </row>
    <row r="1094" spans="1:13" hidden="1">
      <c r="A1094" t="s">
        <v>1692</v>
      </c>
      <c r="B1094" t="s">
        <v>1693</v>
      </c>
      <c r="C1094" s="1">
        <v>44722</v>
      </c>
      <c r="D1094" s="2">
        <v>331419634</v>
      </c>
      <c r="E1094" s="2">
        <v>92569</v>
      </c>
      <c r="F1094">
        <v>68</v>
      </c>
      <c r="G1094" s="2">
        <v>90820063</v>
      </c>
      <c r="H1094" s="2">
        <v>924838</v>
      </c>
      <c r="I1094" s="2">
        <v>534189550</v>
      </c>
      <c r="J1094">
        <v>116</v>
      </c>
      <c r="L1094">
        <v>0</v>
      </c>
      <c r="M1094" t="str">
        <f t="shared" si="17"/>
        <v>After 2020</v>
      </c>
    </row>
    <row r="1095" spans="1:13" hidden="1">
      <c r="A1095" t="s">
        <v>1694</v>
      </c>
      <c r="B1095" t="s">
        <v>1695</v>
      </c>
      <c r="C1095" s="1">
        <v>45128</v>
      </c>
      <c r="D1095" s="2">
        <v>166784328</v>
      </c>
      <c r="E1095" s="2">
        <v>15122</v>
      </c>
      <c r="F1095">
        <v>66</v>
      </c>
      <c r="G1095" s="2">
        <v>196927226</v>
      </c>
      <c r="H1095" s="2">
        <v>943630</v>
      </c>
      <c r="I1095" s="2">
        <v>1222155154</v>
      </c>
      <c r="J1095">
        <v>10</v>
      </c>
      <c r="L1095">
        <v>1</v>
      </c>
      <c r="M1095" t="str">
        <f t="shared" si="17"/>
        <v>After 2020</v>
      </c>
    </row>
    <row r="1096" spans="1:13">
      <c r="A1096" t="s">
        <v>1696</v>
      </c>
      <c r="B1096" t="s">
        <v>148</v>
      </c>
      <c r="C1096" s="1">
        <v>44904</v>
      </c>
      <c r="D1096" s="2">
        <v>561645790</v>
      </c>
      <c r="E1096" s="2">
        <v>58561</v>
      </c>
      <c r="F1096">
        <v>82</v>
      </c>
      <c r="G1096" s="2">
        <v>79127644</v>
      </c>
      <c r="H1096" s="2">
        <v>867545</v>
      </c>
      <c r="I1096" s="2">
        <v>220878489</v>
      </c>
      <c r="J1096">
        <v>64</v>
      </c>
      <c r="K1096">
        <v>293</v>
      </c>
      <c r="L1096">
        <v>1</v>
      </c>
      <c r="M1096" t="str">
        <f t="shared" si="17"/>
        <v>After 2020</v>
      </c>
    </row>
    <row r="1097" spans="1:13" hidden="1">
      <c r="A1097" t="s">
        <v>1697</v>
      </c>
      <c r="B1097" t="s">
        <v>1698</v>
      </c>
      <c r="C1097" s="1">
        <v>45338</v>
      </c>
      <c r="D1097" s="2">
        <v>19236234</v>
      </c>
      <c r="E1097" s="2">
        <v>1602</v>
      </c>
      <c r="G1097" s="2">
        <v>114064058</v>
      </c>
      <c r="H1097" s="2">
        <v>1339987</v>
      </c>
      <c r="L1097">
        <v>0</v>
      </c>
      <c r="M1097" t="str">
        <f t="shared" si="17"/>
        <v>After 2020</v>
      </c>
    </row>
    <row r="1098" spans="1:13" hidden="1">
      <c r="A1098" t="s">
        <v>1699</v>
      </c>
      <c r="B1098" t="s">
        <v>1700</v>
      </c>
      <c r="C1098" s="1">
        <v>44971</v>
      </c>
      <c r="D1098" s="2">
        <v>12415</v>
      </c>
      <c r="E1098">
        <v>1</v>
      </c>
      <c r="I1098" s="2">
        <v>2586057582</v>
      </c>
      <c r="L1098">
        <v>0</v>
      </c>
      <c r="M1098" t="str">
        <f t="shared" si="17"/>
        <v>After 2020</v>
      </c>
    </row>
    <row r="1099" spans="1:13" hidden="1">
      <c r="A1099" t="s">
        <v>1701</v>
      </c>
      <c r="B1099" t="s">
        <v>182</v>
      </c>
      <c r="C1099" s="1">
        <v>44106</v>
      </c>
      <c r="D1099" s="2">
        <v>614603953</v>
      </c>
      <c r="E1099" s="2">
        <v>164722</v>
      </c>
      <c r="F1099">
        <v>78</v>
      </c>
      <c r="G1099" s="2">
        <v>164711656</v>
      </c>
      <c r="H1099" s="2">
        <v>1799801</v>
      </c>
      <c r="I1099" s="2">
        <v>162296330</v>
      </c>
      <c r="J1099">
        <v>25</v>
      </c>
      <c r="L1099">
        <v>1</v>
      </c>
      <c r="M1099" t="str">
        <f t="shared" si="17"/>
        <v>2010-2020</v>
      </c>
    </row>
    <row r="1100" spans="1:13" hidden="1">
      <c r="A1100" t="s">
        <v>1702</v>
      </c>
      <c r="B1100" t="s">
        <v>1703</v>
      </c>
      <c r="C1100" s="1">
        <v>45394</v>
      </c>
      <c r="D1100" s="2">
        <v>35980441</v>
      </c>
      <c r="E1100" s="2">
        <v>7297</v>
      </c>
      <c r="F1100">
        <v>79</v>
      </c>
      <c r="G1100" s="2">
        <v>1080994</v>
      </c>
      <c r="H1100" s="2">
        <v>55353</v>
      </c>
      <c r="J1100">
        <v>6</v>
      </c>
      <c r="K1100">
        <v>191</v>
      </c>
      <c r="L1100">
        <v>1</v>
      </c>
      <c r="M1100" t="str">
        <f t="shared" si="17"/>
        <v>After 2020</v>
      </c>
    </row>
    <row r="1101" spans="1:13">
      <c r="A1101" t="s">
        <v>1704</v>
      </c>
      <c r="B1101" t="s">
        <v>1705</v>
      </c>
      <c r="C1101" s="1">
        <v>45099</v>
      </c>
      <c r="D1101" s="2">
        <v>251442618</v>
      </c>
      <c r="E1101" s="2">
        <v>19913</v>
      </c>
      <c r="F1101">
        <v>71</v>
      </c>
      <c r="G1101" s="2">
        <v>209201810</v>
      </c>
      <c r="H1101" s="2">
        <v>958198</v>
      </c>
      <c r="I1101" s="2">
        <v>541965678</v>
      </c>
      <c r="J1101">
        <v>23</v>
      </c>
      <c r="K1101">
        <v>354</v>
      </c>
      <c r="L1101">
        <v>0</v>
      </c>
      <c r="M1101" t="str">
        <f t="shared" si="17"/>
        <v>After 2020</v>
      </c>
    </row>
    <row r="1102" spans="1:13">
      <c r="A1102" t="s">
        <v>1706</v>
      </c>
      <c r="B1102" t="s">
        <v>384</v>
      </c>
      <c r="C1102" s="1">
        <v>44869</v>
      </c>
      <c r="D1102" s="2">
        <v>600073400</v>
      </c>
      <c r="E1102" s="2">
        <v>73593</v>
      </c>
      <c r="F1102">
        <v>71</v>
      </c>
      <c r="G1102" s="2">
        <v>171936153</v>
      </c>
      <c r="H1102" s="2">
        <v>975795</v>
      </c>
      <c r="I1102" s="2">
        <v>450971538</v>
      </c>
      <c r="J1102">
        <v>24</v>
      </c>
      <c r="K1102">
        <v>50</v>
      </c>
      <c r="L1102">
        <v>0</v>
      </c>
      <c r="M1102" t="str">
        <f t="shared" si="17"/>
        <v>After 2020</v>
      </c>
    </row>
    <row r="1103" spans="1:13" hidden="1">
      <c r="A1103" t="s">
        <v>1707</v>
      </c>
      <c r="B1103" t="s">
        <v>1708</v>
      </c>
      <c r="C1103" s="1">
        <v>43820</v>
      </c>
      <c r="D1103" s="2">
        <v>102668822</v>
      </c>
      <c r="E1103" s="2">
        <v>8999</v>
      </c>
      <c r="F1103">
        <v>58</v>
      </c>
      <c r="G1103" s="2">
        <v>1111498706</v>
      </c>
      <c r="H1103" s="2">
        <v>6693422</v>
      </c>
      <c r="I1103" s="2">
        <v>557936748</v>
      </c>
      <c r="J1103">
        <v>14</v>
      </c>
      <c r="L1103">
        <v>0</v>
      </c>
      <c r="M1103" t="str">
        <f t="shared" si="17"/>
        <v>2010-2020</v>
      </c>
    </row>
    <row r="1104" spans="1:13">
      <c r="A1104" t="s">
        <v>1709</v>
      </c>
      <c r="B1104" t="s">
        <v>411</v>
      </c>
      <c r="C1104" s="1">
        <v>44914</v>
      </c>
      <c r="D1104" s="2">
        <v>614497357</v>
      </c>
      <c r="E1104" s="2">
        <v>47586</v>
      </c>
      <c r="F1104">
        <v>74</v>
      </c>
      <c r="G1104" s="2">
        <v>202069442</v>
      </c>
      <c r="H1104" s="2">
        <v>2934641</v>
      </c>
      <c r="I1104" s="2">
        <v>1587051148</v>
      </c>
      <c r="J1104">
        <v>44</v>
      </c>
      <c r="K1104">
        <v>20</v>
      </c>
      <c r="L1104">
        <v>0</v>
      </c>
      <c r="M1104" t="str">
        <f t="shared" si="17"/>
        <v>After 2020</v>
      </c>
    </row>
    <row r="1105" spans="1:13" hidden="1">
      <c r="A1105" t="s">
        <v>1710</v>
      </c>
      <c r="B1105" t="s">
        <v>1711</v>
      </c>
      <c r="C1105" s="1">
        <v>45313</v>
      </c>
      <c r="D1105" s="2">
        <v>61447714</v>
      </c>
      <c r="E1105" s="2">
        <v>2592</v>
      </c>
      <c r="G1105" s="2">
        <v>128967148</v>
      </c>
      <c r="H1105" s="2">
        <v>1382506</v>
      </c>
      <c r="J1105">
        <v>5</v>
      </c>
      <c r="L1105">
        <v>0</v>
      </c>
      <c r="M1105" t="str">
        <f t="shared" si="17"/>
        <v>After 2020</v>
      </c>
    </row>
    <row r="1106" spans="1:13" hidden="1">
      <c r="A1106" t="s">
        <v>38</v>
      </c>
      <c r="B1106" t="s">
        <v>39</v>
      </c>
      <c r="C1106" s="1">
        <v>45254</v>
      </c>
      <c r="D1106" s="2">
        <v>1642258500</v>
      </c>
      <c r="E1106">
        <v>11</v>
      </c>
      <c r="L1106">
        <v>1</v>
      </c>
      <c r="M1106" t="str">
        <f t="shared" si="17"/>
        <v>After 2020</v>
      </c>
    </row>
    <row r="1107" spans="1:13" hidden="1">
      <c r="A1107" t="s">
        <v>1712</v>
      </c>
      <c r="B1107" t="s">
        <v>411</v>
      </c>
      <c r="C1107" s="1">
        <v>45436</v>
      </c>
      <c r="D1107" s="2">
        <v>20630900</v>
      </c>
      <c r="E1107" s="2">
        <v>1536</v>
      </c>
      <c r="F1107">
        <v>76</v>
      </c>
      <c r="G1107" s="2">
        <v>14185984</v>
      </c>
      <c r="H1107" s="2">
        <v>119016</v>
      </c>
      <c r="J1107">
        <v>21</v>
      </c>
      <c r="K1107">
        <v>5</v>
      </c>
      <c r="L1107">
        <v>0</v>
      </c>
      <c r="M1107" t="str">
        <f t="shared" si="17"/>
        <v>After 2020</v>
      </c>
    </row>
    <row r="1108" spans="1:13" hidden="1">
      <c r="A1108" t="s">
        <v>1713</v>
      </c>
      <c r="B1108" t="s">
        <v>1714</v>
      </c>
      <c r="C1108" s="1">
        <v>45177</v>
      </c>
      <c r="D1108" s="2">
        <v>5741262</v>
      </c>
      <c r="E1108">
        <v>275</v>
      </c>
      <c r="G1108" s="2">
        <v>272927101</v>
      </c>
      <c r="H1108" s="2">
        <v>395965</v>
      </c>
      <c r="I1108" s="2">
        <v>11056</v>
      </c>
      <c r="L1108">
        <v>0</v>
      </c>
      <c r="M1108" t="str">
        <f t="shared" si="17"/>
        <v>After 2020</v>
      </c>
    </row>
    <row r="1109" spans="1:13" hidden="1">
      <c r="A1109" t="s">
        <v>1715</v>
      </c>
      <c r="B1109" t="s">
        <v>1716</v>
      </c>
      <c r="C1109" s="1">
        <v>45315</v>
      </c>
      <c r="D1109" s="2">
        <v>60903416</v>
      </c>
      <c r="E1109" s="2">
        <v>4743</v>
      </c>
      <c r="G1109" s="2">
        <v>122003102</v>
      </c>
      <c r="H1109" s="2">
        <v>4890890</v>
      </c>
      <c r="I1109" s="2">
        <v>712700</v>
      </c>
      <c r="J1109">
        <v>15</v>
      </c>
      <c r="L1109">
        <v>0</v>
      </c>
      <c r="M1109" t="str">
        <f t="shared" si="17"/>
        <v>After 2020</v>
      </c>
    </row>
    <row r="1110" spans="1:13" hidden="1">
      <c r="A1110" t="s">
        <v>1717</v>
      </c>
      <c r="B1110" t="s">
        <v>238</v>
      </c>
      <c r="C1110" s="1">
        <v>45261</v>
      </c>
      <c r="D1110" s="2">
        <v>106290197</v>
      </c>
      <c r="E1110" s="2">
        <v>11766</v>
      </c>
      <c r="F1110">
        <v>70</v>
      </c>
      <c r="G1110" s="2">
        <v>139655492</v>
      </c>
      <c r="H1110" s="2">
        <v>229044</v>
      </c>
      <c r="I1110">
        <v>245</v>
      </c>
      <c r="J1110">
        <v>4</v>
      </c>
      <c r="L1110">
        <v>1</v>
      </c>
      <c r="M1110" t="str">
        <f t="shared" si="17"/>
        <v>After 2020</v>
      </c>
    </row>
    <row r="1111" spans="1:13">
      <c r="A1111" t="s">
        <v>1718</v>
      </c>
      <c r="B1111" t="s">
        <v>1305</v>
      </c>
      <c r="C1111" s="1">
        <v>44474</v>
      </c>
      <c r="D1111" s="2">
        <v>912709169</v>
      </c>
      <c r="E1111" s="2">
        <v>94302</v>
      </c>
      <c r="F1111">
        <v>67</v>
      </c>
      <c r="G1111" s="2">
        <v>410395727</v>
      </c>
      <c r="H1111" s="2">
        <v>3097097</v>
      </c>
      <c r="I1111" s="2">
        <v>303742856</v>
      </c>
      <c r="J1111">
        <v>69</v>
      </c>
      <c r="K1111">
        <v>265</v>
      </c>
      <c r="L1111">
        <v>1</v>
      </c>
      <c r="M1111" t="str">
        <f t="shared" si="17"/>
        <v>After 2020</v>
      </c>
    </row>
    <row r="1112" spans="1:13">
      <c r="A1112" t="s">
        <v>1719</v>
      </c>
      <c r="B1112" t="s">
        <v>444</v>
      </c>
      <c r="C1112" s="1">
        <v>45100</v>
      </c>
      <c r="D1112" s="2">
        <v>268383799</v>
      </c>
      <c r="E1112" s="2">
        <v>47936</v>
      </c>
      <c r="F1112">
        <v>68</v>
      </c>
      <c r="G1112" s="2">
        <v>69047745</v>
      </c>
      <c r="H1112" s="2">
        <v>591951</v>
      </c>
      <c r="I1112" s="2">
        <v>103169265</v>
      </c>
      <c r="J1112">
        <v>61</v>
      </c>
      <c r="K1112">
        <v>6</v>
      </c>
      <c r="L1112">
        <v>1</v>
      </c>
      <c r="M1112" t="str">
        <f t="shared" si="17"/>
        <v>After 2020</v>
      </c>
    </row>
    <row r="1113" spans="1:13">
      <c r="A1113" t="s">
        <v>1720</v>
      </c>
      <c r="B1113" t="s">
        <v>1721</v>
      </c>
      <c r="C1113" s="1">
        <v>45233</v>
      </c>
      <c r="D1113" s="2">
        <v>271566931</v>
      </c>
      <c r="E1113" s="2">
        <v>33970</v>
      </c>
      <c r="F1113">
        <v>80</v>
      </c>
      <c r="G1113" s="2">
        <v>24725245</v>
      </c>
      <c r="H1113" s="2">
        <v>376377</v>
      </c>
      <c r="I1113" s="2">
        <v>8704294</v>
      </c>
      <c r="J1113">
        <v>15</v>
      </c>
      <c r="K1113">
        <v>75</v>
      </c>
      <c r="L1113">
        <v>1</v>
      </c>
      <c r="M1113" t="str">
        <f t="shared" si="17"/>
        <v>After 2020</v>
      </c>
    </row>
    <row r="1114" spans="1:13" hidden="1">
      <c r="A1114" t="s">
        <v>1722</v>
      </c>
      <c r="B1114" t="s">
        <v>1723</v>
      </c>
      <c r="C1114" s="1">
        <v>45254</v>
      </c>
      <c r="D1114" s="2">
        <v>235472222</v>
      </c>
      <c r="E1114" s="2">
        <v>10873</v>
      </c>
      <c r="F1114">
        <v>77</v>
      </c>
      <c r="G1114" s="2">
        <v>134079122</v>
      </c>
      <c r="H1114" s="2">
        <v>998592</v>
      </c>
      <c r="J1114">
        <v>14</v>
      </c>
      <c r="L1114">
        <v>0</v>
      </c>
      <c r="M1114" t="str">
        <f t="shared" si="17"/>
        <v>After 2020</v>
      </c>
    </row>
    <row r="1115" spans="1:13" hidden="1">
      <c r="A1115" t="s">
        <v>147</v>
      </c>
      <c r="B1115" t="s">
        <v>1724</v>
      </c>
      <c r="C1115" s="1">
        <v>45164</v>
      </c>
      <c r="D1115" s="2">
        <v>1842758768</v>
      </c>
      <c r="E1115">
        <v>1</v>
      </c>
      <c r="L1115">
        <v>1</v>
      </c>
      <c r="M1115" t="str">
        <f t="shared" si="17"/>
        <v>After 2020</v>
      </c>
    </row>
    <row r="1116" spans="1:13" hidden="1">
      <c r="A1116" t="s">
        <v>1725</v>
      </c>
      <c r="B1116" t="s">
        <v>444</v>
      </c>
      <c r="C1116" s="1">
        <v>44241</v>
      </c>
      <c r="D1116" s="2">
        <v>534981600</v>
      </c>
      <c r="E1116" s="2">
        <v>92466</v>
      </c>
      <c r="F1116">
        <v>64</v>
      </c>
      <c r="G1116" s="2">
        <v>607206864</v>
      </c>
      <c r="H1116" s="2">
        <v>3535828</v>
      </c>
      <c r="I1116" s="2">
        <v>2285726710</v>
      </c>
      <c r="J1116">
        <v>74</v>
      </c>
      <c r="L1116">
        <v>1</v>
      </c>
      <c r="M1116" t="str">
        <f t="shared" si="17"/>
        <v>After 2020</v>
      </c>
    </row>
    <row r="1117" spans="1:13">
      <c r="A1117" t="s">
        <v>1726</v>
      </c>
      <c r="B1117" t="s">
        <v>515</v>
      </c>
      <c r="C1117" s="1">
        <v>42136</v>
      </c>
      <c r="D1117" s="2">
        <v>1724766252</v>
      </c>
      <c r="E1117" s="2">
        <v>240346</v>
      </c>
      <c r="F1117">
        <v>79</v>
      </c>
      <c r="G1117" s="2">
        <v>1832805733</v>
      </c>
      <c r="H1117" s="2">
        <v>14628417</v>
      </c>
      <c r="I1117" s="2">
        <v>515516585</v>
      </c>
      <c r="J1117">
        <v>7</v>
      </c>
      <c r="K1117">
        <v>225</v>
      </c>
      <c r="L1117">
        <v>0</v>
      </c>
      <c r="M1117" t="str">
        <f t="shared" si="17"/>
        <v>2010-2020</v>
      </c>
    </row>
    <row r="1118" spans="1:13" hidden="1">
      <c r="A1118" t="s">
        <v>1727</v>
      </c>
      <c r="B1118" t="s">
        <v>1728</v>
      </c>
      <c r="C1118" s="1">
        <v>42986</v>
      </c>
      <c r="D1118" s="2">
        <v>7660758</v>
      </c>
      <c r="E1118" s="2">
        <v>2412</v>
      </c>
      <c r="F1118">
        <v>36</v>
      </c>
      <c r="G1118" s="2">
        <v>2384906510</v>
      </c>
      <c r="H1118" s="2">
        <v>17393433</v>
      </c>
      <c r="I1118" s="2">
        <v>2577621675</v>
      </c>
      <c r="K1118">
        <v>2</v>
      </c>
      <c r="L1118">
        <v>0</v>
      </c>
      <c r="M1118" t="str">
        <f t="shared" si="17"/>
        <v>2010-2020</v>
      </c>
    </row>
    <row r="1119" spans="1:13">
      <c r="A1119" t="s">
        <v>373</v>
      </c>
      <c r="B1119" t="s">
        <v>903</v>
      </c>
      <c r="C1119" s="1">
        <v>45120</v>
      </c>
      <c r="D1119" s="2">
        <v>299291405</v>
      </c>
      <c r="E1119" s="2">
        <v>45754</v>
      </c>
      <c r="F1119">
        <v>28</v>
      </c>
      <c r="G1119" s="2">
        <v>59684881</v>
      </c>
      <c r="H1119" s="2">
        <v>1156874</v>
      </c>
      <c r="I1119" s="2">
        <v>341762321</v>
      </c>
      <c r="J1119">
        <v>106</v>
      </c>
      <c r="K1119">
        <v>649</v>
      </c>
      <c r="L1119">
        <v>1</v>
      </c>
      <c r="M1119" t="str">
        <f t="shared" si="17"/>
        <v>After 2020</v>
      </c>
    </row>
    <row r="1120" spans="1:13">
      <c r="A1120" t="s">
        <v>1729</v>
      </c>
      <c r="B1120" t="s">
        <v>112</v>
      </c>
      <c r="C1120" s="1">
        <v>43860</v>
      </c>
      <c r="D1120" s="2">
        <v>967029446</v>
      </c>
      <c r="E1120" s="2">
        <v>108666</v>
      </c>
      <c r="F1120">
        <v>71</v>
      </c>
      <c r="G1120" s="2">
        <v>570687048</v>
      </c>
      <c r="H1120" s="2">
        <v>4489378</v>
      </c>
      <c r="I1120" s="2">
        <v>430832681</v>
      </c>
      <c r="J1120">
        <v>231</v>
      </c>
      <c r="K1120">
        <v>67</v>
      </c>
      <c r="L1120">
        <v>0</v>
      </c>
      <c r="M1120" t="str">
        <f t="shared" si="17"/>
        <v>2010-2020</v>
      </c>
    </row>
    <row r="1121" spans="1:13">
      <c r="A1121" t="s">
        <v>1730</v>
      </c>
      <c r="B1121" t="s">
        <v>1731</v>
      </c>
      <c r="C1121" s="1">
        <v>40179</v>
      </c>
      <c r="D1121" s="2">
        <v>1791778314</v>
      </c>
      <c r="E1121" s="2">
        <v>344490</v>
      </c>
      <c r="F1121">
        <v>81</v>
      </c>
      <c r="G1121" s="2">
        <v>599930123</v>
      </c>
      <c r="H1121" s="2">
        <v>5713061</v>
      </c>
      <c r="I1121" s="2">
        <v>2757623631</v>
      </c>
      <c r="J1121">
        <v>195</v>
      </c>
      <c r="K1121">
        <v>167</v>
      </c>
      <c r="L1121">
        <v>0</v>
      </c>
      <c r="M1121" t="str">
        <f t="shared" si="17"/>
        <v>2010-2020</v>
      </c>
    </row>
    <row r="1122" spans="1:13">
      <c r="A1122" t="s">
        <v>1732</v>
      </c>
      <c r="B1122" t="s">
        <v>449</v>
      </c>
      <c r="C1122" s="1">
        <v>43235</v>
      </c>
      <c r="D1122" s="2">
        <v>1110994645</v>
      </c>
      <c r="E1122" s="2">
        <v>186456</v>
      </c>
      <c r="F1122">
        <v>74</v>
      </c>
      <c r="G1122" s="2">
        <v>143629586</v>
      </c>
      <c r="H1122" s="2">
        <v>1388832</v>
      </c>
      <c r="I1122" s="2">
        <v>194904663</v>
      </c>
      <c r="J1122">
        <v>85</v>
      </c>
      <c r="K1122">
        <v>186</v>
      </c>
      <c r="L1122">
        <v>1</v>
      </c>
      <c r="M1122" t="str">
        <f t="shared" si="17"/>
        <v>2010-2020</v>
      </c>
    </row>
    <row r="1123" spans="1:13" hidden="1">
      <c r="A1123" t="s">
        <v>1733</v>
      </c>
      <c r="B1123" t="s">
        <v>148</v>
      </c>
      <c r="C1123" s="1">
        <v>44903</v>
      </c>
      <c r="D1123" s="2">
        <v>418181065</v>
      </c>
      <c r="E1123" s="2">
        <v>67858</v>
      </c>
      <c r="F1123">
        <v>76</v>
      </c>
      <c r="G1123" s="2">
        <v>87097570</v>
      </c>
      <c r="H1123" s="2">
        <v>675742</v>
      </c>
      <c r="I1123" s="2">
        <v>155757311</v>
      </c>
      <c r="J1123">
        <v>14</v>
      </c>
      <c r="L1123">
        <v>0</v>
      </c>
      <c r="M1123" t="str">
        <f t="shared" si="17"/>
        <v>After 2020</v>
      </c>
    </row>
    <row r="1124" spans="1:13">
      <c r="A1124" t="s">
        <v>1734</v>
      </c>
      <c r="B1124" t="s">
        <v>1735</v>
      </c>
      <c r="C1124" s="1">
        <v>44401</v>
      </c>
      <c r="D1124" s="2">
        <v>460770585</v>
      </c>
      <c r="E1124" s="2">
        <v>137449</v>
      </c>
      <c r="F1124">
        <v>9</v>
      </c>
      <c r="G1124" s="2">
        <v>129095680</v>
      </c>
      <c r="H1124" s="2">
        <v>2000723</v>
      </c>
      <c r="I1124" s="2">
        <v>5783885492</v>
      </c>
      <c r="J1124">
        <v>24</v>
      </c>
      <c r="K1124" s="2">
        <v>1191</v>
      </c>
      <c r="L1124">
        <v>1</v>
      </c>
      <c r="M1124" t="str">
        <f t="shared" si="17"/>
        <v>After 2020</v>
      </c>
    </row>
    <row r="1125" spans="1:13">
      <c r="A1125" t="s">
        <v>1736</v>
      </c>
      <c r="B1125" t="s">
        <v>674</v>
      </c>
      <c r="C1125" s="1">
        <v>41626</v>
      </c>
      <c r="D1125" s="2">
        <v>547207250</v>
      </c>
      <c r="E1125" s="2">
        <v>103666</v>
      </c>
      <c r="F1125">
        <v>65</v>
      </c>
      <c r="G1125" s="2">
        <v>1350062601</v>
      </c>
      <c r="H1125" s="2">
        <v>11897425</v>
      </c>
      <c r="I1125" s="2">
        <v>1943093911</v>
      </c>
      <c r="J1125">
        <v>135</v>
      </c>
      <c r="K1125">
        <v>113</v>
      </c>
      <c r="L1125">
        <v>0</v>
      </c>
      <c r="M1125" t="str">
        <f t="shared" si="17"/>
        <v>2010-2020</v>
      </c>
    </row>
    <row r="1126" spans="1:13" hidden="1">
      <c r="A1126" t="s">
        <v>1737</v>
      </c>
      <c r="B1126" t="s">
        <v>129</v>
      </c>
      <c r="C1126" s="1">
        <v>45079</v>
      </c>
      <c r="D1126" s="2">
        <v>234350961</v>
      </c>
      <c r="E1126" s="2">
        <v>56138</v>
      </c>
      <c r="F1126">
        <v>69</v>
      </c>
      <c r="G1126" s="2">
        <v>60645740</v>
      </c>
      <c r="H1126" s="2">
        <v>770219</v>
      </c>
      <c r="J1126">
        <v>59</v>
      </c>
      <c r="K1126">
        <v>59</v>
      </c>
      <c r="L1126">
        <v>0</v>
      </c>
      <c r="M1126" t="str">
        <f t="shared" si="17"/>
        <v>After 2020</v>
      </c>
    </row>
    <row r="1127" spans="1:13">
      <c r="A1127" t="s">
        <v>1738</v>
      </c>
      <c r="B1127" t="s">
        <v>305</v>
      </c>
      <c r="C1127" s="1">
        <v>44505</v>
      </c>
      <c r="D1127" s="2">
        <v>463977298</v>
      </c>
      <c r="E1127" s="2">
        <v>100305</v>
      </c>
      <c r="F1127">
        <v>66</v>
      </c>
      <c r="G1127" s="2">
        <v>219573887</v>
      </c>
      <c r="H1127" s="2">
        <v>2918828</v>
      </c>
      <c r="I1127" s="2">
        <v>26701713</v>
      </c>
      <c r="J1127">
        <v>81</v>
      </c>
      <c r="K1127">
        <v>388</v>
      </c>
      <c r="L1127">
        <v>0</v>
      </c>
      <c r="M1127" t="str">
        <f t="shared" si="17"/>
        <v>After 2020</v>
      </c>
    </row>
    <row r="1128" spans="1:13" hidden="1">
      <c r="A1128" t="s">
        <v>1739</v>
      </c>
      <c r="B1128" t="s">
        <v>1430</v>
      </c>
      <c r="C1128" s="1">
        <v>45421</v>
      </c>
      <c r="D1128" s="2">
        <v>13606839</v>
      </c>
      <c r="E1128">
        <v>836</v>
      </c>
      <c r="F1128">
        <v>70</v>
      </c>
      <c r="G1128" s="2">
        <v>32342705</v>
      </c>
      <c r="H1128" s="2">
        <v>498580</v>
      </c>
      <c r="J1128">
        <v>14</v>
      </c>
      <c r="L1128">
        <v>0</v>
      </c>
      <c r="M1128" t="str">
        <f t="shared" si="17"/>
        <v>After 2020</v>
      </c>
    </row>
    <row r="1129" spans="1:13" hidden="1">
      <c r="A1129" t="s">
        <v>1740</v>
      </c>
      <c r="B1129" t="s">
        <v>1741</v>
      </c>
      <c r="C1129" s="1">
        <v>45450</v>
      </c>
      <c r="D1129" s="2">
        <v>13700065</v>
      </c>
      <c r="E1129" s="2">
        <v>1162</v>
      </c>
      <c r="F1129">
        <v>74</v>
      </c>
      <c r="G1129" s="2">
        <v>466102</v>
      </c>
      <c r="H1129" s="2">
        <v>38791</v>
      </c>
      <c r="J1129">
        <v>69</v>
      </c>
      <c r="L1129">
        <v>0</v>
      </c>
      <c r="M1129" t="str">
        <f t="shared" si="17"/>
        <v>After 2020</v>
      </c>
    </row>
    <row r="1130" spans="1:13" hidden="1">
      <c r="A1130" t="s">
        <v>1742</v>
      </c>
      <c r="B1130" t="s">
        <v>1743</v>
      </c>
      <c r="C1130" s="1">
        <v>45197</v>
      </c>
      <c r="D1130" s="2">
        <v>20981562</v>
      </c>
      <c r="E1130">
        <v>379</v>
      </c>
      <c r="G1130" s="2">
        <v>272841611</v>
      </c>
      <c r="H1130" s="2">
        <v>1275934</v>
      </c>
      <c r="L1130">
        <v>0</v>
      </c>
      <c r="M1130" t="str">
        <f t="shared" si="17"/>
        <v>After 2020</v>
      </c>
    </row>
    <row r="1131" spans="1:13" hidden="1">
      <c r="A1131" t="s">
        <v>1744</v>
      </c>
      <c r="B1131" t="s">
        <v>1745</v>
      </c>
      <c r="C1131" s="1">
        <v>42811</v>
      </c>
      <c r="D1131" s="2">
        <v>364325529</v>
      </c>
      <c r="E1131" s="2">
        <v>83638</v>
      </c>
      <c r="F1131">
        <v>64</v>
      </c>
      <c r="G1131" s="2">
        <v>29708407</v>
      </c>
      <c r="H1131" s="2">
        <v>206341</v>
      </c>
      <c r="I1131" s="2">
        <v>16341869</v>
      </c>
      <c r="J1131">
        <v>15</v>
      </c>
      <c r="L1131">
        <v>1</v>
      </c>
      <c r="M1131" t="str">
        <f t="shared" si="17"/>
        <v>2010-2020</v>
      </c>
    </row>
    <row r="1132" spans="1:13" hidden="1">
      <c r="A1132" t="s">
        <v>1746</v>
      </c>
      <c r="B1132" t="s">
        <v>1659</v>
      </c>
      <c r="C1132" s="1">
        <v>43042</v>
      </c>
      <c r="D1132" s="2">
        <v>1778934858</v>
      </c>
      <c r="E1132" s="2">
        <v>37040</v>
      </c>
      <c r="F1132">
        <v>74</v>
      </c>
      <c r="G1132" s="2">
        <v>1915123572</v>
      </c>
      <c r="H1132" s="2">
        <v>6102709</v>
      </c>
      <c r="I1132" s="2">
        <v>158762431</v>
      </c>
      <c r="J1132">
        <v>12</v>
      </c>
      <c r="L1132">
        <v>0</v>
      </c>
      <c r="M1132" t="str">
        <f t="shared" si="17"/>
        <v>2010-2020</v>
      </c>
    </row>
    <row r="1133" spans="1:13">
      <c r="A1133" t="s">
        <v>1747</v>
      </c>
      <c r="B1133" t="s">
        <v>70</v>
      </c>
      <c r="C1133" s="1">
        <v>44757</v>
      </c>
      <c r="D1133" s="2">
        <v>817286460</v>
      </c>
      <c r="E1133" s="2">
        <v>55620</v>
      </c>
      <c r="F1133">
        <v>83</v>
      </c>
      <c r="G1133" s="2">
        <v>156580179</v>
      </c>
      <c r="H1133" s="2">
        <v>1685462</v>
      </c>
      <c r="I1133" s="2">
        <v>357890160</v>
      </c>
      <c r="J1133">
        <v>67</v>
      </c>
      <c r="K1133" s="2">
        <v>1122</v>
      </c>
      <c r="L1133">
        <v>0</v>
      </c>
      <c r="M1133" t="str">
        <f t="shared" si="17"/>
        <v>After 2020</v>
      </c>
    </row>
    <row r="1134" spans="1:13">
      <c r="A1134" t="s">
        <v>1748</v>
      </c>
      <c r="B1134" t="s">
        <v>471</v>
      </c>
      <c r="C1134" s="1">
        <v>44288</v>
      </c>
      <c r="D1134" s="2">
        <v>392745531</v>
      </c>
      <c r="E1134" s="2">
        <v>141221</v>
      </c>
      <c r="F1134">
        <v>67</v>
      </c>
      <c r="G1134" s="2">
        <v>96203913</v>
      </c>
      <c r="H1134" s="2">
        <v>1246093</v>
      </c>
      <c r="I1134" s="2">
        <v>137477748</v>
      </c>
      <c r="J1134">
        <v>21</v>
      </c>
      <c r="K1134">
        <v>3</v>
      </c>
      <c r="L1134">
        <v>1</v>
      </c>
      <c r="M1134" t="str">
        <f t="shared" si="17"/>
        <v>After 2020</v>
      </c>
    </row>
    <row r="1135" spans="1:13">
      <c r="A1135" t="s">
        <v>1749</v>
      </c>
      <c r="B1135" t="s">
        <v>879</v>
      </c>
      <c r="C1135" s="1">
        <v>43761</v>
      </c>
      <c r="D1135" s="2">
        <v>1222228366</v>
      </c>
      <c r="E1135" s="2">
        <v>109325</v>
      </c>
      <c r="F1135">
        <v>72</v>
      </c>
      <c r="G1135" s="2">
        <v>569150755</v>
      </c>
      <c r="H1135" s="2">
        <v>10176233</v>
      </c>
      <c r="I1135" s="2">
        <v>519924812</v>
      </c>
      <c r="J1135">
        <v>174</v>
      </c>
      <c r="K1135">
        <v>169</v>
      </c>
      <c r="L1135">
        <v>0</v>
      </c>
      <c r="M1135" t="str">
        <f t="shared" si="17"/>
        <v>2010-2020</v>
      </c>
    </row>
    <row r="1136" spans="1:13">
      <c r="A1136" t="s">
        <v>1750</v>
      </c>
      <c r="B1136" t="s">
        <v>1751</v>
      </c>
      <c r="C1136" s="1">
        <v>43504</v>
      </c>
      <c r="D1136" s="2">
        <v>340112388</v>
      </c>
      <c r="E1136" s="2">
        <v>66487</v>
      </c>
      <c r="F1136">
        <v>60</v>
      </c>
      <c r="G1136" s="2">
        <v>283340446</v>
      </c>
      <c r="H1136" s="2">
        <v>3313053</v>
      </c>
      <c r="I1136" s="2">
        <v>132694197</v>
      </c>
      <c r="J1136">
        <v>28</v>
      </c>
      <c r="K1136">
        <v>32</v>
      </c>
      <c r="L1136">
        <v>0</v>
      </c>
      <c r="M1136" t="str">
        <f t="shared" si="17"/>
        <v>2010-2020</v>
      </c>
    </row>
    <row r="1137" spans="1:13">
      <c r="A1137" t="s">
        <v>1752</v>
      </c>
      <c r="B1137" t="s">
        <v>1534</v>
      </c>
      <c r="C1137" s="1">
        <v>45016</v>
      </c>
      <c r="D1137" s="2">
        <v>86327319</v>
      </c>
      <c r="E1137" s="2">
        <v>18112</v>
      </c>
      <c r="F1137">
        <v>51</v>
      </c>
      <c r="G1137" s="2">
        <v>65828097</v>
      </c>
      <c r="H1137" s="2">
        <v>457580</v>
      </c>
      <c r="I1137" s="2">
        <v>137960911</v>
      </c>
      <c r="J1137">
        <v>18</v>
      </c>
      <c r="K1137" s="2">
        <v>1989</v>
      </c>
      <c r="L1137">
        <v>1</v>
      </c>
      <c r="M1137" t="str">
        <f t="shared" si="17"/>
        <v>After 2020</v>
      </c>
    </row>
    <row r="1138" spans="1:13" hidden="1">
      <c r="A1138" t="s">
        <v>1753</v>
      </c>
      <c r="B1138" t="s">
        <v>1754</v>
      </c>
      <c r="C1138" s="1">
        <v>40158</v>
      </c>
      <c r="D1138" s="2">
        <v>178536020</v>
      </c>
      <c r="E1138">
        <v>870</v>
      </c>
      <c r="F1138">
        <v>30</v>
      </c>
      <c r="G1138" s="2">
        <v>5049428366</v>
      </c>
      <c r="H1138" s="2">
        <v>20305999</v>
      </c>
      <c r="J1138">
        <v>1</v>
      </c>
      <c r="L1138">
        <v>0</v>
      </c>
      <c r="M1138" t="str">
        <f t="shared" si="17"/>
        <v>Before 2010</v>
      </c>
    </row>
    <row r="1139" spans="1:13">
      <c r="A1139" t="s">
        <v>1755</v>
      </c>
      <c r="B1139" t="s">
        <v>288</v>
      </c>
      <c r="C1139" s="1">
        <v>43509</v>
      </c>
      <c r="D1139" s="2">
        <v>1306374052</v>
      </c>
      <c r="E1139" s="2">
        <v>213493</v>
      </c>
      <c r="F1139">
        <v>73</v>
      </c>
      <c r="G1139" s="2">
        <v>606402216</v>
      </c>
      <c r="H1139" s="2">
        <v>5432558</v>
      </c>
      <c r="I1139" s="2">
        <v>281781468</v>
      </c>
      <c r="J1139">
        <v>45</v>
      </c>
      <c r="K1139">
        <v>198</v>
      </c>
      <c r="L1139">
        <v>1</v>
      </c>
      <c r="M1139" t="str">
        <f t="shared" si="17"/>
        <v>2010-2020</v>
      </c>
    </row>
    <row r="1140" spans="1:13">
      <c r="A1140" t="s">
        <v>1756</v>
      </c>
      <c r="B1140" t="s">
        <v>522</v>
      </c>
      <c r="C1140" s="1">
        <v>44911</v>
      </c>
      <c r="D1140" s="2">
        <v>562099076</v>
      </c>
      <c r="E1140" s="2">
        <v>51229</v>
      </c>
      <c r="F1140">
        <v>70</v>
      </c>
      <c r="G1140" s="2">
        <v>11080081</v>
      </c>
      <c r="H1140" s="2">
        <v>68671</v>
      </c>
      <c r="I1140" s="2">
        <v>1746059702</v>
      </c>
      <c r="J1140">
        <v>49</v>
      </c>
      <c r="K1140">
        <v>36</v>
      </c>
      <c r="L1140">
        <v>0</v>
      </c>
      <c r="M1140" t="str">
        <f t="shared" si="17"/>
        <v>After 2020</v>
      </c>
    </row>
    <row r="1141" spans="1:13">
      <c r="A1141" t="s">
        <v>1757</v>
      </c>
      <c r="B1141" t="s">
        <v>1758</v>
      </c>
      <c r="C1141" s="1">
        <v>44642</v>
      </c>
      <c r="D1141" s="2">
        <v>300430813</v>
      </c>
      <c r="E1141" s="2">
        <v>50552</v>
      </c>
      <c r="F1141">
        <v>69</v>
      </c>
      <c r="G1141" s="2">
        <v>103550086</v>
      </c>
      <c r="H1141" s="2">
        <v>844925</v>
      </c>
      <c r="I1141" s="2">
        <v>3375488113</v>
      </c>
      <c r="J1141">
        <v>51</v>
      </c>
      <c r="K1141">
        <v>46</v>
      </c>
      <c r="L1141">
        <v>0</v>
      </c>
      <c r="M1141" t="str">
        <f t="shared" si="17"/>
        <v>After 2020</v>
      </c>
    </row>
    <row r="1142" spans="1:13" hidden="1">
      <c r="A1142" t="s">
        <v>1759</v>
      </c>
      <c r="B1142" t="s">
        <v>1760</v>
      </c>
      <c r="C1142" s="1">
        <v>45071</v>
      </c>
      <c r="D1142" s="2">
        <v>110644306</v>
      </c>
      <c r="E1142" s="2">
        <v>4432</v>
      </c>
      <c r="F1142">
        <v>65</v>
      </c>
      <c r="G1142" s="2">
        <v>367432386</v>
      </c>
      <c r="H1142" s="2">
        <v>4091411</v>
      </c>
      <c r="L1142">
        <v>0</v>
      </c>
      <c r="M1142" t="str">
        <f t="shared" si="17"/>
        <v>After 2020</v>
      </c>
    </row>
    <row r="1143" spans="1:13">
      <c r="A1143" t="s">
        <v>1761</v>
      </c>
      <c r="B1143" t="s">
        <v>1762</v>
      </c>
      <c r="C1143" s="1">
        <v>44231</v>
      </c>
      <c r="D1143" s="2">
        <v>642558596</v>
      </c>
      <c r="E1143" s="2">
        <v>106151</v>
      </c>
      <c r="F1143">
        <v>64</v>
      </c>
      <c r="G1143" s="2">
        <v>357508658</v>
      </c>
      <c r="H1143" s="2">
        <v>2089382</v>
      </c>
      <c r="I1143" s="2">
        <v>2853555921</v>
      </c>
      <c r="J1143">
        <v>77</v>
      </c>
      <c r="K1143">
        <v>45</v>
      </c>
      <c r="L1143">
        <v>0</v>
      </c>
      <c r="M1143" t="str">
        <f t="shared" si="17"/>
        <v>After 2020</v>
      </c>
    </row>
    <row r="1144" spans="1:13">
      <c r="A1144" t="s">
        <v>1763</v>
      </c>
      <c r="B1144" t="s">
        <v>141</v>
      </c>
      <c r="C1144" s="1">
        <v>44687</v>
      </c>
      <c r="D1144" s="2">
        <v>831868563</v>
      </c>
      <c r="E1144" s="2">
        <v>93211</v>
      </c>
      <c r="F1144">
        <v>73</v>
      </c>
      <c r="G1144" s="2">
        <v>181498962</v>
      </c>
      <c r="H1144" s="2">
        <v>1237772</v>
      </c>
      <c r="I1144" s="2">
        <v>985066343</v>
      </c>
      <c r="J1144">
        <v>36</v>
      </c>
      <c r="K1144">
        <v>391</v>
      </c>
      <c r="L1144">
        <v>0</v>
      </c>
      <c r="M1144" t="str">
        <f t="shared" si="17"/>
        <v>After 2020</v>
      </c>
    </row>
    <row r="1145" spans="1:13" hidden="1">
      <c r="A1145" t="s">
        <v>1764</v>
      </c>
      <c r="B1145" t="s">
        <v>1765</v>
      </c>
      <c r="C1145" s="1">
        <v>43231</v>
      </c>
      <c r="D1145" s="2">
        <v>303962</v>
      </c>
      <c r="E1145">
        <v>88</v>
      </c>
      <c r="F1145">
        <v>8</v>
      </c>
      <c r="I1145" s="2">
        <v>137616390</v>
      </c>
      <c r="L1145">
        <v>0</v>
      </c>
      <c r="M1145" t="str">
        <f t="shared" si="17"/>
        <v>2010-2020</v>
      </c>
    </row>
    <row r="1146" spans="1:13" hidden="1">
      <c r="A1146" t="s">
        <v>1518</v>
      </c>
      <c r="B1146" t="s">
        <v>163</v>
      </c>
      <c r="C1146" s="1">
        <v>44896</v>
      </c>
      <c r="D1146" s="2">
        <v>51750</v>
      </c>
      <c r="E1146">
        <v>67</v>
      </c>
      <c r="G1146" s="2">
        <v>610569249</v>
      </c>
      <c r="H1146" s="2">
        <v>2662885</v>
      </c>
      <c r="L1146">
        <v>0</v>
      </c>
      <c r="M1146" t="str">
        <f t="shared" si="17"/>
        <v>After 2020</v>
      </c>
    </row>
    <row r="1147" spans="1:13">
      <c r="A1147" t="s">
        <v>1766</v>
      </c>
      <c r="B1147" t="s">
        <v>1767</v>
      </c>
      <c r="C1147" s="1">
        <v>42909</v>
      </c>
      <c r="D1147" s="2">
        <v>1059940209</v>
      </c>
      <c r="E1147" s="2">
        <v>169454</v>
      </c>
      <c r="F1147">
        <v>74</v>
      </c>
      <c r="G1147" s="2">
        <v>569314714</v>
      </c>
      <c r="H1147" s="2">
        <v>6558074</v>
      </c>
      <c r="I1147" s="2">
        <v>22241102823</v>
      </c>
      <c r="J1147">
        <v>15</v>
      </c>
      <c r="K1147">
        <v>556</v>
      </c>
      <c r="L1147">
        <v>0</v>
      </c>
      <c r="M1147" t="str">
        <f t="shared" si="17"/>
        <v>2010-2020</v>
      </c>
    </row>
    <row r="1148" spans="1:13">
      <c r="A1148" t="s">
        <v>1768</v>
      </c>
      <c r="B1148" t="s">
        <v>127</v>
      </c>
      <c r="C1148" s="1">
        <v>44232</v>
      </c>
      <c r="D1148" s="2">
        <v>812954133</v>
      </c>
      <c r="E1148" s="2">
        <v>137681</v>
      </c>
      <c r="F1148">
        <v>81</v>
      </c>
      <c r="G1148" s="2">
        <v>66369681</v>
      </c>
      <c r="H1148" s="2">
        <v>851906</v>
      </c>
      <c r="I1148" s="2">
        <v>797041217</v>
      </c>
      <c r="J1148">
        <v>147</v>
      </c>
      <c r="K1148">
        <v>7</v>
      </c>
      <c r="L1148">
        <v>1</v>
      </c>
      <c r="M1148" t="str">
        <f t="shared" si="17"/>
        <v>After 2020</v>
      </c>
    </row>
    <row r="1149" spans="1:13">
      <c r="A1149" t="s">
        <v>1769</v>
      </c>
      <c r="B1149" t="s">
        <v>1770</v>
      </c>
      <c r="C1149" s="1">
        <v>45149</v>
      </c>
      <c r="D1149" s="2">
        <v>129427492</v>
      </c>
      <c r="E1149" s="2">
        <v>44672</v>
      </c>
      <c r="F1149">
        <v>71</v>
      </c>
      <c r="G1149" s="2">
        <v>10933079</v>
      </c>
      <c r="H1149" s="2">
        <v>80021</v>
      </c>
      <c r="I1149" s="2">
        <v>135983684</v>
      </c>
      <c r="J1149">
        <v>69</v>
      </c>
      <c r="K1149">
        <v>3</v>
      </c>
      <c r="L1149">
        <v>0</v>
      </c>
      <c r="M1149" t="str">
        <f t="shared" si="17"/>
        <v>After 2020</v>
      </c>
    </row>
    <row r="1150" spans="1:13">
      <c r="A1150" t="s">
        <v>1771</v>
      </c>
      <c r="B1150" t="s">
        <v>1772</v>
      </c>
      <c r="C1150" s="1">
        <v>44589</v>
      </c>
      <c r="D1150" s="2">
        <v>360584207</v>
      </c>
      <c r="E1150" s="2">
        <v>68868</v>
      </c>
      <c r="F1150">
        <v>66</v>
      </c>
      <c r="G1150" s="2">
        <v>41254765</v>
      </c>
      <c r="H1150" s="2">
        <v>1015183</v>
      </c>
      <c r="I1150" s="2">
        <v>667895022</v>
      </c>
      <c r="J1150">
        <v>34</v>
      </c>
      <c r="K1150" s="2">
        <v>2116</v>
      </c>
      <c r="L1150">
        <v>0</v>
      </c>
      <c r="M1150" t="str">
        <f t="shared" si="17"/>
        <v>After 2020</v>
      </c>
    </row>
    <row r="1151" spans="1:13" hidden="1">
      <c r="A1151" t="s">
        <v>1773</v>
      </c>
      <c r="B1151" t="s">
        <v>420</v>
      </c>
      <c r="C1151" s="1">
        <v>45379</v>
      </c>
      <c r="D1151" s="2">
        <v>110377644</v>
      </c>
      <c r="E1151" s="2">
        <v>8980</v>
      </c>
      <c r="G1151" s="2">
        <v>10803398</v>
      </c>
      <c r="H1151" s="2">
        <v>190363</v>
      </c>
      <c r="I1151" s="2">
        <v>4211900</v>
      </c>
      <c r="J1151">
        <v>41</v>
      </c>
      <c r="K1151">
        <v>44</v>
      </c>
      <c r="L1151">
        <v>0</v>
      </c>
      <c r="M1151" t="str">
        <f t="shared" si="17"/>
        <v>After 2020</v>
      </c>
    </row>
    <row r="1152" spans="1:13">
      <c r="A1152" t="s">
        <v>1774</v>
      </c>
      <c r="B1152" t="s">
        <v>674</v>
      </c>
      <c r="C1152" s="1">
        <v>43629</v>
      </c>
      <c r="D1152" s="2">
        <v>822696809</v>
      </c>
      <c r="E1152" s="2">
        <v>141261</v>
      </c>
      <c r="F1152">
        <v>68</v>
      </c>
      <c r="G1152" s="2">
        <v>587804570</v>
      </c>
      <c r="H1152" s="2">
        <v>5432716</v>
      </c>
      <c r="I1152" s="2">
        <v>404031807</v>
      </c>
      <c r="J1152">
        <v>184</v>
      </c>
      <c r="K1152">
        <v>124</v>
      </c>
      <c r="L1152">
        <v>0</v>
      </c>
      <c r="M1152" t="str">
        <f t="shared" si="17"/>
        <v>2010-2020</v>
      </c>
    </row>
    <row r="1153" spans="1:13" hidden="1">
      <c r="A1153" t="s">
        <v>1775</v>
      </c>
      <c r="B1153" t="s">
        <v>1776</v>
      </c>
      <c r="C1153" s="1">
        <v>45127</v>
      </c>
      <c r="D1153" s="2">
        <v>222879686</v>
      </c>
      <c r="E1153" s="2">
        <v>26854</v>
      </c>
      <c r="F1153">
        <v>68</v>
      </c>
      <c r="G1153" s="2">
        <v>183254308</v>
      </c>
      <c r="H1153" s="2">
        <v>938331</v>
      </c>
      <c r="I1153" s="2">
        <v>315723211</v>
      </c>
      <c r="J1153">
        <v>16</v>
      </c>
      <c r="L1153">
        <v>1</v>
      </c>
      <c r="M1153" t="str">
        <f t="shared" si="17"/>
        <v>After 2020</v>
      </c>
    </row>
    <row r="1154" spans="1:13">
      <c r="A1154" t="s">
        <v>1777</v>
      </c>
      <c r="B1154" t="s">
        <v>983</v>
      </c>
      <c r="C1154" s="1">
        <v>43791</v>
      </c>
      <c r="D1154" s="2">
        <v>572441305</v>
      </c>
      <c r="E1154" s="2">
        <v>113061</v>
      </c>
      <c r="F1154">
        <v>67</v>
      </c>
      <c r="G1154" s="2">
        <v>317626075</v>
      </c>
      <c r="H1154" s="2">
        <v>4533617</v>
      </c>
      <c r="I1154" s="2">
        <v>1659032393</v>
      </c>
      <c r="J1154">
        <v>20</v>
      </c>
      <c r="K1154">
        <v>54</v>
      </c>
      <c r="L1154">
        <v>1</v>
      </c>
      <c r="M1154" t="str">
        <f t="shared" si="17"/>
        <v>2010-2020</v>
      </c>
    </row>
    <row r="1155" spans="1:13" hidden="1">
      <c r="A1155" t="s">
        <v>1778</v>
      </c>
      <c r="B1155" t="s">
        <v>1779</v>
      </c>
      <c r="C1155" s="1">
        <v>43508</v>
      </c>
      <c r="D1155" s="2">
        <v>72849488</v>
      </c>
      <c r="E1155" s="2">
        <v>9804</v>
      </c>
      <c r="F1155">
        <v>54</v>
      </c>
      <c r="G1155" s="2">
        <v>329389939</v>
      </c>
      <c r="H1155" s="2">
        <v>2348757</v>
      </c>
      <c r="I1155" s="2">
        <v>246534268</v>
      </c>
      <c r="J1155">
        <v>13</v>
      </c>
      <c r="L1155">
        <v>0</v>
      </c>
      <c r="M1155" t="str">
        <f t="shared" ref="M1155:M1218" si="18">IF(YEAR(C1155)&lt;2010,"Before 2010",IF(YEAR(C1155)&lt;=2020,"2010-2020","After 2020"))</f>
        <v>2010-2020</v>
      </c>
    </row>
    <row r="1156" spans="1:13">
      <c r="A1156" t="s">
        <v>1780</v>
      </c>
      <c r="B1156" t="s">
        <v>1781</v>
      </c>
      <c r="C1156" s="1">
        <v>44190</v>
      </c>
      <c r="D1156" s="2">
        <v>710319373</v>
      </c>
      <c r="E1156" s="2">
        <v>209136</v>
      </c>
      <c r="F1156">
        <v>74</v>
      </c>
      <c r="G1156" s="2">
        <v>183959519</v>
      </c>
      <c r="H1156" s="2">
        <v>2671075</v>
      </c>
      <c r="I1156" s="2">
        <v>363975031</v>
      </c>
      <c r="J1156">
        <v>31</v>
      </c>
      <c r="K1156">
        <v>59</v>
      </c>
      <c r="L1156">
        <v>1</v>
      </c>
      <c r="M1156" t="str">
        <f t="shared" si="18"/>
        <v>2010-2020</v>
      </c>
    </row>
    <row r="1157" spans="1:13" hidden="1">
      <c r="A1157" t="s">
        <v>1782</v>
      </c>
      <c r="B1157" t="s">
        <v>879</v>
      </c>
      <c r="C1157" s="1">
        <v>45344</v>
      </c>
      <c r="D1157" s="2">
        <v>45878045</v>
      </c>
      <c r="E1157" s="2">
        <v>3731</v>
      </c>
      <c r="G1157" s="2">
        <v>18082083</v>
      </c>
      <c r="H1157" s="2">
        <v>515908</v>
      </c>
      <c r="J1157">
        <v>50</v>
      </c>
      <c r="K1157">
        <v>150</v>
      </c>
      <c r="L1157">
        <v>0</v>
      </c>
      <c r="M1157" t="str">
        <f t="shared" si="18"/>
        <v>After 2020</v>
      </c>
    </row>
    <row r="1158" spans="1:13">
      <c r="A1158" t="s">
        <v>1783</v>
      </c>
      <c r="B1158" t="s">
        <v>357</v>
      </c>
      <c r="C1158" s="1">
        <v>40909</v>
      </c>
      <c r="D1158" s="2">
        <v>1828026153</v>
      </c>
      <c r="E1158" s="2">
        <v>249663</v>
      </c>
      <c r="F1158">
        <v>78</v>
      </c>
      <c r="G1158" s="2">
        <v>1051247406</v>
      </c>
      <c r="H1158" s="2">
        <v>7080472</v>
      </c>
      <c r="I1158" s="2">
        <v>397860038</v>
      </c>
      <c r="J1158">
        <v>58</v>
      </c>
      <c r="K1158">
        <v>135</v>
      </c>
      <c r="L1158">
        <v>1</v>
      </c>
      <c r="M1158" t="str">
        <f t="shared" si="18"/>
        <v>2010-2020</v>
      </c>
    </row>
    <row r="1159" spans="1:13" hidden="1">
      <c r="A1159" t="s">
        <v>1784</v>
      </c>
      <c r="B1159" t="s">
        <v>332</v>
      </c>
      <c r="C1159" s="1">
        <v>45392</v>
      </c>
      <c r="D1159" s="2">
        <v>59546208</v>
      </c>
      <c r="E1159" s="2">
        <v>5064</v>
      </c>
      <c r="F1159">
        <v>79</v>
      </c>
      <c r="G1159" s="2">
        <v>26823878</v>
      </c>
      <c r="H1159" s="2">
        <v>171145</v>
      </c>
      <c r="J1159">
        <v>32</v>
      </c>
      <c r="K1159">
        <v>13</v>
      </c>
      <c r="L1159">
        <v>1</v>
      </c>
      <c r="M1159" t="str">
        <f t="shared" si="18"/>
        <v>After 2020</v>
      </c>
    </row>
    <row r="1160" spans="1:13">
      <c r="A1160" t="s">
        <v>1785</v>
      </c>
      <c r="B1160" t="s">
        <v>1196</v>
      </c>
      <c r="C1160" s="1">
        <v>42874</v>
      </c>
      <c r="D1160" s="2">
        <v>1784308411</v>
      </c>
      <c r="E1160" s="2">
        <v>157818</v>
      </c>
      <c r="F1160">
        <v>75</v>
      </c>
      <c r="G1160" s="2">
        <v>837720618</v>
      </c>
      <c r="H1160" s="2">
        <v>7077307</v>
      </c>
      <c r="I1160" s="2">
        <v>886160801</v>
      </c>
      <c r="J1160">
        <v>92</v>
      </c>
      <c r="K1160">
        <v>241</v>
      </c>
      <c r="L1160">
        <v>0</v>
      </c>
      <c r="M1160" t="str">
        <f t="shared" si="18"/>
        <v>2010-2020</v>
      </c>
    </row>
    <row r="1161" spans="1:13">
      <c r="A1161" t="s">
        <v>1786</v>
      </c>
      <c r="B1161" t="s">
        <v>245</v>
      </c>
      <c r="C1161" s="1">
        <v>45072</v>
      </c>
      <c r="D1161" s="2">
        <v>127466467</v>
      </c>
      <c r="E1161" s="2">
        <v>16650</v>
      </c>
      <c r="F1161">
        <v>67</v>
      </c>
      <c r="G1161" s="2">
        <v>13668402</v>
      </c>
      <c r="H1161" s="2">
        <v>152488</v>
      </c>
      <c r="I1161" s="2">
        <v>9346042</v>
      </c>
      <c r="J1161">
        <v>57</v>
      </c>
      <c r="K1161">
        <v>710</v>
      </c>
      <c r="L1161">
        <v>0</v>
      </c>
      <c r="M1161" t="str">
        <f t="shared" si="18"/>
        <v>After 2020</v>
      </c>
    </row>
    <row r="1162" spans="1:13" hidden="1">
      <c r="A1162" t="s">
        <v>1787</v>
      </c>
      <c r="B1162" t="s">
        <v>424</v>
      </c>
      <c r="C1162" s="1">
        <v>45415</v>
      </c>
      <c r="D1162" s="2">
        <v>36145614</v>
      </c>
      <c r="E1162" s="2">
        <v>1566</v>
      </c>
      <c r="F1162">
        <v>77</v>
      </c>
      <c r="G1162" s="2">
        <v>26390813</v>
      </c>
      <c r="H1162" s="2">
        <v>239853</v>
      </c>
      <c r="J1162">
        <v>3</v>
      </c>
      <c r="L1162">
        <v>0</v>
      </c>
      <c r="M1162" t="str">
        <f t="shared" si="18"/>
        <v>After 2020</v>
      </c>
    </row>
    <row r="1163" spans="1:13" hidden="1">
      <c r="A1163" t="s">
        <v>799</v>
      </c>
      <c r="B1163" t="s">
        <v>800</v>
      </c>
      <c r="C1163" s="1">
        <v>43623</v>
      </c>
      <c r="E1163" s="2">
        <v>31705</v>
      </c>
      <c r="I1163" s="2">
        <v>22817879063</v>
      </c>
      <c r="J1163">
        <v>3</v>
      </c>
      <c r="L1163">
        <v>0</v>
      </c>
      <c r="M1163" t="str">
        <f t="shared" si="18"/>
        <v>2010-2020</v>
      </c>
    </row>
    <row r="1164" spans="1:13">
      <c r="A1164" t="s">
        <v>1788</v>
      </c>
      <c r="B1164" t="s">
        <v>1789</v>
      </c>
      <c r="C1164" s="1">
        <v>45181</v>
      </c>
      <c r="D1164" s="2">
        <v>128024416</v>
      </c>
      <c r="E1164" s="2">
        <v>20826</v>
      </c>
      <c r="F1164">
        <v>7</v>
      </c>
      <c r="G1164" s="2">
        <v>14394570</v>
      </c>
      <c r="H1164" s="2">
        <v>139320</v>
      </c>
      <c r="I1164" s="2">
        <v>8090936</v>
      </c>
      <c r="J1164">
        <v>73</v>
      </c>
      <c r="K1164">
        <v>77</v>
      </c>
      <c r="L1164">
        <v>0</v>
      </c>
      <c r="M1164" t="str">
        <f t="shared" si="18"/>
        <v>After 2020</v>
      </c>
    </row>
    <row r="1165" spans="1:13" hidden="1">
      <c r="A1165" t="s">
        <v>1790</v>
      </c>
      <c r="B1165" t="s">
        <v>1791</v>
      </c>
      <c r="C1165" s="1">
        <v>43984</v>
      </c>
      <c r="E1165" s="2">
        <v>2443</v>
      </c>
      <c r="F1165">
        <v>33</v>
      </c>
      <c r="G1165" s="2">
        <v>238798</v>
      </c>
      <c r="H1165" s="2">
        <v>10479</v>
      </c>
      <c r="I1165" s="2">
        <v>33201904006</v>
      </c>
      <c r="L1165">
        <v>0</v>
      </c>
      <c r="M1165" t="str">
        <f t="shared" si="18"/>
        <v>2010-2020</v>
      </c>
    </row>
    <row r="1166" spans="1:13">
      <c r="A1166" t="s">
        <v>1792</v>
      </c>
      <c r="B1166" t="s">
        <v>1618</v>
      </c>
      <c r="C1166" s="1">
        <v>44547</v>
      </c>
      <c r="D1166" s="2">
        <v>285723562</v>
      </c>
      <c r="E1166" s="2">
        <v>63343</v>
      </c>
      <c r="F1166">
        <v>63</v>
      </c>
      <c r="G1166" s="2">
        <v>316060497</v>
      </c>
      <c r="H1166" s="2">
        <v>3601489</v>
      </c>
      <c r="I1166" s="2">
        <v>6484877304</v>
      </c>
      <c r="J1166">
        <v>32</v>
      </c>
      <c r="K1166">
        <v>715</v>
      </c>
      <c r="L1166">
        <v>0</v>
      </c>
      <c r="M1166" t="str">
        <f t="shared" si="18"/>
        <v>After 2020</v>
      </c>
    </row>
    <row r="1167" spans="1:13">
      <c r="A1167" t="s">
        <v>1793</v>
      </c>
      <c r="B1167" t="s">
        <v>1794</v>
      </c>
      <c r="C1167" s="1">
        <v>44323</v>
      </c>
      <c r="D1167" s="2">
        <v>535695469</v>
      </c>
      <c r="E1167" s="2">
        <v>188778</v>
      </c>
      <c r="F1167">
        <v>6</v>
      </c>
      <c r="G1167" s="2">
        <v>171889127</v>
      </c>
      <c r="H1167" s="2">
        <v>3367746</v>
      </c>
      <c r="I1167" s="2">
        <v>1011224005</v>
      </c>
      <c r="J1167">
        <v>58</v>
      </c>
      <c r="K1167">
        <v>9</v>
      </c>
      <c r="L1167">
        <v>1</v>
      </c>
      <c r="M1167" t="str">
        <f t="shared" si="18"/>
        <v>After 2020</v>
      </c>
    </row>
    <row r="1168" spans="1:13" hidden="1">
      <c r="A1168" t="s">
        <v>1795</v>
      </c>
      <c r="B1168" t="s">
        <v>1796</v>
      </c>
      <c r="C1168" s="1">
        <v>45329</v>
      </c>
      <c r="D1168" s="2">
        <v>95029509</v>
      </c>
      <c r="E1168" s="2">
        <v>5218</v>
      </c>
      <c r="F1168">
        <v>65</v>
      </c>
      <c r="G1168" s="2">
        <v>73263450</v>
      </c>
      <c r="H1168" s="2">
        <v>405639</v>
      </c>
      <c r="J1168">
        <v>28</v>
      </c>
      <c r="L1168">
        <v>0</v>
      </c>
      <c r="M1168" t="str">
        <f t="shared" si="18"/>
        <v>After 2020</v>
      </c>
    </row>
    <row r="1169" spans="1:13" hidden="1">
      <c r="A1169" t="s">
        <v>1797</v>
      </c>
      <c r="B1169" t="s">
        <v>61</v>
      </c>
      <c r="C1169" s="1">
        <v>45400</v>
      </c>
      <c r="D1169" s="2">
        <v>161916445</v>
      </c>
      <c r="E1169" s="2">
        <v>3784</v>
      </c>
      <c r="F1169">
        <v>83</v>
      </c>
      <c r="G1169" s="2">
        <v>13509432</v>
      </c>
      <c r="H1169" s="2">
        <v>180327</v>
      </c>
      <c r="J1169">
        <v>32</v>
      </c>
      <c r="L1169">
        <v>0</v>
      </c>
      <c r="M1169" t="str">
        <f t="shared" si="18"/>
        <v>After 2020</v>
      </c>
    </row>
    <row r="1170" spans="1:13" hidden="1">
      <c r="A1170" t="s">
        <v>1798</v>
      </c>
      <c r="B1170" t="s">
        <v>1799</v>
      </c>
      <c r="C1170" s="1">
        <v>44967</v>
      </c>
      <c r="D1170" s="2">
        <v>12750</v>
      </c>
      <c r="E1170">
        <v>8</v>
      </c>
      <c r="F1170">
        <v>9</v>
      </c>
      <c r="G1170" s="2">
        <v>520926927</v>
      </c>
      <c r="H1170" s="2">
        <v>1601560</v>
      </c>
      <c r="L1170">
        <v>0</v>
      </c>
      <c r="M1170" t="str">
        <f t="shared" si="18"/>
        <v>After 2020</v>
      </c>
    </row>
    <row r="1171" spans="1:13" hidden="1">
      <c r="A1171" t="s">
        <v>1800</v>
      </c>
      <c r="B1171" t="s">
        <v>61</v>
      </c>
      <c r="C1171" s="1">
        <v>45400</v>
      </c>
      <c r="D1171" s="2">
        <v>140177107</v>
      </c>
      <c r="E1171" s="2">
        <v>3866</v>
      </c>
      <c r="G1171" s="2">
        <v>13707215</v>
      </c>
      <c r="H1171" s="2">
        <v>189148</v>
      </c>
      <c r="I1171" s="2">
        <v>45866138</v>
      </c>
      <c r="J1171">
        <v>19</v>
      </c>
      <c r="L1171">
        <v>1</v>
      </c>
      <c r="M1171" t="str">
        <f t="shared" si="18"/>
        <v>After 2020</v>
      </c>
    </row>
    <row r="1172" spans="1:13" hidden="1">
      <c r="A1172" t="s">
        <v>1801</v>
      </c>
      <c r="B1172" t="s">
        <v>288</v>
      </c>
      <c r="C1172" s="1">
        <v>43273</v>
      </c>
      <c r="D1172" s="2">
        <v>681282854</v>
      </c>
      <c r="E1172" s="2">
        <v>118639</v>
      </c>
      <c r="F1172">
        <v>63</v>
      </c>
      <c r="G1172" s="2">
        <v>186468599</v>
      </c>
      <c r="H1172" s="2">
        <v>1849004</v>
      </c>
      <c r="I1172" s="2">
        <v>157362351</v>
      </c>
      <c r="J1172">
        <v>16</v>
      </c>
      <c r="L1172">
        <v>1</v>
      </c>
      <c r="M1172" t="str">
        <f t="shared" si="18"/>
        <v>2010-2020</v>
      </c>
    </row>
    <row r="1173" spans="1:13">
      <c r="A1173" t="s">
        <v>1802</v>
      </c>
      <c r="B1173" t="s">
        <v>1803</v>
      </c>
      <c r="C1173" s="1">
        <v>42594</v>
      </c>
      <c r="D1173" s="2">
        <v>972005229</v>
      </c>
      <c r="E1173" s="2">
        <v>186174</v>
      </c>
      <c r="F1173">
        <v>69</v>
      </c>
      <c r="G1173" s="2">
        <v>1178473071</v>
      </c>
      <c r="H1173" s="2">
        <v>9750786</v>
      </c>
      <c r="I1173" s="2">
        <v>184153973</v>
      </c>
      <c r="J1173">
        <v>160</v>
      </c>
      <c r="K1173">
        <v>108</v>
      </c>
      <c r="L1173">
        <v>1</v>
      </c>
      <c r="M1173" t="str">
        <f t="shared" si="18"/>
        <v>2010-2020</v>
      </c>
    </row>
    <row r="1174" spans="1:13" hidden="1">
      <c r="A1174" t="s">
        <v>1804</v>
      </c>
      <c r="B1174" t="s">
        <v>216</v>
      </c>
      <c r="C1174" s="1">
        <v>44883</v>
      </c>
      <c r="D1174" s="2">
        <v>3248779</v>
      </c>
      <c r="E1174" s="2">
        <v>3105</v>
      </c>
      <c r="F1174">
        <v>33</v>
      </c>
      <c r="G1174" s="2">
        <v>590470795</v>
      </c>
      <c r="H1174" s="2">
        <v>8815644</v>
      </c>
      <c r="I1174" s="2">
        <v>297262</v>
      </c>
      <c r="L1174">
        <v>1</v>
      </c>
      <c r="M1174" t="str">
        <f t="shared" si="18"/>
        <v>After 2020</v>
      </c>
    </row>
    <row r="1175" spans="1:13">
      <c r="A1175" t="s">
        <v>1805</v>
      </c>
      <c r="B1175" t="s">
        <v>295</v>
      </c>
      <c r="C1175" s="1">
        <v>44442</v>
      </c>
      <c r="D1175" s="2">
        <v>459480135</v>
      </c>
      <c r="E1175" s="2">
        <v>137691</v>
      </c>
      <c r="F1175">
        <v>68</v>
      </c>
      <c r="G1175" s="2">
        <v>94845922</v>
      </c>
      <c r="H1175" s="2">
        <v>710635</v>
      </c>
      <c r="I1175" s="2">
        <v>550340528</v>
      </c>
      <c r="J1175">
        <v>77</v>
      </c>
      <c r="K1175">
        <v>608</v>
      </c>
      <c r="L1175">
        <v>1</v>
      </c>
      <c r="M1175" t="str">
        <f t="shared" si="18"/>
        <v>After 2020</v>
      </c>
    </row>
    <row r="1176" spans="1:13" hidden="1">
      <c r="A1176" t="s">
        <v>1806</v>
      </c>
      <c r="B1176" t="s">
        <v>1807</v>
      </c>
      <c r="C1176" s="1">
        <v>45443</v>
      </c>
      <c r="D1176" s="2">
        <v>8053814</v>
      </c>
      <c r="E1176">
        <v>908</v>
      </c>
      <c r="F1176">
        <v>69</v>
      </c>
      <c r="I1176" s="2">
        <v>345797900</v>
      </c>
      <c r="J1176">
        <v>16</v>
      </c>
      <c r="L1176">
        <v>0</v>
      </c>
      <c r="M1176" t="str">
        <f t="shared" si="18"/>
        <v>After 2020</v>
      </c>
    </row>
    <row r="1177" spans="1:13">
      <c r="A1177" t="s">
        <v>1808</v>
      </c>
      <c r="B1177" t="s">
        <v>434</v>
      </c>
      <c r="C1177" s="1">
        <v>43355</v>
      </c>
      <c r="D1177" s="2">
        <v>1291244134</v>
      </c>
      <c r="E1177" s="2">
        <v>241882</v>
      </c>
      <c r="F1177">
        <v>29</v>
      </c>
      <c r="G1177" s="2">
        <v>576756813</v>
      </c>
      <c r="H1177" s="2">
        <v>6989481</v>
      </c>
      <c r="I1177" s="2">
        <v>1853292133</v>
      </c>
      <c r="J1177">
        <v>39</v>
      </c>
      <c r="K1177">
        <v>116</v>
      </c>
      <c r="L1177">
        <v>1</v>
      </c>
      <c r="M1177" t="str">
        <f t="shared" si="18"/>
        <v>2010-2020</v>
      </c>
    </row>
    <row r="1178" spans="1:13" hidden="1">
      <c r="A1178" t="s">
        <v>1809</v>
      </c>
      <c r="B1178" t="s">
        <v>200</v>
      </c>
      <c r="C1178" s="1">
        <v>45176</v>
      </c>
      <c r="D1178" s="2">
        <v>222295526</v>
      </c>
      <c r="E1178" s="2">
        <v>18049</v>
      </c>
      <c r="G1178" s="2">
        <v>110937613</v>
      </c>
      <c r="H1178" s="2">
        <v>675774</v>
      </c>
      <c r="I1178" s="2">
        <v>83048</v>
      </c>
      <c r="J1178">
        <v>9</v>
      </c>
      <c r="K1178">
        <v>4</v>
      </c>
      <c r="L1178">
        <v>1</v>
      </c>
      <c r="M1178" t="str">
        <f t="shared" si="18"/>
        <v>After 2020</v>
      </c>
    </row>
    <row r="1179" spans="1:13">
      <c r="A1179" t="s">
        <v>1810</v>
      </c>
      <c r="B1179" t="s">
        <v>646</v>
      </c>
      <c r="C1179" s="1">
        <v>45380</v>
      </c>
      <c r="D1179" s="2">
        <v>63142772</v>
      </c>
      <c r="E1179" s="2">
        <v>7213</v>
      </c>
      <c r="F1179">
        <v>79</v>
      </c>
      <c r="G1179" s="2">
        <v>320436</v>
      </c>
      <c r="H1179" s="2">
        <v>6638</v>
      </c>
      <c r="I1179" s="2">
        <v>63352002</v>
      </c>
      <c r="J1179">
        <v>23</v>
      </c>
      <c r="K1179">
        <v>53</v>
      </c>
      <c r="L1179">
        <v>1</v>
      </c>
      <c r="M1179" t="str">
        <f t="shared" si="18"/>
        <v>After 2020</v>
      </c>
    </row>
    <row r="1180" spans="1:13">
      <c r="A1180" t="s">
        <v>1811</v>
      </c>
      <c r="B1180" t="s">
        <v>1812</v>
      </c>
      <c r="C1180" s="1">
        <v>44833</v>
      </c>
      <c r="D1180" s="2">
        <v>416361102</v>
      </c>
      <c r="E1180" s="2">
        <v>48450</v>
      </c>
      <c r="F1180">
        <v>69</v>
      </c>
      <c r="G1180" s="2">
        <v>251373932</v>
      </c>
      <c r="H1180" s="2">
        <v>911711</v>
      </c>
      <c r="I1180" s="2">
        <v>1931498021</v>
      </c>
      <c r="J1180">
        <v>42</v>
      </c>
      <c r="K1180">
        <v>26</v>
      </c>
      <c r="L1180">
        <v>0</v>
      </c>
      <c r="M1180" t="str">
        <f t="shared" si="18"/>
        <v>After 2020</v>
      </c>
    </row>
    <row r="1181" spans="1:13">
      <c r="A1181" t="s">
        <v>1813</v>
      </c>
      <c r="B1181" t="s">
        <v>1814</v>
      </c>
      <c r="C1181" s="1">
        <v>43357</v>
      </c>
      <c r="D1181" s="2">
        <v>996942947</v>
      </c>
      <c r="E1181" s="2">
        <v>188378</v>
      </c>
      <c r="F1181">
        <v>71</v>
      </c>
      <c r="G1181" s="2">
        <v>614755305</v>
      </c>
      <c r="H1181" s="2">
        <v>5707814</v>
      </c>
      <c r="I1181" s="2">
        <v>424030507</v>
      </c>
      <c r="J1181">
        <v>40</v>
      </c>
      <c r="K1181">
        <v>56</v>
      </c>
      <c r="L1181">
        <v>1</v>
      </c>
      <c r="M1181" t="str">
        <f t="shared" si="18"/>
        <v>2010-2020</v>
      </c>
    </row>
    <row r="1182" spans="1:13" hidden="1">
      <c r="A1182" t="s">
        <v>1815</v>
      </c>
      <c r="B1182" t="s">
        <v>487</v>
      </c>
      <c r="C1182" s="1">
        <v>45373</v>
      </c>
      <c r="D1182" s="2">
        <v>195435575</v>
      </c>
      <c r="E1182">
        <v>15</v>
      </c>
      <c r="J1182">
        <v>1</v>
      </c>
      <c r="L1182">
        <v>0</v>
      </c>
      <c r="M1182" t="str">
        <f t="shared" si="18"/>
        <v>After 2020</v>
      </c>
    </row>
    <row r="1183" spans="1:13" hidden="1">
      <c r="A1183" t="s">
        <v>1816</v>
      </c>
      <c r="B1183" t="s">
        <v>155</v>
      </c>
      <c r="C1183" s="1">
        <v>45394</v>
      </c>
      <c r="D1183" s="2">
        <v>497285757</v>
      </c>
      <c r="E1183">
        <v>130</v>
      </c>
      <c r="L1183">
        <v>0</v>
      </c>
      <c r="M1183" t="str">
        <f t="shared" si="18"/>
        <v>After 2020</v>
      </c>
    </row>
    <row r="1184" spans="1:13">
      <c r="A1184" t="s">
        <v>1817</v>
      </c>
      <c r="B1184" t="s">
        <v>576</v>
      </c>
      <c r="C1184" s="1">
        <v>45015</v>
      </c>
      <c r="D1184" s="2">
        <v>287853890</v>
      </c>
      <c r="E1184" s="2">
        <v>21244</v>
      </c>
      <c r="F1184">
        <v>65</v>
      </c>
      <c r="G1184" s="2">
        <v>267142398</v>
      </c>
      <c r="H1184" s="2">
        <v>1552179</v>
      </c>
      <c r="I1184" s="2">
        <v>550080768</v>
      </c>
      <c r="J1184">
        <v>31</v>
      </c>
      <c r="K1184">
        <v>65</v>
      </c>
      <c r="L1184">
        <v>0</v>
      </c>
      <c r="M1184" t="str">
        <f t="shared" si="18"/>
        <v>After 2020</v>
      </c>
    </row>
    <row r="1185" spans="1:13">
      <c r="A1185" t="s">
        <v>1818</v>
      </c>
      <c r="B1185" t="s">
        <v>1296</v>
      </c>
      <c r="C1185" s="1">
        <v>43573</v>
      </c>
      <c r="D1185" s="2">
        <v>693061510</v>
      </c>
      <c r="E1185" s="2">
        <v>73605</v>
      </c>
      <c r="F1185">
        <v>63</v>
      </c>
      <c r="G1185" s="2">
        <v>1315371330</v>
      </c>
      <c r="H1185" s="2">
        <v>9042596</v>
      </c>
      <c r="I1185" s="2">
        <v>81046643</v>
      </c>
      <c r="J1185">
        <v>56</v>
      </c>
      <c r="K1185">
        <v>30</v>
      </c>
      <c r="L1185">
        <v>1</v>
      </c>
      <c r="M1185" t="str">
        <f t="shared" si="18"/>
        <v>2010-2020</v>
      </c>
    </row>
    <row r="1186" spans="1:13">
      <c r="A1186" t="s">
        <v>1819</v>
      </c>
      <c r="B1186" t="s">
        <v>1820</v>
      </c>
      <c r="C1186" s="1">
        <v>44141</v>
      </c>
      <c r="D1186" s="2">
        <v>378239461</v>
      </c>
      <c r="E1186" s="2">
        <v>126894</v>
      </c>
      <c r="F1186">
        <v>62</v>
      </c>
      <c r="G1186" s="2">
        <v>477876565</v>
      </c>
      <c r="H1186" s="2">
        <v>3072709</v>
      </c>
      <c r="I1186" s="2">
        <v>230352883</v>
      </c>
      <c r="J1186">
        <v>72</v>
      </c>
      <c r="K1186">
        <v>198</v>
      </c>
      <c r="L1186">
        <v>1</v>
      </c>
      <c r="M1186" t="str">
        <f t="shared" si="18"/>
        <v>2010-2020</v>
      </c>
    </row>
    <row r="1187" spans="1:13" hidden="1">
      <c r="A1187" t="s">
        <v>1821</v>
      </c>
      <c r="B1187" t="s">
        <v>177</v>
      </c>
      <c r="C1187" s="1">
        <v>44183</v>
      </c>
      <c r="D1187" s="2">
        <v>492509763</v>
      </c>
      <c r="E1187" s="2">
        <v>83013</v>
      </c>
      <c r="F1187">
        <v>70</v>
      </c>
      <c r="G1187" s="2">
        <v>420395103</v>
      </c>
      <c r="H1187" s="2">
        <v>3706590</v>
      </c>
      <c r="I1187" s="2">
        <v>624633508</v>
      </c>
      <c r="J1187">
        <v>17</v>
      </c>
      <c r="L1187">
        <v>0</v>
      </c>
      <c r="M1187" t="str">
        <f t="shared" si="18"/>
        <v>2010-2020</v>
      </c>
    </row>
    <row r="1188" spans="1:13" hidden="1">
      <c r="A1188" t="s">
        <v>1822</v>
      </c>
      <c r="B1188" t="s">
        <v>1823</v>
      </c>
      <c r="C1188" s="1">
        <v>45296</v>
      </c>
      <c r="D1188" s="2">
        <v>206001461</v>
      </c>
      <c r="E1188" s="2">
        <v>15932</v>
      </c>
      <c r="F1188">
        <v>78</v>
      </c>
      <c r="G1188" s="2">
        <v>45907269</v>
      </c>
      <c r="H1188" s="2">
        <v>307741</v>
      </c>
      <c r="I1188" s="2">
        <v>13500000</v>
      </c>
      <c r="J1188">
        <v>14</v>
      </c>
      <c r="L1188">
        <v>0</v>
      </c>
      <c r="M1188" t="str">
        <f t="shared" si="18"/>
        <v>After 2020</v>
      </c>
    </row>
    <row r="1189" spans="1:13">
      <c r="A1189" t="s">
        <v>1824</v>
      </c>
      <c r="B1189" t="s">
        <v>715</v>
      </c>
      <c r="C1189" s="1">
        <v>45002</v>
      </c>
      <c r="D1189" s="2">
        <v>225556005</v>
      </c>
      <c r="E1189" s="2">
        <v>25164</v>
      </c>
      <c r="F1189">
        <v>73</v>
      </c>
      <c r="G1189" s="2">
        <v>23904394</v>
      </c>
      <c r="H1189" s="2">
        <v>111346</v>
      </c>
      <c r="I1189" s="2">
        <v>56949752</v>
      </c>
      <c r="J1189">
        <v>28</v>
      </c>
      <c r="K1189">
        <v>117</v>
      </c>
      <c r="L1189">
        <v>0</v>
      </c>
      <c r="M1189" t="str">
        <f t="shared" si="18"/>
        <v>After 2020</v>
      </c>
    </row>
    <row r="1190" spans="1:13">
      <c r="A1190" t="s">
        <v>1825</v>
      </c>
      <c r="B1190" t="s">
        <v>187</v>
      </c>
      <c r="C1190" s="1">
        <v>44631</v>
      </c>
      <c r="D1190" s="2">
        <v>144889291</v>
      </c>
      <c r="E1190" s="2">
        <v>63045</v>
      </c>
      <c r="F1190">
        <v>59</v>
      </c>
      <c r="G1190" s="2">
        <v>98375891</v>
      </c>
      <c r="H1190" s="2">
        <v>844144</v>
      </c>
      <c r="I1190" s="2">
        <v>515213856</v>
      </c>
      <c r="J1190">
        <v>31</v>
      </c>
      <c r="K1190">
        <v>726</v>
      </c>
      <c r="L1190">
        <v>1</v>
      </c>
      <c r="M1190" t="str">
        <f t="shared" si="18"/>
        <v>After 2020</v>
      </c>
    </row>
    <row r="1191" spans="1:13">
      <c r="A1191" t="s">
        <v>1826</v>
      </c>
      <c r="B1191" t="s">
        <v>184</v>
      </c>
      <c r="C1191" s="1">
        <v>42300</v>
      </c>
      <c r="D1191" s="2">
        <v>1550553401</v>
      </c>
      <c r="E1191" s="2">
        <v>140637</v>
      </c>
      <c r="F1191">
        <v>68</v>
      </c>
      <c r="G1191" s="2">
        <v>347935820</v>
      </c>
      <c r="H1191" s="2">
        <v>3794833</v>
      </c>
      <c r="I1191" s="2">
        <v>707793848</v>
      </c>
      <c r="J1191">
        <v>288</v>
      </c>
      <c r="K1191">
        <v>119</v>
      </c>
      <c r="L1191">
        <v>0</v>
      </c>
      <c r="M1191" t="str">
        <f t="shared" si="18"/>
        <v>2010-2020</v>
      </c>
    </row>
    <row r="1192" spans="1:13" hidden="1">
      <c r="A1192" t="s">
        <v>1827</v>
      </c>
      <c r="B1192" t="s">
        <v>1828</v>
      </c>
      <c r="C1192" s="1">
        <v>45379</v>
      </c>
      <c r="D1192" s="2">
        <v>22692011</v>
      </c>
      <c r="E1192" s="2">
        <v>1996</v>
      </c>
      <c r="F1192">
        <v>71</v>
      </c>
      <c r="G1192" s="2">
        <v>51510163</v>
      </c>
      <c r="H1192" s="2">
        <v>439315</v>
      </c>
      <c r="I1192" s="2">
        <v>84927420</v>
      </c>
      <c r="J1192">
        <v>13</v>
      </c>
      <c r="L1192">
        <v>0</v>
      </c>
      <c r="M1192" t="str">
        <f t="shared" si="18"/>
        <v>After 2020</v>
      </c>
    </row>
    <row r="1193" spans="1:13">
      <c r="A1193" t="s">
        <v>1829</v>
      </c>
      <c r="B1193" t="s">
        <v>705</v>
      </c>
      <c r="C1193" s="1">
        <v>44839</v>
      </c>
      <c r="D1193" s="2">
        <v>218661601</v>
      </c>
      <c r="E1193" s="2">
        <v>25714</v>
      </c>
      <c r="F1193">
        <v>57</v>
      </c>
      <c r="G1193" s="2">
        <v>173995566</v>
      </c>
      <c r="H1193" s="2">
        <v>1354818</v>
      </c>
      <c r="I1193" s="2">
        <v>2353588008</v>
      </c>
      <c r="J1193">
        <v>8</v>
      </c>
      <c r="K1193">
        <v>600</v>
      </c>
      <c r="L1193">
        <v>0</v>
      </c>
      <c r="M1193" t="str">
        <f t="shared" si="18"/>
        <v>After 2020</v>
      </c>
    </row>
    <row r="1194" spans="1:13">
      <c r="A1194" t="s">
        <v>1830</v>
      </c>
      <c r="B1194" t="s">
        <v>1831</v>
      </c>
      <c r="C1194" s="1">
        <v>45044</v>
      </c>
      <c r="D1194" s="2">
        <v>100360956</v>
      </c>
      <c r="E1194" s="2">
        <v>15383</v>
      </c>
      <c r="F1194">
        <v>69</v>
      </c>
      <c r="G1194" s="2">
        <v>12196961</v>
      </c>
      <c r="H1194" s="2">
        <v>98714</v>
      </c>
      <c r="I1194" s="2">
        <v>57109846</v>
      </c>
      <c r="J1194">
        <v>19</v>
      </c>
      <c r="K1194">
        <v>37</v>
      </c>
      <c r="L1194">
        <v>0</v>
      </c>
      <c r="M1194" t="str">
        <f t="shared" si="18"/>
        <v>After 2020</v>
      </c>
    </row>
    <row r="1195" spans="1:13">
      <c r="A1195" t="s">
        <v>1832</v>
      </c>
      <c r="B1195" t="s">
        <v>221</v>
      </c>
      <c r="C1195" s="1">
        <v>44967</v>
      </c>
      <c r="D1195" s="2">
        <v>164507374</v>
      </c>
      <c r="E1195" s="2">
        <v>29896</v>
      </c>
      <c r="F1195">
        <v>67</v>
      </c>
      <c r="G1195" s="2">
        <v>47201934</v>
      </c>
      <c r="H1195" s="2">
        <v>291689</v>
      </c>
      <c r="I1195" s="2">
        <v>220946119</v>
      </c>
      <c r="J1195">
        <v>20</v>
      </c>
      <c r="K1195">
        <v>4</v>
      </c>
      <c r="L1195">
        <v>0</v>
      </c>
      <c r="M1195" t="str">
        <f t="shared" si="18"/>
        <v>After 2020</v>
      </c>
    </row>
    <row r="1196" spans="1:13">
      <c r="A1196" t="s">
        <v>1833</v>
      </c>
      <c r="B1196" t="s">
        <v>1305</v>
      </c>
      <c r="C1196" s="1">
        <v>45106</v>
      </c>
      <c r="D1196" s="2">
        <v>368429447</v>
      </c>
      <c r="E1196" s="2">
        <v>46625</v>
      </c>
      <c r="F1196">
        <v>75</v>
      </c>
      <c r="G1196" s="2">
        <v>74049864</v>
      </c>
      <c r="H1196" s="2">
        <v>676666</v>
      </c>
      <c r="I1196" s="2">
        <v>6911099</v>
      </c>
      <c r="J1196">
        <v>52</v>
      </c>
      <c r="K1196">
        <v>49</v>
      </c>
      <c r="L1196">
        <v>1</v>
      </c>
      <c r="M1196" t="str">
        <f t="shared" si="18"/>
        <v>After 2020</v>
      </c>
    </row>
    <row r="1197" spans="1:13">
      <c r="A1197" t="s">
        <v>1834</v>
      </c>
      <c r="B1197" t="s">
        <v>19</v>
      </c>
      <c r="C1197" s="1">
        <v>44694</v>
      </c>
      <c r="D1197" s="2">
        <v>426936498</v>
      </c>
      <c r="E1197" s="2">
        <v>118020</v>
      </c>
      <c r="F1197">
        <v>74</v>
      </c>
      <c r="G1197" s="2">
        <v>124386115</v>
      </c>
      <c r="H1197" s="2">
        <v>2134071</v>
      </c>
      <c r="I1197" s="2">
        <v>186922543</v>
      </c>
      <c r="J1197">
        <v>48</v>
      </c>
      <c r="K1197">
        <v>122</v>
      </c>
      <c r="L1197">
        <v>1</v>
      </c>
      <c r="M1197" t="str">
        <f t="shared" si="18"/>
        <v>After 2020</v>
      </c>
    </row>
    <row r="1198" spans="1:13" hidden="1">
      <c r="A1198" t="s">
        <v>1835</v>
      </c>
      <c r="B1198" t="s">
        <v>129</v>
      </c>
      <c r="C1198" s="1">
        <v>44897</v>
      </c>
      <c r="D1198" s="2">
        <v>325654069</v>
      </c>
      <c r="E1198" s="2">
        <v>108296</v>
      </c>
      <c r="F1198">
        <v>71</v>
      </c>
      <c r="G1198" s="2">
        <v>21886334</v>
      </c>
      <c r="H1198" s="2">
        <v>217873</v>
      </c>
      <c r="I1198">
        <v>19</v>
      </c>
      <c r="J1198">
        <v>15</v>
      </c>
      <c r="L1198">
        <v>1</v>
      </c>
      <c r="M1198" t="str">
        <f t="shared" si="18"/>
        <v>After 2020</v>
      </c>
    </row>
    <row r="1199" spans="1:13" hidden="1">
      <c r="A1199" t="s">
        <v>1836</v>
      </c>
      <c r="B1199" t="s">
        <v>1837</v>
      </c>
      <c r="C1199" s="1">
        <v>44937</v>
      </c>
      <c r="D1199" s="2">
        <v>47586</v>
      </c>
      <c r="E1199">
        <v>60</v>
      </c>
      <c r="G1199" s="2">
        <v>543509003</v>
      </c>
      <c r="H1199" s="2">
        <v>3372617</v>
      </c>
      <c r="L1199">
        <v>0</v>
      </c>
      <c r="M1199" t="str">
        <f t="shared" si="18"/>
        <v>After 2020</v>
      </c>
    </row>
    <row r="1200" spans="1:13" hidden="1">
      <c r="A1200" t="s">
        <v>1838</v>
      </c>
      <c r="B1200" t="s">
        <v>1839</v>
      </c>
      <c r="C1200" s="1">
        <v>44876</v>
      </c>
      <c r="E1200">
        <v>9</v>
      </c>
      <c r="G1200" s="2">
        <v>631421040</v>
      </c>
      <c r="H1200" s="2">
        <v>3549192</v>
      </c>
      <c r="L1200">
        <v>0</v>
      </c>
      <c r="M1200" t="str">
        <f t="shared" si="18"/>
        <v>After 2020</v>
      </c>
    </row>
    <row r="1201" spans="1:13" hidden="1">
      <c r="A1201" t="s">
        <v>1816</v>
      </c>
      <c r="B1201" t="s">
        <v>155</v>
      </c>
      <c r="C1201" s="1">
        <v>45394</v>
      </c>
      <c r="D1201" s="2">
        <v>497285757</v>
      </c>
      <c r="E1201">
        <v>4</v>
      </c>
      <c r="L1201">
        <v>0</v>
      </c>
      <c r="M1201" t="str">
        <f t="shared" si="18"/>
        <v>After 2020</v>
      </c>
    </row>
    <row r="1202" spans="1:13">
      <c r="A1202" t="s">
        <v>1840</v>
      </c>
      <c r="B1202" t="s">
        <v>127</v>
      </c>
      <c r="C1202" s="1">
        <v>42045</v>
      </c>
      <c r="D1202" s="2">
        <v>1667089416</v>
      </c>
      <c r="E1202" s="2">
        <v>97707</v>
      </c>
      <c r="F1202">
        <v>69</v>
      </c>
      <c r="G1202" s="2">
        <v>955666073</v>
      </c>
      <c r="H1202" s="2">
        <v>8354260</v>
      </c>
      <c r="I1202" s="2">
        <v>1048617583</v>
      </c>
      <c r="J1202">
        <v>26</v>
      </c>
      <c r="K1202">
        <v>91</v>
      </c>
      <c r="L1202">
        <v>1</v>
      </c>
      <c r="M1202" t="str">
        <f t="shared" si="18"/>
        <v>2010-2020</v>
      </c>
    </row>
    <row r="1203" spans="1:13">
      <c r="A1203" t="s">
        <v>1841</v>
      </c>
      <c r="B1203" t="s">
        <v>1842</v>
      </c>
      <c r="C1203" s="1">
        <v>42978</v>
      </c>
      <c r="D1203" s="2">
        <v>648757330</v>
      </c>
      <c r="E1203" s="2">
        <v>66961</v>
      </c>
      <c r="F1203">
        <v>55</v>
      </c>
      <c r="G1203" s="2">
        <v>1402505864</v>
      </c>
      <c r="H1203" s="2">
        <v>15657910</v>
      </c>
      <c r="I1203" s="2">
        <v>243585831</v>
      </c>
      <c r="J1203">
        <v>62</v>
      </c>
      <c r="K1203">
        <v>6</v>
      </c>
      <c r="L1203">
        <v>1</v>
      </c>
      <c r="M1203" t="str">
        <f t="shared" si="18"/>
        <v>2010-2020</v>
      </c>
    </row>
    <row r="1204" spans="1:13">
      <c r="A1204" t="s">
        <v>1843</v>
      </c>
      <c r="B1204" t="s">
        <v>180</v>
      </c>
      <c r="C1204" s="1">
        <v>44554</v>
      </c>
      <c r="D1204" s="2">
        <v>255707376</v>
      </c>
      <c r="E1204" s="2">
        <v>35404</v>
      </c>
      <c r="F1204">
        <v>64</v>
      </c>
      <c r="G1204" s="2">
        <v>132383657</v>
      </c>
      <c r="H1204" s="2">
        <v>926647</v>
      </c>
      <c r="I1204" s="2">
        <v>3229349729</v>
      </c>
      <c r="J1204">
        <v>4</v>
      </c>
      <c r="K1204">
        <v>44</v>
      </c>
      <c r="L1204">
        <v>1</v>
      </c>
      <c r="M1204" t="str">
        <f t="shared" si="18"/>
        <v>After 2020</v>
      </c>
    </row>
    <row r="1205" spans="1:13">
      <c r="A1205" t="s">
        <v>1844</v>
      </c>
      <c r="B1205" t="s">
        <v>24</v>
      </c>
      <c r="C1205" s="1">
        <v>44995</v>
      </c>
      <c r="D1205" s="2">
        <v>173349210</v>
      </c>
      <c r="E1205" s="2">
        <v>22117</v>
      </c>
      <c r="F1205">
        <v>65</v>
      </c>
      <c r="G1205" s="2">
        <v>69971780</v>
      </c>
      <c r="H1205" s="2">
        <v>926126</v>
      </c>
      <c r="I1205" s="2">
        <v>120314198</v>
      </c>
      <c r="J1205">
        <v>40</v>
      </c>
      <c r="K1205">
        <v>416</v>
      </c>
      <c r="L1205">
        <v>1</v>
      </c>
      <c r="M1205" t="str">
        <f t="shared" si="18"/>
        <v>After 2020</v>
      </c>
    </row>
    <row r="1206" spans="1:13" hidden="1">
      <c r="A1206" t="s">
        <v>1845</v>
      </c>
      <c r="B1206" t="s">
        <v>200</v>
      </c>
      <c r="C1206" s="1">
        <v>45072</v>
      </c>
      <c r="D1206" s="2">
        <v>252239644</v>
      </c>
      <c r="E1206" s="2">
        <v>24974</v>
      </c>
      <c r="F1206">
        <v>65</v>
      </c>
      <c r="G1206" s="2">
        <v>157154307</v>
      </c>
      <c r="H1206" s="2">
        <v>1031138</v>
      </c>
      <c r="I1206" s="2">
        <v>1121997176</v>
      </c>
      <c r="J1206">
        <v>35</v>
      </c>
      <c r="L1206">
        <v>1</v>
      </c>
      <c r="M1206" t="str">
        <f t="shared" si="18"/>
        <v>After 2020</v>
      </c>
    </row>
    <row r="1207" spans="1:13">
      <c r="A1207" t="s">
        <v>1846</v>
      </c>
      <c r="B1207" t="s">
        <v>1847</v>
      </c>
      <c r="C1207" s="1">
        <v>44673</v>
      </c>
      <c r="D1207" s="2">
        <v>34621941</v>
      </c>
      <c r="E1207" s="2">
        <v>15846</v>
      </c>
      <c r="F1207">
        <v>36</v>
      </c>
      <c r="G1207" s="2">
        <v>4019929</v>
      </c>
      <c r="H1207" s="2">
        <v>89953</v>
      </c>
      <c r="I1207" s="2">
        <v>5720070197</v>
      </c>
      <c r="J1207">
        <v>1</v>
      </c>
      <c r="K1207">
        <v>734</v>
      </c>
      <c r="L1207">
        <v>1</v>
      </c>
      <c r="M1207" t="str">
        <f t="shared" si="18"/>
        <v>After 2020</v>
      </c>
    </row>
    <row r="1208" spans="1:13">
      <c r="A1208" t="s">
        <v>1848</v>
      </c>
      <c r="B1208" t="s">
        <v>879</v>
      </c>
      <c r="C1208" s="1">
        <v>43033</v>
      </c>
      <c r="D1208" s="2">
        <v>1358424406</v>
      </c>
      <c r="E1208" s="2">
        <v>123735</v>
      </c>
      <c r="F1208">
        <v>71</v>
      </c>
      <c r="G1208" s="2">
        <v>930929767</v>
      </c>
      <c r="H1208" s="2">
        <v>8736302</v>
      </c>
      <c r="I1208" s="2">
        <v>253791542</v>
      </c>
      <c r="J1208">
        <v>116</v>
      </c>
      <c r="K1208">
        <v>14</v>
      </c>
      <c r="L1208">
        <v>0</v>
      </c>
      <c r="M1208" t="str">
        <f t="shared" si="18"/>
        <v>2010-2020</v>
      </c>
    </row>
    <row r="1209" spans="1:13">
      <c r="A1209" t="s">
        <v>1849</v>
      </c>
      <c r="B1209" t="s">
        <v>1850</v>
      </c>
      <c r="C1209" s="1">
        <v>42321</v>
      </c>
      <c r="D1209" s="2">
        <v>1422563654</v>
      </c>
      <c r="E1209" s="2">
        <v>129568</v>
      </c>
      <c r="F1209">
        <v>71</v>
      </c>
      <c r="G1209" s="2">
        <v>710718042</v>
      </c>
      <c r="H1209" s="2">
        <v>9930759</v>
      </c>
      <c r="I1209" s="2">
        <v>736544909</v>
      </c>
      <c r="J1209">
        <v>138</v>
      </c>
      <c r="K1209">
        <v>288</v>
      </c>
      <c r="L1209">
        <v>0</v>
      </c>
      <c r="M1209" t="str">
        <f t="shared" si="18"/>
        <v>2010-2020</v>
      </c>
    </row>
    <row r="1210" spans="1:13">
      <c r="A1210" t="s">
        <v>1851</v>
      </c>
      <c r="B1210" t="s">
        <v>1852</v>
      </c>
      <c r="C1210" s="1">
        <v>45366</v>
      </c>
      <c r="D1210" s="2">
        <v>196612187</v>
      </c>
      <c r="E1210" s="2">
        <v>3800</v>
      </c>
      <c r="F1210">
        <v>85</v>
      </c>
      <c r="G1210" s="2">
        <v>38102046</v>
      </c>
      <c r="H1210" s="2">
        <v>2794580</v>
      </c>
      <c r="I1210" s="2">
        <v>26700</v>
      </c>
      <c r="J1210">
        <v>16</v>
      </c>
      <c r="K1210">
        <v>95</v>
      </c>
      <c r="L1210">
        <v>0</v>
      </c>
      <c r="M1210" t="str">
        <f t="shared" si="18"/>
        <v>After 2020</v>
      </c>
    </row>
    <row r="1211" spans="1:13">
      <c r="A1211" t="s">
        <v>1853</v>
      </c>
      <c r="B1211" t="s">
        <v>1854</v>
      </c>
      <c r="C1211" s="1">
        <v>44519</v>
      </c>
      <c r="D1211" s="2">
        <v>318018082</v>
      </c>
      <c r="E1211" s="2">
        <v>41062</v>
      </c>
      <c r="F1211">
        <v>65</v>
      </c>
      <c r="G1211" s="2">
        <v>580242930</v>
      </c>
      <c r="H1211" s="2">
        <v>3471774</v>
      </c>
      <c r="I1211" s="2">
        <v>1100134488</v>
      </c>
      <c r="J1211">
        <v>35</v>
      </c>
      <c r="K1211">
        <v>155</v>
      </c>
      <c r="L1211">
        <v>0</v>
      </c>
      <c r="M1211" t="str">
        <f t="shared" si="18"/>
        <v>After 2020</v>
      </c>
    </row>
    <row r="1212" spans="1:13" hidden="1">
      <c r="A1212" t="s">
        <v>1855</v>
      </c>
      <c r="B1212" t="s">
        <v>1312</v>
      </c>
      <c r="C1212" s="1">
        <v>45442</v>
      </c>
      <c r="D1212" s="2">
        <v>25593926</v>
      </c>
      <c r="E1212" s="2">
        <v>1247</v>
      </c>
      <c r="F1212">
        <v>78</v>
      </c>
      <c r="G1212" s="2">
        <v>7493616</v>
      </c>
      <c r="H1212" s="2">
        <v>162691</v>
      </c>
      <c r="J1212">
        <v>18</v>
      </c>
      <c r="L1212">
        <v>0</v>
      </c>
      <c r="M1212" t="str">
        <f t="shared" si="18"/>
        <v>After 2020</v>
      </c>
    </row>
    <row r="1213" spans="1:13">
      <c r="A1213" t="s">
        <v>1856</v>
      </c>
      <c r="B1213" t="s">
        <v>1857</v>
      </c>
      <c r="C1213" s="1">
        <v>44437</v>
      </c>
      <c r="D1213" s="2">
        <v>451323154</v>
      </c>
      <c r="E1213" s="2">
        <v>143071</v>
      </c>
      <c r="F1213">
        <v>67</v>
      </c>
      <c r="G1213" s="2">
        <v>75632640</v>
      </c>
      <c r="H1213" s="2">
        <v>1192980</v>
      </c>
      <c r="I1213" s="2">
        <v>4707280248</v>
      </c>
      <c r="J1213">
        <v>24</v>
      </c>
      <c r="K1213">
        <v>182</v>
      </c>
      <c r="L1213">
        <v>0</v>
      </c>
      <c r="M1213" t="str">
        <f t="shared" si="18"/>
        <v>After 2020</v>
      </c>
    </row>
    <row r="1214" spans="1:13" hidden="1">
      <c r="A1214" t="s">
        <v>1858</v>
      </c>
      <c r="B1214" t="s">
        <v>1859</v>
      </c>
      <c r="C1214" s="1">
        <v>45071</v>
      </c>
      <c r="D1214" s="2">
        <v>150508549</v>
      </c>
      <c r="E1214" s="2">
        <v>70377</v>
      </c>
      <c r="F1214">
        <v>70</v>
      </c>
      <c r="G1214" s="2">
        <v>31956891</v>
      </c>
      <c r="H1214" s="2">
        <v>485999</v>
      </c>
      <c r="J1214">
        <v>24</v>
      </c>
      <c r="L1214">
        <v>1</v>
      </c>
      <c r="M1214" t="str">
        <f t="shared" si="18"/>
        <v>After 2020</v>
      </c>
    </row>
    <row r="1215" spans="1:13">
      <c r="A1215" t="s">
        <v>1860</v>
      </c>
      <c r="B1215" t="s">
        <v>1102</v>
      </c>
      <c r="C1215" s="1">
        <v>44967</v>
      </c>
      <c r="D1215" s="2">
        <v>684103586</v>
      </c>
      <c r="E1215" s="2">
        <v>42304</v>
      </c>
      <c r="F1215">
        <v>76</v>
      </c>
      <c r="G1215" s="2">
        <v>125144381</v>
      </c>
      <c r="H1215" s="2">
        <v>583066</v>
      </c>
      <c r="I1215" s="2">
        <v>622470844</v>
      </c>
      <c r="J1215">
        <v>37</v>
      </c>
      <c r="K1215">
        <v>2</v>
      </c>
      <c r="L1215">
        <v>0</v>
      </c>
      <c r="M1215" t="str">
        <f t="shared" si="18"/>
        <v>After 2020</v>
      </c>
    </row>
    <row r="1216" spans="1:13">
      <c r="A1216" t="s">
        <v>1861</v>
      </c>
      <c r="B1216" t="s">
        <v>1862</v>
      </c>
      <c r="C1216" s="1">
        <v>43602</v>
      </c>
      <c r="D1216" s="2">
        <v>962546385</v>
      </c>
      <c r="E1216" s="2">
        <v>198786</v>
      </c>
      <c r="F1216">
        <v>76</v>
      </c>
      <c r="G1216" s="2">
        <v>262134097</v>
      </c>
      <c r="H1216" s="2">
        <v>4025958</v>
      </c>
      <c r="I1216" s="2">
        <v>247993418</v>
      </c>
      <c r="J1216">
        <v>106</v>
      </c>
      <c r="K1216">
        <v>1</v>
      </c>
      <c r="L1216">
        <v>1</v>
      </c>
      <c r="M1216" t="str">
        <f t="shared" si="18"/>
        <v>2010-2020</v>
      </c>
    </row>
    <row r="1217" spans="1:13">
      <c r="A1217" t="s">
        <v>1863</v>
      </c>
      <c r="B1217" t="s">
        <v>1355</v>
      </c>
      <c r="C1217" s="1">
        <v>44421</v>
      </c>
      <c r="D1217" s="2">
        <v>347218974</v>
      </c>
      <c r="E1217" s="2">
        <v>34933</v>
      </c>
      <c r="F1217">
        <v>57</v>
      </c>
      <c r="G1217" s="2">
        <v>662346628</v>
      </c>
      <c r="H1217" s="2">
        <v>2983631</v>
      </c>
      <c r="I1217" s="2">
        <v>394751759</v>
      </c>
      <c r="J1217">
        <v>23</v>
      </c>
      <c r="K1217">
        <v>312</v>
      </c>
      <c r="L1217">
        <v>0</v>
      </c>
      <c r="M1217" t="str">
        <f t="shared" si="18"/>
        <v>After 2020</v>
      </c>
    </row>
    <row r="1218" spans="1:13">
      <c r="A1218" t="s">
        <v>1864</v>
      </c>
      <c r="B1218" t="s">
        <v>22</v>
      </c>
      <c r="C1218" s="1">
        <v>45223</v>
      </c>
      <c r="D1218" s="2">
        <v>219995278</v>
      </c>
      <c r="E1218" s="2">
        <v>26538</v>
      </c>
      <c r="F1218">
        <v>78</v>
      </c>
      <c r="G1218" s="2">
        <v>25556375</v>
      </c>
      <c r="H1218" s="2">
        <v>392029</v>
      </c>
      <c r="I1218" s="2">
        <v>561266399</v>
      </c>
      <c r="J1218">
        <v>18</v>
      </c>
      <c r="K1218">
        <v>42</v>
      </c>
      <c r="L1218">
        <v>1</v>
      </c>
      <c r="M1218" t="str">
        <f t="shared" si="18"/>
        <v>After 2020</v>
      </c>
    </row>
    <row r="1219" spans="1:13" hidden="1">
      <c r="A1219" t="s">
        <v>1865</v>
      </c>
      <c r="B1219" t="s">
        <v>1312</v>
      </c>
      <c r="C1219" s="1">
        <v>44939</v>
      </c>
      <c r="D1219" s="2">
        <v>568846143</v>
      </c>
      <c r="E1219" s="2">
        <v>38126</v>
      </c>
      <c r="F1219">
        <v>76</v>
      </c>
      <c r="G1219" s="2">
        <v>209204080</v>
      </c>
      <c r="H1219" s="2">
        <v>876672</v>
      </c>
      <c r="I1219" s="2">
        <v>19351144</v>
      </c>
      <c r="J1219">
        <v>25</v>
      </c>
      <c r="L1219">
        <v>0</v>
      </c>
      <c r="M1219" t="str">
        <f t="shared" ref="M1219:M1282" si="19">IF(YEAR(C1219)&lt;2010,"Before 2010",IF(YEAR(C1219)&lt;=2020,"2010-2020","After 2020"))</f>
        <v>After 2020</v>
      </c>
    </row>
    <row r="1220" spans="1:13" hidden="1">
      <c r="A1220" t="s">
        <v>1866</v>
      </c>
      <c r="B1220" t="s">
        <v>772</v>
      </c>
      <c r="C1220" s="1">
        <v>45267</v>
      </c>
      <c r="D1220" s="2">
        <v>114947522</v>
      </c>
      <c r="E1220" s="2">
        <v>1384</v>
      </c>
      <c r="J1220">
        <v>10</v>
      </c>
      <c r="L1220">
        <v>0</v>
      </c>
      <c r="M1220" t="str">
        <f t="shared" si="19"/>
        <v>After 2020</v>
      </c>
    </row>
    <row r="1221" spans="1:13" hidden="1">
      <c r="A1221" t="s">
        <v>1867</v>
      </c>
      <c r="B1221" t="s">
        <v>1868</v>
      </c>
      <c r="C1221" s="1">
        <v>42881</v>
      </c>
      <c r="L1221">
        <v>0</v>
      </c>
      <c r="M1221" t="str">
        <f t="shared" si="19"/>
        <v>2010-2020</v>
      </c>
    </row>
    <row r="1222" spans="1:13">
      <c r="A1222" t="s">
        <v>1869</v>
      </c>
      <c r="B1222" t="s">
        <v>330</v>
      </c>
      <c r="C1222" s="1">
        <v>43805</v>
      </c>
      <c r="D1222" s="2">
        <v>703865912</v>
      </c>
      <c r="E1222" s="2">
        <v>78873</v>
      </c>
      <c r="F1222">
        <v>68</v>
      </c>
      <c r="G1222" s="2">
        <v>344504691</v>
      </c>
      <c r="H1222" s="2">
        <v>5473016</v>
      </c>
      <c r="I1222" s="2">
        <v>2298790080</v>
      </c>
      <c r="J1222">
        <v>74</v>
      </c>
      <c r="K1222">
        <v>170</v>
      </c>
      <c r="L1222">
        <v>0</v>
      </c>
      <c r="M1222" t="str">
        <f t="shared" si="19"/>
        <v>2010-2020</v>
      </c>
    </row>
    <row r="1223" spans="1:13">
      <c r="A1223" t="s">
        <v>1870</v>
      </c>
      <c r="B1223" t="s">
        <v>221</v>
      </c>
      <c r="C1223" s="1">
        <v>44127</v>
      </c>
      <c r="D1223" s="2">
        <v>472886929</v>
      </c>
      <c r="E1223" s="2">
        <v>66543</v>
      </c>
      <c r="F1223">
        <v>70</v>
      </c>
      <c r="G1223" s="2">
        <v>247466941</v>
      </c>
      <c r="H1223" s="2">
        <v>1347724</v>
      </c>
      <c r="I1223" s="2">
        <v>454676514</v>
      </c>
      <c r="J1223">
        <v>71</v>
      </c>
      <c r="K1223">
        <v>35</v>
      </c>
      <c r="L1223">
        <v>0</v>
      </c>
      <c r="M1223" t="str">
        <f t="shared" si="19"/>
        <v>2010-2020</v>
      </c>
    </row>
    <row r="1224" spans="1:13" hidden="1">
      <c r="A1224" t="s">
        <v>1871</v>
      </c>
      <c r="B1224" t="s">
        <v>53</v>
      </c>
      <c r="C1224" s="1">
        <v>45373</v>
      </c>
      <c r="D1224" s="2">
        <v>33224742</v>
      </c>
      <c r="E1224" s="2">
        <v>8465</v>
      </c>
      <c r="G1224" s="2">
        <v>6259257</v>
      </c>
      <c r="H1224" s="2">
        <v>65528</v>
      </c>
      <c r="J1224">
        <v>8</v>
      </c>
      <c r="L1224">
        <v>1</v>
      </c>
      <c r="M1224" t="str">
        <f t="shared" si="19"/>
        <v>After 2020</v>
      </c>
    </row>
    <row r="1225" spans="1:13" hidden="1">
      <c r="A1225" t="s">
        <v>1872</v>
      </c>
      <c r="B1225" t="s">
        <v>466</v>
      </c>
      <c r="C1225" s="1">
        <v>43761</v>
      </c>
      <c r="D1225" s="2">
        <v>628692</v>
      </c>
      <c r="E1225">
        <v>98</v>
      </c>
      <c r="F1225">
        <v>23</v>
      </c>
      <c r="G1225" s="2">
        <v>1754170433</v>
      </c>
      <c r="H1225" s="2">
        <v>3004414</v>
      </c>
      <c r="I1225" s="2">
        <v>669921</v>
      </c>
      <c r="L1225">
        <v>0</v>
      </c>
      <c r="M1225" t="str">
        <f t="shared" si="19"/>
        <v>2010-2020</v>
      </c>
    </row>
    <row r="1226" spans="1:13">
      <c r="A1226" t="s">
        <v>1873</v>
      </c>
      <c r="B1226" t="s">
        <v>355</v>
      </c>
      <c r="C1226" s="1">
        <v>44032</v>
      </c>
      <c r="D1226" s="2">
        <v>578061816</v>
      </c>
      <c r="E1226" s="2">
        <v>190490</v>
      </c>
      <c r="F1226">
        <v>67</v>
      </c>
      <c r="G1226" s="2">
        <v>261251373</v>
      </c>
      <c r="H1226" s="2">
        <v>2123833</v>
      </c>
      <c r="I1226" s="2">
        <v>259813719</v>
      </c>
      <c r="J1226">
        <v>28</v>
      </c>
      <c r="K1226">
        <v>121</v>
      </c>
      <c r="L1226">
        <v>1</v>
      </c>
      <c r="M1226" t="str">
        <f t="shared" si="19"/>
        <v>2010-2020</v>
      </c>
    </row>
    <row r="1227" spans="1:13">
      <c r="A1227" t="s">
        <v>1874</v>
      </c>
      <c r="B1227" t="s">
        <v>520</v>
      </c>
      <c r="C1227" s="1">
        <v>44722</v>
      </c>
      <c r="D1227" s="2">
        <v>401066217</v>
      </c>
      <c r="E1227" s="2">
        <v>70661</v>
      </c>
      <c r="F1227">
        <v>69</v>
      </c>
      <c r="G1227" s="2">
        <v>54641192</v>
      </c>
      <c r="H1227" s="2">
        <v>657641</v>
      </c>
      <c r="I1227" s="2">
        <v>172191</v>
      </c>
      <c r="J1227">
        <v>79</v>
      </c>
      <c r="K1227" s="2">
        <v>2585</v>
      </c>
      <c r="L1227">
        <v>0</v>
      </c>
      <c r="M1227" t="str">
        <f t="shared" si="19"/>
        <v>After 2020</v>
      </c>
    </row>
    <row r="1228" spans="1:13">
      <c r="A1228" t="s">
        <v>1875</v>
      </c>
      <c r="B1228" t="s">
        <v>1876</v>
      </c>
      <c r="C1228" s="1">
        <v>45080</v>
      </c>
      <c r="D1228" s="2">
        <v>27444985</v>
      </c>
      <c r="E1228" s="2">
        <v>8182</v>
      </c>
      <c r="F1228">
        <v>56</v>
      </c>
      <c r="G1228" s="2">
        <v>30407112</v>
      </c>
      <c r="H1228" s="2">
        <v>269687</v>
      </c>
      <c r="I1228" s="2">
        <v>619648663</v>
      </c>
      <c r="J1228">
        <v>18</v>
      </c>
      <c r="K1228">
        <v>11</v>
      </c>
      <c r="L1228">
        <v>0</v>
      </c>
      <c r="M1228" t="str">
        <f t="shared" si="19"/>
        <v>After 2020</v>
      </c>
    </row>
    <row r="1229" spans="1:13">
      <c r="A1229" t="s">
        <v>1877</v>
      </c>
      <c r="B1229" t="s">
        <v>1878</v>
      </c>
      <c r="C1229" s="1">
        <v>45002</v>
      </c>
      <c r="D1229" s="2">
        <v>228240866</v>
      </c>
      <c r="E1229" s="2">
        <v>33819</v>
      </c>
      <c r="F1229">
        <v>68</v>
      </c>
      <c r="G1229" s="2">
        <v>71928705</v>
      </c>
      <c r="H1229" s="2">
        <v>887392</v>
      </c>
      <c r="I1229" s="2">
        <v>1249845764</v>
      </c>
      <c r="J1229">
        <v>37</v>
      </c>
      <c r="K1229" s="2">
        <v>1642</v>
      </c>
      <c r="L1229">
        <v>1</v>
      </c>
      <c r="M1229" t="str">
        <f t="shared" si="19"/>
        <v>After 2020</v>
      </c>
    </row>
    <row r="1230" spans="1:13">
      <c r="A1230" t="s">
        <v>1879</v>
      </c>
      <c r="B1230" t="s">
        <v>1880</v>
      </c>
      <c r="C1230" s="1">
        <v>44496</v>
      </c>
      <c r="D1230" s="2">
        <v>452087681</v>
      </c>
      <c r="E1230" s="2">
        <v>66494</v>
      </c>
      <c r="F1230">
        <v>65</v>
      </c>
      <c r="G1230" s="2">
        <v>509694751</v>
      </c>
      <c r="H1230" s="2">
        <v>2049523</v>
      </c>
      <c r="I1230" s="2">
        <v>754567803</v>
      </c>
      <c r="J1230">
        <v>53</v>
      </c>
      <c r="K1230">
        <v>145</v>
      </c>
      <c r="L1230">
        <v>1</v>
      </c>
      <c r="M1230" t="str">
        <f t="shared" si="19"/>
        <v>After 2020</v>
      </c>
    </row>
    <row r="1231" spans="1:13" hidden="1">
      <c r="A1231" t="s">
        <v>1881</v>
      </c>
      <c r="B1231" t="s">
        <v>1882</v>
      </c>
      <c r="C1231" s="1">
        <v>44076</v>
      </c>
      <c r="D1231" s="2">
        <v>12933566</v>
      </c>
      <c r="E1231" s="2">
        <v>1887</v>
      </c>
      <c r="F1231">
        <v>51</v>
      </c>
      <c r="G1231" s="2">
        <v>1306329440</v>
      </c>
      <c r="H1231" s="2">
        <v>3311080</v>
      </c>
      <c r="I1231" s="2">
        <v>40068889</v>
      </c>
      <c r="L1231">
        <v>0</v>
      </c>
      <c r="M1231" t="str">
        <f t="shared" si="19"/>
        <v>2010-2020</v>
      </c>
    </row>
    <row r="1232" spans="1:13">
      <c r="A1232" t="s">
        <v>1883</v>
      </c>
      <c r="B1232" t="s">
        <v>1884</v>
      </c>
      <c r="C1232" s="1">
        <v>41275</v>
      </c>
      <c r="D1232" s="2">
        <v>2541833602</v>
      </c>
      <c r="E1232" s="2">
        <v>369150</v>
      </c>
      <c r="F1232">
        <v>80</v>
      </c>
      <c r="G1232" s="2">
        <v>533440453</v>
      </c>
      <c r="H1232" s="2">
        <v>4627060</v>
      </c>
      <c r="I1232" s="2">
        <v>3108986398</v>
      </c>
      <c r="J1232">
        <v>231</v>
      </c>
      <c r="K1232">
        <v>171</v>
      </c>
      <c r="L1232">
        <v>0</v>
      </c>
      <c r="M1232" t="str">
        <f t="shared" si="19"/>
        <v>2010-2020</v>
      </c>
    </row>
    <row r="1233" spans="1:13">
      <c r="A1233" t="s">
        <v>1885</v>
      </c>
      <c r="B1233" t="s">
        <v>522</v>
      </c>
      <c r="C1233" s="1">
        <v>44896</v>
      </c>
      <c r="D1233" s="2">
        <v>511421362</v>
      </c>
      <c r="E1233" s="2">
        <v>37923</v>
      </c>
      <c r="F1233">
        <v>75</v>
      </c>
      <c r="G1233" s="2">
        <v>265678775</v>
      </c>
      <c r="H1233" s="2">
        <v>844731</v>
      </c>
      <c r="I1233" s="2">
        <v>204148897</v>
      </c>
      <c r="J1233">
        <v>24</v>
      </c>
      <c r="K1233">
        <v>5</v>
      </c>
      <c r="L1233">
        <v>1</v>
      </c>
      <c r="M1233" t="str">
        <f t="shared" si="19"/>
        <v>After 2020</v>
      </c>
    </row>
    <row r="1234" spans="1:13">
      <c r="A1234" t="s">
        <v>1886</v>
      </c>
      <c r="B1234" t="s">
        <v>1887</v>
      </c>
      <c r="C1234" s="1">
        <v>44932</v>
      </c>
      <c r="D1234" s="2">
        <v>190126590</v>
      </c>
      <c r="E1234" s="2">
        <v>39734</v>
      </c>
      <c r="F1234">
        <v>63</v>
      </c>
      <c r="G1234" s="2">
        <v>71742798</v>
      </c>
      <c r="H1234" s="2">
        <v>984809</v>
      </c>
      <c r="I1234" s="2">
        <v>1435693104</v>
      </c>
      <c r="J1234">
        <v>47</v>
      </c>
      <c r="K1234" s="2">
        <v>2376</v>
      </c>
      <c r="L1234">
        <v>1</v>
      </c>
      <c r="M1234" t="str">
        <f t="shared" si="19"/>
        <v>After 2020</v>
      </c>
    </row>
    <row r="1235" spans="1:13" hidden="1">
      <c r="A1235" t="s">
        <v>1888</v>
      </c>
      <c r="B1235" t="s">
        <v>163</v>
      </c>
      <c r="C1235" s="1">
        <v>45421</v>
      </c>
      <c r="D1235" s="2">
        <v>29906024</v>
      </c>
      <c r="E1235" s="2">
        <v>1596</v>
      </c>
      <c r="F1235">
        <v>76</v>
      </c>
      <c r="G1235" s="2">
        <v>17263028</v>
      </c>
      <c r="H1235" s="2">
        <v>241869</v>
      </c>
      <c r="J1235">
        <v>14</v>
      </c>
      <c r="L1235">
        <v>0</v>
      </c>
      <c r="M1235" t="str">
        <f t="shared" si="19"/>
        <v>After 2020</v>
      </c>
    </row>
    <row r="1236" spans="1:13">
      <c r="A1236" t="s">
        <v>1889</v>
      </c>
      <c r="B1236" t="s">
        <v>1890</v>
      </c>
      <c r="C1236" s="1">
        <v>44750</v>
      </c>
      <c r="D1236" s="2">
        <v>315014005</v>
      </c>
      <c r="E1236" s="2">
        <v>61987</v>
      </c>
      <c r="F1236">
        <v>71</v>
      </c>
      <c r="G1236" s="2">
        <v>77564375</v>
      </c>
      <c r="H1236" s="2">
        <v>661614</v>
      </c>
      <c r="I1236" s="2">
        <v>366123920</v>
      </c>
      <c r="J1236">
        <v>27</v>
      </c>
      <c r="K1236">
        <v>21</v>
      </c>
      <c r="L1236">
        <v>1</v>
      </c>
      <c r="M1236" t="str">
        <f t="shared" si="19"/>
        <v>After 2020</v>
      </c>
    </row>
    <row r="1237" spans="1:13" hidden="1">
      <c r="A1237" t="s">
        <v>1891</v>
      </c>
      <c r="B1237" t="s">
        <v>288</v>
      </c>
      <c r="C1237" s="1">
        <v>43647</v>
      </c>
      <c r="D1237" s="2">
        <v>503584339</v>
      </c>
      <c r="E1237" s="2">
        <v>126610</v>
      </c>
      <c r="F1237">
        <v>72</v>
      </c>
      <c r="G1237" s="2">
        <v>125086953</v>
      </c>
      <c r="H1237" s="2">
        <v>1299743</v>
      </c>
      <c r="I1237" s="2">
        <v>126546185</v>
      </c>
      <c r="J1237">
        <v>14</v>
      </c>
      <c r="L1237">
        <v>1</v>
      </c>
      <c r="M1237" t="str">
        <f t="shared" si="19"/>
        <v>2010-2020</v>
      </c>
    </row>
    <row r="1238" spans="1:13">
      <c r="A1238" t="s">
        <v>1892</v>
      </c>
      <c r="B1238" t="s">
        <v>1893</v>
      </c>
      <c r="C1238" s="1">
        <v>42044</v>
      </c>
      <c r="D1238" s="2">
        <v>2097181065</v>
      </c>
      <c r="E1238" s="2">
        <v>286668</v>
      </c>
      <c r="F1238">
        <v>84</v>
      </c>
      <c r="G1238" s="2">
        <v>807672690</v>
      </c>
      <c r="H1238" s="2">
        <v>8866507</v>
      </c>
      <c r="I1238" s="2">
        <v>1722597041</v>
      </c>
      <c r="J1238">
        <v>78</v>
      </c>
      <c r="K1238">
        <v>43</v>
      </c>
      <c r="L1238">
        <v>0</v>
      </c>
      <c r="M1238" t="str">
        <f t="shared" si="19"/>
        <v>2010-2020</v>
      </c>
    </row>
    <row r="1239" spans="1:13">
      <c r="A1239" t="s">
        <v>1894</v>
      </c>
      <c r="B1239" t="s">
        <v>384</v>
      </c>
      <c r="C1239" s="1">
        <v>44910</v>
      </c>
      <c r="D1239" s="2">
        <v>347558532</v>
      </c>
      <c r="E1239" s="2">
        <v>68744</v>
      </c>
      <c r="F1239">
        <v>67</v>
      </c>
      <c r="G1239" s="2">
        <v>151166424</v>
      </c>
      <c r="H1239" s="2">
        <v>705558</v>
      </c>
      <c r="I1239" s="2">
        <v>323188246</v>
      </c>
      <c r="J1239">
        <v>18</v>
      </c>
      <c r="K1239">
        <v>9</v>
      </c>
      <c r="L1239">
        <v>0</v>
      </c>
      <c r="M1239" t="str">
        <f t="shared" si="19"/>
        <v>After 2020</v>
      </c>
    </row>
    <row r="1240" spans="1:13" hidden="1">
      <c r="A1240" t="s">
        <v>1895</v>
      </c>
      <c r="B1240" t="s">
        <v>1896</v>
      </c>
      <c r="C1240" s="1">
        <v>45009</v>
      </c>
      <c r="D1240" s="2">
        <v>29649</v>
      </c>
      <c r="E1240">
        <v>41</v>
      </c>
      <c r="F1240">
        <v>3</v>
      </c>
      <c r="G1240" s="2">
        <v>463192119</v>
      </c>
      <c r="H1240" s="2">
        <v>1356721</v>
      </c>
      <c r="L1240">
        <v>0</v>
      </c>
      <c r="M1240" t="str">
        <f t="shared" si="19"/>
        <v>After 2020</v>
      </c>
    </row>
    <row r="1241" spans="1:13" hidden="1">
      <c r="A1241" t="s">
        <v>1897</v>
      </c>
      <c r="B1241" t="s">
        <v>1139</v>
      </c>
      <c r="C1241" s="1">
        <v>45443</v>
      </c>
      <c r="D1241" s="2">
        <v>8981282</v>
      </c>
      <c r="E1241">
        <v>873</v>
      </c>
      <c r="F1241">
        <v>70</v>
      </c>
      <c r="G1241" s="2">
        <v>10058975</v>
      </c>
      <c r="H1241" s="2">
        <v>233142</v>
      </c>
      <c r="J1241">
        <v>14</v>
      </c>
      <c r="L1241">
        <v>0</v>
      </c>
      <c r="M1241" t="str">
        <f t="shared" si="19"/>
        <v>After 2020</v>
      </c>
    </row>
    <row r="1242" spans="1:13">
      <c r="A1242" t="s">
        <v>1898</v>
      </c>
      <c r="B1242" t="s">
        <v>747</v>
      </c>
      <c r="C1242" s="1">
        <v>44806</v>
      </c>
      <c r="D1242" s="2">
        <v>242057987</v>
      </c>
      <c r="E1242" s="2">
        <v>77898</v>
      </c>
      <c r="F1242">
        <v>67</v>
      </c>
      <c r="G1242" s="2">
        <v>39581789</v>
      </c>
      <c r="H1242" s="2">
        <v>457747</v>
      </c>
      <c r="I1242" s="2">
        <v>109453452</v>
      </c>
      <c r="J1242">
        <v>10</v>
      </c>
      <c r="K1242">
        <v>7</v>
      </c>
      <c r="L1242">
        <v>1</v>
      </c>
      <c r="M1242" t="str">
        <f t="shared" si="19"/>
        <v>After 2020</v>
      </c>
    </row>
    <row r="1243" spans="1:13" hidden="1">
      <c r="A1243" t="s">
        <v>1899</v>
      </c>
      <c r="B1243" t="s">
        <v>1900</v>
      </c>
      <c r="C1243" s="1">
        <v>45232</v>
      </c>
      <c r="D1243" s="2">
        <v>66843778</v>
      </c>
      <c r="E1243" s="2">
        <v>23455</v>
      </c>
      <c r="G1243" s="2">
        <v>52809148</v>
      </c>
      <c r="H1243" s="2">
        <v>1252936</v>
      </c>
      <c r="I1243" s="2">
        <v>151511760</v>
      </c>
      <c r="J1243">
        <v>36</v>
      </c>
      <c r="K1243">
        <v>5</v>
      </c>
      <c r="L1243">
        <v>0</v>
      </c>
      <c r="M1243" t="str">
        <f t="shared" si="19"/>
        <v>After 2020</v>
      </c>
    </row>
    <row r="1244" spans="1:13" hidden="1">
      <c r="A1244" t="s">
        <v>1901</v>
      </c>
      <c r="B1244" t="s">
        <v>1902</v>
      </c>
      <c r="C1244" s="1">
        <v>45014</v>
      </c>
      <c r="E1244">
        <v>4</v>
      </c>
      <c r="G1244" s="2">
        <v>466723346</v>
      </c>
      <c r="H1244" s="2">
        <v>563068</v>
      </c>
      <c r="L1244">
        <v>0</v>
      </c>
      <c r="M1244" t="str">
        <f t="shared" si="19"/>
        <v>After 2020</v>
      </c>
    </row>
    <row r="1245" spans="1:13" hidden="1">
      <c r="A1245" t="s">
        <v>1903</v>
      </c>
      <c r="B1245" t="s">
        <v>360</v>
      </c>
      <c r="C1245" s="1">
        <v>45401</v>
      </c>
      <c r="D1245" s="2">
        <v>36844307</v>
      </c>
      <c r="E1245" s="2">
        <v>4216</v>
      </c>
      <c r="F1245">
        <v>76</v>
      </c>
      <c r="G1245" s="2">
        <v>314701</v>
      </c>
      <c r="H1245" s="2">
        <v>7535</v>
      </c>
      <c r="J1245">
        <v>71</v>
      </c>
      <c r="K1245">
        <v>27</v>
      </c>
      <c r="L1245">
        <v>0</v>
      </c>
      <c r="M1245" t="str">
        <f t="shared" si="19"/>
        <v>After 2020</v>
      </c>
    </row>
    <row r="1246" spans="1:13" hidden="1">
      <c r="A1246" t="s">
        <v>1904</v>
      </c>
      <c r="B1246" t="s">
        <v>1905</v>
      </c>
      <c r="C1246" s="1">
        <v>45061</v>
      </c>
      <c r="D1246" s="2">
        <v>89701636</v>
      </c>
      <c r="E1246" s="2">
        <v>2561</v>
      </c>
      <c r="F1246">
        <v>57</v>
      </c>
      <c r="G1246" s="2">
        <v>375460772</v>
      </c>
      <c r="H1246" s="2">
        <v>3277504</v>
      </c>
      <c r="I1246" s="2">
        <v>15339768</v>
      </c>
      <c r="J1246">
        <v>3</v>
      </c>
      <c r="L1246">
        <v>0</v>
      </c>
      <c r="M1246" t="str">
        <f t="shared" si="19"/>
        <v>After 2020</v>
      </c>
    </row>
    <row r="1247" spans="1:13" hidden="1">
      <c r="A1247" t="s">
        <v>1906</v>
      </c>
      <c r="B1247" t="s">
        <v>449</v>
      </c>
      <c r="C1247" s="1">
        <v>44848</v>
      </c>
      <c r="D1247" s="2">
        <v>116994951</v>
      </c>
      <c r="E1247" s="2">
        <v>45626</v>
      </c>
      <c r="F1247">
        <v>61</v>
      </c>
      <c r="G1247" s="2">
        <v>152685892</v>
      </c>
      <c r="H1247" s="2">
        <v>733891</v>
      </c>
      <c r="J1247">
        <v>44</v>
      </c>
      <c r="K1247">
        <v>200</v>
      </c>
      <c r="L1247">
        <v>1</v>
      </c>
      <c r="M1247" t="str">
        <f t="shared" si="19"/>
        <v>After 2020</v>
      </c>
    </row>
    <row r="1248" spans="1:13">
      <c r="A1248" t="s">
        <v>1907</v>
      </c>
      <c r="B1248" t="s">
        <v>295</v>
      </c>
      <c r="C1248" s="1">
        <v>43280</v>
      </c>
      <c r="D1248" s="2">
        <v>1118459427</v>
      </c>
      <c r="E1248" s="2">
        <v>175188</v>
      </c>
      <c r="F1248">
        <v>71</v>
      </c>
      <c r="G1248" s="2">
        <v>409939539</v>
      </c>
      <c r="H1248" s="2">
        <v>3134200</v>
      </c>
      <c r="I1248" s="2">
        <v>2167216619</v>
      </c>
      <c r="J1248">
        <v>147</v>
      </c>
      <c r="K1248">
        <v>107</v>
      </c>
      <c r="L1248">
        <v>1</v>
      </c>
      <c r="M1248" t="str">
        <f t="shared" si="19"/>
        <v>2010-2020</v>
      </c>
    </row>
    <row r="1249" spans="1:13">
      <c r="A1249" t="s">
        <v>1908</v>
      </c>
      <c r="B1249" t="s">
        <v>920</v>
      </c>
      <c r="C1249" s="1">
        <v>44656</v>
      </c>
      <c r="D1249" s="2">
        <v>397988770</v>
      </c>
      <c r="E1249" s="2">
        <v>28165</v>
      </c>
      <c r="F1249">
        <v>69</v>
      </c>
      <c r="G1249" s="2">
        <v>583304882</v>
      </c>
      <c r="H1249" s="2">
        <v>4759365</v>
      </c>
      <c r="I1249" s="2">
        <v>1878718115</v>
      </c>
      <c r="J1249">
        <v>31</v>
      </c>
      <c r="K1249">
        <v>78</v>
      </c>
      <c r="L1249">
        <v>0</v>
      </c>
      <c r="M1249" t="str">
        <f t="shared" si="19"/>
        <v>After 2020</v>
      </c>
    </row>
    <row r="1250" spans="1:13" hidden="1">
      <c r="A1250" t="s">
        <v>1909</v>
      </c>
      <c r="B1250" t="s">
        <v>1910</v>
      </c>
      <c r="C1250" s="1">
        <v>45247</v>
      </c>
      <c r="D1250" s="2">
        <v>207103587</v>
      </c>
      <c r="E1250" s="2">
        <v>16933</v>
      </c>
      <c r="G1250" s="2">
        <v>85555081</v>
      </c>
      <c r="H1250" s="2">
        <v>727436</v>
      </c>
      <c r="J1250">
        <v>14</v>
      </c>
      <c r="K1250">
        <v>5</v>
      </c>
      <c r="L1250">
        <v>1</v>
      </c>
      <c r="M1250" t="str">
        <f t="shared" si="19"/>
        <v>After 2020</v>
      </c>
    </row>
    <row r="1251" spans="1:13">
      <c r="A1251" t="s">
        <v>1911</v>
      </c>
      <c r="B1251" t="s">
        <v>781</v>
      </c>
      <c r="C1251" s="1">
        <v>43875</v>
      </c>
      <c r="D1251" s="2">
        <v>416388749</v>
      </c>
      <c r="E1251" s="2">
        <v>112485</v>
      </c>
      <c r="F1251">
        <v>69</v>
      </c>
      <c r="G1251" s="2">
        <v>122253253</v>
      </c>
      <c r="H1251" s="2">
        <v>1631776</v>
      </c>
      <c r="I1251" s="2">
        <v>940333420</v>
      </c>
      <c r="J1251">
        <v>27</v>
      </c>
      <c r="K1251">
        <v>125</v>
      </c>
      <c r="L1251">
        <v>1</v>
      </c>
      <c r="M1251" t="str">
        <f t="shared" si="19"/>
        <v>2010-2020</v>
      </c>
    </row>
    <row r="1252" spans="1:13">
      <c r="A1252" t="s">
        <v>1912</v>
      </c>
      <c r="B1252" t="s">
        <v>1913</v>
      </c>
      <c r="C1252" s="1">
        <v>44029</v>
      </c>
      <c r="D1252" s="2">
        <v>712664065</v>
      </c>
      <c r="E1252" s="2">
        <v>165234</v>
      </c>
      <c r="F1252">
        <v>63</v>
      </c>
      <c r="G1252" s="2">
        <v>384597914</v>
      </c>
      <c r="H1252" s="2">
        <v>4775085</v>
      </c>
      <c r="I1252" s="2">
        <v>247613041</v>
      </c>
      <c r="J1252">
        <v>183</v>
      </c>
      <c r="K1252">
        <v>259</v>
      </c>
      <c r="L1252">
        <v>1</v>
      </c>
      <c r="M1252" t="str">
        <f t="shared" si="19"/>
        <v>2010-2020</v>
      </c>
    </row>
    <row r="1253" spans="1:13" hidden="1">
      <c r="A1253" t="s">
        <v>1914</v>
      </c>
      <c r="B1253" t="s">
        <v>1915</v>
      </c>
      <c r="C1253" s="1">
        <v>45351</v>
      </c>
      <c r="D1253" s="2">
        <v>71586678</v>
      </c>
      <c r="E1253" s="2">
        <v>6088</v>
      </c>
      <c r="F1253">
        <v>73</v>
      </c>
      <c r="G1253" s="2">
        <v>68170959</v>
      </c>
      <c r="H1253" s="2">
        <v>616414</v>
      </c>
      <c r="J1253">
        <v>17</v>
      </c>
      <c r="L1253">
        <v>1</v>
      </c>
      <c r="M1253" t="str">
        <f t="shared" si="19"/>
        <v>After 2020</v>
      </c>
    </row>
    <row r="1254" spans="1:13">
      <c r="A1254" t="s">
        <v>1916</v>
      </c>
      <c r="B1254" t="s">
        <v>391</v>
      </c>
      <c r="C1254" s="1">
        <v>44106</v>
      </c>
      <c r="D1254" s="2">
        <v>561712007</v>
      </c>
      <c r="E1254" s="2">
        <v>40766</v>
      </c>
      <c r="F1254">
        <v>65</v>
      </c>
      <c r="G1254" s="2">
        <v>959285337</v>
      </c>
      <c r="H1254" s="2">
        <v>16946156</v>
      </c>
      <c r="I1254" s="2">
        <v>694367550</v>
      </c>
      <c r="J1254">
        <v>55</v>
      </c>
      <c r="K1254">
        <v>9</v>
      </c>
      <c r="L1254">
        <v>0</v>
      </c>
      <c r="M1254" t="str">
        <f t="shared" si="19"/>
        <v>2010-2020</v>
      </c>
    </row>
    <row r="1255" spans="1:13" hidden="1">
      <c r="A1255" t="s">
        <v>1917</v>
      </c>
      <c r="B1255" t="s">
        <v>535</v>
      </c>
      <c r="C1255" s="1">
        <v>43237</v>
      </c>
      <c r="D1255" s="2">
        <v>1042065058</v>
      </c>
      <c r="E1255" s="2">
        <v>114049</v>
      </c>
      <c r="F1255">
        <v>64</v>
      </c>
      <c r="G1255" s="2">
        <v>90354845</v>
      </c>
      <c r="H1255" s="2">
        <v>1452644</v>
      </c>
      <c r="I1255" s="2">
        <v>3283690900</v>
      </c>
      <c r="J1255">
        <v>126</v>
      </c>
      <c r="L1255">
        <v>0</v>
      </c>
      <c r="M1255" t="str">
        <f t="shared" si="19"/>
        <v>2010-2020</v>
      </c>
    </row>
    <row r="1256" spans="1:13" hidden="1">
      <c r="A1256" t="s">
        <v>1918</v>
      </c>
      <c r="B1256" t="s">
        <v>1217</v>
      </c>
      <c r="C1256" s="1">
        <v>45384</v>
      </c>
      <c r="D1256" s="2">
        <v>50955386</v>
      </c>
      <c r="E1256" s="2">
        <v>2952</v>
      </c>
      <c r="F1256">
        <v>81</v>
      </c>
      <c r="G1256" s="2">
        <v>40003695</v>
      </c>
      <c r="H1256" s="2">
        <v>294012</v>
      </c>
      <c r="I1256" s="2">
        <v>40019764</v>
      </c>
      <c r="J1256">
        <v>40</v>
      </c>
      <c r="L1256">
        <v>0</v>
      </c>
      <c r="M1256" t="str">
        <f t="shared" si="19"/>
        <v>After 2020</v>
      </c>
    </row>
    <row r="1257" spans="1:13" hidden="1">
      <c r="A1257" t="s">
        <v>1919</v>
      </c>
      <c r="B1257" t="s">
        <v>1920</v>
      </c>
      <c r="C1257" s="1">
        <v>43882</v>
      </c>
      <c r="D1257" s="2">
        <v>54104852</v>
      </c>
      <c r="E1257" s="2">
        <v>14464</v>
      </c>
      <c r="F1257">
        <v>50</v>
      </c>
      <c r="I1257" s="2">
        <v>22902123485</v>
      </c>
      <c r="J1257">
        <v>5</v>
      </c>
      <c r="L1257">
        <v>0</v>
      </c>
      <c r="M1257" t="str">
        <f t="shared" si="19"/>
        <v>2010-2020</v>
      </c>
    </row>
    <row r="1258" spans="1:13" hidden="1">
      <c r="A1258" t="s">
        <v>1921</v>
      </c>
      <c r="B1258" t="s">
        <v>1770</v>
      </c>
      <c r="C1258" s="1">
        <v>45443</v>
      </c>
      <c r="D1258" s="2">
        <v>11581454</v>
      </c>
      <c r="E1258" s="2">
        <v>2277</v>
      </c>
      <c r="F1258">
        <v>73</v>
      </c>
      <c r="G1258" s="2">
        <v>443994</v>
      </c>
      <c r="H1258" s="2">
        <v>16154</v>
      </c>
      <c r="J1258">
        <v>51</v>
      </c>
      <c r="K1258">
        <v>1</v>
      </c>
      <c r="L1258">
        <v>1</v>
      </c>
      <c r="M1258" t="str">
        <f t="shared" si="19"/>
        <v>After 2020</v>
      </c>
    </row>
    <row r="1259" spans="1:13" hidden="1">
      <c r="A1259" t="s">
        <v>1922</v>
      </c>
      <c r="B1259" t="s">
        <v>1923</v>
      </c>
      <c r="C1259" s="1">
        <v>45197</v>
      </c>
      <c r="D1259" s="2">
        <v>123776123</v>
      </c>
      <c r="E1259" s="2">
        <v>11830</v>
      </c>
      <c r="G1259" s="2">
        <v>144081808</v>
      </c>
      <c r="H1259" s="2">
        <v>854410</v>
      </c>
      <c r="I1259" s="2">
        <v>80775271</v>
      </c>
      <c r="J1259">
        <v>36</v>
      </c>
      <c r="L1259">
        <v>0</v>
      </c>
      <c r="M1259" t="str">
        <f t="shared" si="19"/>
        <v>After 2020</v>
      </c>
    </row>
    <row r="1260" spans="1:13">
      <c r="A1260" t="s">
        <v>1924</v>
      </c>
      <c r="B1260" t="s">
        <v>336</v>
      </c>
      <c r="C1260" s="1">
        <v>43042</v>
      </c>
      <c r="D1260" s="2">
        <v>598040653</v>
      </c>
      <c r="E1260" s="2">
        <v>52952</v>
      </c>
      <c r="F1260">
        <v>64</v>
      </c>
      <c r="G1260" s="2">
        <v>1871767126</v>
      </c>
      <c r="H1260" s="2">
        <v>7019685</v>
      </c>
      <c r="I1260" s="2">
        <v>44176203</v>
      </c>
      <c r="J1260">
        <v>38</v>
      </c>
      <c r="K1260">
        <v>176</v>
      </c>
      <c r="L1260">
        <v>0</v>
      </c>
      <c r="M1260" t="str">
        <f t="shared" si="19"/>
        <v>2010-2020</v>
      </c>
    </row>
    <row r="1261" spans="1:13" hidden="1">
      <c r="A1261" t="s">
        <v>1925</v>
      </c>
      <c r="B1261" t="s">
        <v>1312</v>
      </c>
      <c r="C1261" s="1">
        <v>45280</v>
      </c>
      <c r="D1261" s="2">
        <v>183146334</v>
      </c>
      <c r="E1261" s="2">
        <v>8183</v>
      </c>
      <c r="F1261">
        <v>81</v>
      </c>
      <c r="G1261" s="2">
        <v>97178744</v>
      </c>
      <c r="H1261" s="2">
        <v>465269</v>
      </c>
      <c r="J1261">
        <v>13</v>
      </c>
      <c r="L1261">
        <v>1</v>
      </c>
      <c r="M1261" t="str">
        <f t="shared" si="19"/>
        <v>After 2020</v>
      </c>
    </row>
    <row r="1262" spans="1:13">
      <c r="A1262" t="s">
        <v>1926</v>
      </c>
      <c r="B1262" t="s">
        <v>444</v>
      </c>
      <c r="C1262" s="1">
        <v>43706</v>
      </c>
      <c r="D1262" s="2">
        <v>663578551</v>
      </c>
      <c r="E1262" s="2">
        <v>76919</v>
      </c>
      <c r="F1262">
        <v>67</v>
      </c>
      <c r="G1262" s="2">
        <v>1120507756</v>
      </c>
      <c r="H1262" s="2">
        <v>4714790</v>
      </c>
      <c r="I1262" s="2">
        <v>121300058</v>
      </c>
      <c r="J1262">
        <v>60</v>
      </c>
      <c r="K1262">
        <v>53</v>
      </c>
      <c r="L1262">
        <v>0</v>
      </c>
      <c r="M1262" t="str">
        <f t="shared" si="19"/>
        <v>2010-2020</v>
      </c>
    </row>
    <row r="1263" spans="1:13" hidden="1">
      <c r="A1263" t="s">
        <v>1927</v>
      </c>
      <c r="B1263" t="s">
        <v>258</v>
      </c>
      <c r="C1263" s="1">
        <v>45189</v>
      </c>
      <c r="D1263" s="2">
        <v>122882453</v>
      </c>
      <c r="E1263" s="2">
        <v>11838</v>
      </c>
      <c r="G1263" s="2">
        <v>164469434</v>
      </c>
      <c r="H1263" s="2">
        <v>2120071</v>
      </c>
      <c r="I1263" s="2">
        <v>72400</v>
      </c>
      <c r="J1263">
        <v>8</v>
      </c>
      <c r="K1263">
        <v>162</v>
      </c>
      <c r="L1263">
        <v>1</v>
      </c>
      <c r="M1263" t="str">
        <f t="shared" si="19"/>
        <v>After 2020</v>
      </c>
    </row>
    <row r="1264" spans="1:13">
      <c r="A1264" t="s">
        <v>1928</v>
      </c>
      <c r="B1264" t="s">
        <v>1013</v>
      </c>
      <c r="C1264" s="1">
        <v>44224</v>
      </c>
      <c r="D1264" s="2">
        <v>361357607</v>
      </c>
      <c r="E1264" s="2">
        <v>70546</v>
      </c>
      <c r="F1264">
        <v>57</v>
      </c>
      <c r="G1264" s="2">
        <v>668095711</v>
      </c>
      <c r="H1264" s="2">
        <v>3934415</v>
      </c>
      <c r="I1264" s="2">
        <v>1087148231</v>
      </c>
      <c r="J1264">
        <v>27</v>
      </c>
      <c r="K1264">
        <v>25</v>
      </c>
      <c r="L1264">
        <v>1</v>
      </c>
      <c r="M1264" t="str">
        <f t="shared" si="19"/>
        <v>After 2020</v>
      </c>
    </row>
    <row r="1265" spans="1:13" hidden="1">
      <c r="A1265" t="s">
        <v>1929</v>
      </c>
      <c r="B1265" t="s">
        <v>1930</v>
      </c>
      <c r="C1265" s="1">
        <v>45134</v>
      </c>
      <c r="D1265" s="2">
        <v>169162533</v>
      </c>
      <c r="E1265" s="2">
        <v>9016</v>
      </c>
      <c r="F1265">
        <v>73</v>
      </c>
      <c r="G1265" s="2">
        <v>210403837</v>
      </c>
      <c r="H1265" s="2">
        <v>848450</v>
      </c>
      <c r="I1265" s="2">
        <v>22480064</v>
      </c>
      <c r="J1265">
        <v>14</v>
      </c>
      <c r="L1265">
        <v>0</v>
      </c>
      <c r="M1265" t="str">
        <f t="shared" si="19"/>
        <v>After 2020</v>
      </c>
    </row>
    <row r="1266" spans="1:13">
      <c r="A1266" t="s">
        <v>1931</v>
      </c>
      <c r="B1266" t="s">
        <v>1932</v>
      </c>
      <c r="C1266" s="1">
        <v>45085</v>
      </c>
      <c r="D1266" s="2">
        <v>148677837</v>
      </c>
      <c r="E1266" s="2">
        <v>17100</v>
      </c>
      <c r="F1266">
        <v>65</v>
      </c>
      <c r="G1266" s="2">
        <v>254704259</v>
      </c>
      <c r="H1266" s="2">
        <v>1938875</v>
      </c>
      <c r="I1266" s="2">
        <v>724569</v>
      </c>
      <c r="J1266">
        <v>21</v>
      </c>
      <c r="K1266">
        <v>2</v>
      </c>
      <c r="L1266">
        <v>0</v>
      </c>
      <c r="M1266" t="str">
        <f t="shared" si="19"/>
        <v>After 2020</v>
      </c>
    </row>
    <row r="1267" spans="1:13" hidden="1">
      <c r="A1267" t="s">
        <v>38</v>
      </c>
      <c r="B1267" t="s">
        <v>39</v>
      </c>
      <c r="C1267" s="1">
        <v>45240</v>
      </c>
      <c r="D1267" s="2">
        <v>1651606290</v>
      </c>
      <c r="E1267">
        <v>6</v>
      </c>
      <c r="L1267">
        <v>1</v>
      </c>
      <c r="M1267" t="str">
        <f t="shared" si="19"/>
        <v>After 2020</v>
      </c>
    </row>
    <row r="1268" spans="1:13">
      <c r="A1268" t="s">
        <v>1933</v>
      </c>
      <c r="B1268" t="s">
        <v>1770</v>
      </c>
      <c r="C1268" s="1">
        <v>44249</v>
      </c>
      <c r="D1268" s="2">
        <v>336943720</v>
      </c>
      <c r="E1268" s="2">
        <v>191372</v>
      </c>
      <c r="F1268">
        <v>71</v>
      </c>
      <c r="G1268" s="2">
        <v>31888669</v>
      </c>
      <c r="H1268" s="2">
        <v>286044</v>
      </c>
      <c r="I1268" s="2">
        <v>155341425</v>
      </c>
      <c r="J1268">
        <v>91</v>
      </c>
      <c r="K1268">
        <v>27</v>
      </c>
      <c r="L1268">
        <v>0</v>
      </c>
      <c r="M1268" t="str">
        <f t="shared" si="19"/>
        <v>After 2020</v>
      </c>
    </row>
    <row r="1269" spans="1:13">
      <c r="A1269" t="s">
        <v>1934</v>
      </c>
      <c r="B1269" t="s">
        <v>715</v>
      </c>
      <c r="C1269" s="1">
        <v>44603</v>
      </c>
      <c r="D1269" s="2">
        <v>262185115</v>
      </c>
      <c r="E1269" s="2">
        <v>47288</v>
      </c>
      <c r="F1269">
        <v>71</v>
      </c>
      <c r="G1269" s="2">
        <v>121592933</v>
      </c>
      <c r="H1269" s="2">
        <v>606455</v>
      </c>
      <c r="I1269" s="2">
        <v>149251921</v>
      </c>
      <c r="J1269">
        <v>25</v>
      </c>
      <c r="K1269">
        <v>123</v>
      </c>
      <c r="L1269">
        <v>0</v>
      </c>
      <c r="M1269" t="str">
        <f t="shared" si="19"/>
        <v>After 2020</v>
      </c>
    </row>
    <row r="1270" spans="1:13">
      <c r="A1270" t="s">
        <v>1935</v>
      </c>
      <c r="B1270" t="s">
        <v>409</v>
      </c>
      <c r="C1270" s="1">
        <v>44981</v>
      </c>
      <c r="D1270" s="2">
        <v>212084990</v>
      </c>
      <c r="E1270" s="2">
        <v>34632</v>
      </c>
      <c r="F1270">
        <v>37</v>
      </c>
      <c r="G1270" s="2">
        <v>191028847</v>
      </c>
      <c r="H1270" s="2">
        <v>3745346</v>
      </c>
      <c r="I1270" s="2">
        <v>543360467</v>
      </c>
      <c r="J1270">
        <v>15</v>
      </c>
      <c r="K1270">
        <v>809</v>
      </c>
      <c r="L1270">
        <v>0</v>
      </c>
      <c r="M1270" t="str">
        <f t="shared" si="19"/>
        <v>After 2020</v>
      </c>
    </row>
    <row r="1271" spans="1:13" hidden="1">
      <c r="A1271" t="s">
        <v>1936</v>
      </c>
      <c r="B1271" t="s">
        <v>1937</v>
      </c>
      <c r="C1271" s="1">
        <v>44832</v>
      </c>
      <c r="D1271" s="2">
        <v>32014</v>
      </c>
      <c r="E1271">
        <v>7</v>
      </c>
      <c r="G1271" s="2">
        <v>68945</v>
      </c>
      <c r="H1271">
        <v>653</v>
      </c>
      <c r="I1271" s="2">
        <v>533737667</v>
      </c>
      <c r="L1271">
        <v>0</v>
      </c>
      <c r="M1271" t="str">
        <f t="shared" si="19"/>
        <v>After 2020</v>
      </c>
    </row>
    <row r="1272" spans="1:13" hidden="1">
      <c r="A1272" t="s">
        <v>1938</v>
      </c>
      <c r="B1272" t="s">
        <v>61</v>
      </c>
      <c r="C1272" s="1">
        <v>45400</v>
      </c>
      <c r="D1272" s="2">
        <v>165611453</v>
      </c>
      <c r="E1272" s="2">
        <v>4418</v>
      </c>
      <c r="F1272">
        <v>78</v>
      </c>
      <c r="G1272" s="2">
        <v>9873283</v>
      </c>
      <c r="H1272" s="2">
        <v>96083</v>
      </c>
      <c r="I1272" s="2">
        <v>6383500</v>
      </c>
      <c r="J1272">
        <v>34</v>
      </c>
      <c r="L1272">
        <v>0</v>
      </c>
      <c r="M1272" t="str">
        <f t="shared" si="19"/>
        <v>After 2020</v>
      </c>
    </row>
    <row r="1273" spans="1:13" hidden="1">
      <c r="A1273" t="s">
        <v>1939</v>
      </c>
      <c r="B1273" t="s">
        <v>723</v>
      </c>
      <c r="C1273" s="1">
        <v>42005</v>
      </c>
      <c r="D1273" s="2">
        <v>1397975653</v>
      </c>
      <c r="E1273" s="2">
        <v>205128</v>
      </c>
      <c r="F1273">
        <v>74</v>
      </c>
      <c r="G1273" s="2">
        <v>1701608739</v>
      </c>
      <c r="H1273" s="2">
        <v>13598875</v>
      </c>
      <c r="I1273" s="2">
        <v>154837616</v>
      </c>
      <c r="J1273">
        <v>130</v>
      </c>
      <c r="L1273">
        <v>0</v>
      </c>
      <c r="M1273" t="str">
        <f t="shared" si="19"/>
        <v>2010-2020</v>
      </c>
    </row>
    <row r="1274" spans="1:13">
      <c r="A1274" t="s">
        <v>1940</v>
      </c>
      <c r="B1274" t="s">
        <v>418</v>
      </c>
      <c r="C1274" s="1">
        <v>44645</v>
      </c>
      <c r="D1274" s="2">
        <v>129335327</v>
      </c>
      <c r="E1274" s="2">
        <v>27681</v>
      </c>
      <c r="F1274">
        <v>60</v>
      </c>
      <c r="G1274" s="2">
        <v>215778342</v>
      </c>
      <c r="H1274" s="2">
        <v>1548240</v>
      </c>
      <c r="I1274" s="2">
        <v>2692316483</v>
      </c>
      <c r="J1274">
        <v>10</v>
      </c>
      <c r="K1274">
        <v>62</v>
      </c>
      <c r="L1274">
        <v>1</v>
      </c>
      <c r="M1274" t="str">
        <f t="shared" si="19"/>
        <v>After 2020</v>
      </c>
    </row>
    <row r="1275" spans="1:13" hidden="1">
      <c r="A1275" t="s">
        <v>1826</v>
      </c>
      <c r="B1275" t="s">
        <v>1941</v>
      </c>
      <c r="C1275" s="1">
        <v>42342</v>
      </c>
      <c r="D1275" s="2">
        <v>3531</v>
      </c>
      <c r="E1275">
        <v>2</v>
      </c>
      <c r="G1275" s="2">
        <v>3250879013</v>
      </c>
      <c r="H1275" s="2">
        <v>19819631</v>
      </c>
      <c r="L1275">
        <v>0</v>
      </c>
      <c r="M1275" t="str">
        <f t="shared" si="19"/>
        <v>2010-2020</v>
      </c>
    </row>
    <row r="1276" spans="1:13">
      <c r="A1276" t="s">
        <v>1942</v>
      </c>
      <c r="B1276" t="s">
        <v>1913</v>
      </c>
      <c r="C1276" s="1">
        <v>44316</v>
      </c>
      <c r="D1276" s="2">
        <v>352955079</v>
      </c>
      <c r="E1276" s="2">
        <v>108705</v>
      </c>
      <c r="F1276">
        <v>68</v>
      </c>
      <c r="G1276" s="2">
        <v>285741830</v>
      </c>
      <c r="H1276" s="2">
        <v>1939019</v>
      </c>
      <c r="I1276" s="2">
        <v>177512619</v>
      </c>
      <c r="J1276">
        <v>73</v>
      </c>
      <c r="K1276">
        <v>114</v>
      </c>
      <c r="L1276">
        <v>1</v>
      </c>
      <c r="M1276" t="str">
        <f t="shared" si="19"/>
        <v>After 2020</v>
      </c>
    </row>
    <row r="1277" spans="1:13">
      <c r="A1277" t="s">
        <v>1943</v>
      </c>
      <c r="B1277" t="s">
        <v>1944</v>
      </c>
      <c r="C1277" s="1">
        <v>42997</v>
      </c>
      <c r="D1277" s="2">
        <v>1056346890</v>
      </c>
      <c r="E1277" s="2">
        <v>198581</v>
      </c>
      <c r="F1277">
        <v>71</v>
      </c>
      <c r="G1277" s="2">
        <v>498454408</v>
      </c>
      <c r="H1277" s="2">
        <v>5874304</v>
      </c>
      <c r="I1277" s="2">
        <v>1247183383</v>
      </c>
      <c r="J1277">
        <v>74</v>
      </c>
      <c r="K1277">
        <v>40</v>
      </c>
      <c r="L1277">
        <v>1</v>
      </c>
      <c r="M1277" t="str">
        <f t="shared" si="19"/>
        <v>2010-2020</v>
      </c>
    </row>
    <row r="1278" spans="1:13">
      <c r="A1278" t="s">
        <v>1945</v>
      </c>
      <c r="B1278" t="s">
        <v>182</v>
      </c>
      <c r="C1278" s="1">
        <v>42922</v>
      </c>
      <c r="D1278" s="2">
        <v>1150653471</v>
      </c>
      <c r="E1278" s="2">
        <v>195032</v>
      </c>
      <c r="F1278">
        <v>70</v>
      </c>
      <c r="G1278" s="2">
        <v>822892668</v>
      </c>
      <c r="H1278" s="2">
        <v>6651112</v>
      </c>
      <c r="I1278" s="2">
        <v>812215684</v>
      </c>
      <c r="J1278">
        <v>112</v>
      </c>
      <c r="K1278">
        <v>35</v>
      </c>
      <c r="L1278">
        <v>1</v>
      </c>
      <c r="M1278" t="str">
        <f t="shared" si="19"/>
        <v>2010-2020</v>
      </c>
    </row>
    <row r="1279" spans="1:13">
      <c r="A1279" t="s">
        <v>1946</v>
      </c>
      <c r="B1279" t="s">
        <v>127</v>
      </c>
      <c r="C1279" s="1">
        <v>44232</v>
      </c>
      <c r="D1279" s="2">
        <v>939627795</v>
      </c>
      <c r="E1279" s="2">
        <v>67381</v>
      </c>
      <c r="F1279">
        <v>87</v>
      </c>
      <c r="G1279" s="2">
        <v>371522364</v>
      </c>
      <c r="H1279" s="2">
        <v>3979062</v>
      </c>
      <c r="I1279" s="2">
        <v>265186570</v>
      </c>
      <c r="J1279">
        <v>61</v>
      </c>
      <c r="K1279">
        <v>216</v>
      </c>
      <c r="L1279">
        <v>0</v>
      </c>
      <c r="M1279" t="str">
        <f t="shared" si="19"/>
        <v>After 2020</v>
      </c>
    </row>
    <row r="1280" spans="1:13">
      <c r="A1280" t="s">
        <v>1947</v>
      </c>
      <c r="B1280" t="s">
        <v>1291</v>
      </c>
      <c r="C1280" s="1">
        <v>43381</v>
      </c>
      <c r="D1280" s="2">
        <v>1020435750</v>
      </c>
      <c r="E1280" s="2">
        <v>157944</v>
      </c>
      <c r="F1280">
        <v>69</v>
      </c>
      <c r="G1280" s="2">
        <v>199282045</v>
      </c>
      <c r="H1280" s="2">
        <v>3250046</v>
      </c>
      <c r="I1280" s="2">
        <v>21650351404</v>
      </c>
      <c r="J1280">
        <v>70</v>
      </c>
      <c r="K1280">
        <v>95</v>
      </c>
      <c r="L1280">
        <v>0</v>
      </c>
      <c r="M1280" t="str">
        <f t="shared" si="19"/>
        <v>2010-2020</v>
      </c>
    </row>
    <row r="1281" spans="1:13">
      <c r="A1281" t="s">
        <v>1948</v>
      </c>
      <c r="B1281" t="s">
        <v>1949</v>
      </c>
      <c r="C1281" s="1">
        <v>45023</v>
      </c>
      <c r="D1281" s="2">
        <v>269669185</v>
      </c>
      <c r="E1281" s="2">
        <v>44019</v>
      </c>
      <c r="F1281">
        <v>67</v>
      </c>
      <c r="G1281" s="2">
        <v>29035288</v>
      </c>
      <c r="H1281" s="2">
        <v>608532</v>
      </c>
      <c r="I1281" s="2">
        <v>531883271</v>
      </c>
      <c r="J1281">
        <v>43</v>
      </c>
      <c r="K1281">
        <v>444</v>
      </c>
      <c r="L1281">
        <v>0</v>
      </c>
      <c r="M1281" t="str">
        <f t="shared" si="19"/>
        <v>After 2020</v>
      </c>
    </row>
    <row r="1282" spans="1:13" hidden="1">
      <c r="A1282" t="s">
        <v>1950</v>
      </c>
      <c r="B1282" t="s">
        <v>1951</v>
      </c>
      <c r="C1282" s="1">
        <v>45198</v>
      </c>
      <c r="D1282" s="2">
        <v>155915718</v>
      </c>
      <c r="E1282" s="2">
        <v>26646</v>
      </c>
      <c r="G1282" s="2">
        <v>76324065</v>
      </c>
      <c r="H1282" s="2">
        <v>717892</v>
      </c>
      <c r="J1282">
        <v>9</v>
      </c>
      <c r="L1282">
        <v>1</v>
      </c>
      <c r="M1282" t="str">
        <f t="shared" si="19"/>
        <v>After 2020</v>
      </c>
    </row>
    <row r="1283" spans="1:13">
      <c r="A1283" t="s">
        <v>1952</v>
      </c>
      <c r="B1283" t="s">
        <v>1953</v>
      </c>
      <c r="C1283" s="1">
        <v>45407</v>
      </c>
      <c r="D1283" s="2">
        <v>34621656</v>
      </c>
      <c r="E1283" s="2">
        <v>4787</v>
      </c>
      <c r="F1283">
        <v>76</v>
      </c>
      <c r="G1283" s="2">
        <v>8346529</v>
      </c>
      <c r="H1283" s="2">
        <v>193964</v>
      </c>
      <c r="I1283" s="2">
        <v>9450</v>
      </c>
      <c r="J1283">
        <v>104</v>
      </c>
      <c r="K1283">
        <v>41</v>
      </c>
      <c r="L1283">
        <v>0</v>
      </c>
      <c r="M1283" t="str">
        <f t="shared" ref="M1283:M1346" si="20">IF(YEAR(C1283)&lt;2010,"Before 2010",IF(YEAR(C1283)&lt;=2020,"2010-2020","After 2020"))</f>
        <v>After 2020</v>
      </c>
    </row>
    <row r="1284" spans="1:13">
      <c r="A1284" t="s">
        <v>1954</v>
      </c>
      <c r="B1284" t="s">
        <v>1955</v>
      </c>
      <c r="C1284" s="1">
        <v>43910</v>
      </c>
      <c r="D1284" s="2">
        <v>1675083208</v>
      </c>
      <c r="E1284" s="2">
        <v>191604</v>
      </c>
      <c r="F1284">
        <v>80</v>
      </c>
      <c r="G1284" s="2">
        <v>138807824</v>
      </c>
      <c r="H1284" s="2">
        <v>3143644</v>
      </c>
      <c r="I1284" s="2">
        <v>755895289</v>
      </c>
      <c r="J1284">
        <v>105</v>
      </c>
      <c r="K1284">
        <v>10</v>
      </c>
      <c r="L1284">
        <v>0</v>
      </c>
      <c r="M1284" t="str">
        <f t="shared" si="20"/>
        <v>2010-2020</v>
      </c>
    </row>
    <row r="1285" spans="1:13">
      <c r="A1285" t="s">
        <v>1956</v>
      </c>
      <c r="B1285" t="s">
        <v>288</v>
      </c>
      <c r="C1285" s="1">
        <v>44021</v>
      </c>
      <c r="D1285" s="2">
        <v>959313617</v>
      </c>
      <c r="E1285" s="2">
        <v>180366</v>
      </c>
      <c r="F1285">
        <v>71</v>
      </c>
      <c r="G1285" s="2">
        <v>135893380</v>
      </c>
      <c r="H1285" s="2">
        <v>1681113</v>
      </c>
      <c r="I1285" s="2">
        <v>37813204</v>
      </c>
      <c r="J1285">
        <v>55</v>
      </c>
      <c r="K1285">
        <v>23</v>
      </c>
      <c r="L1285">
        <v>1</v>
      </c>
      <c r="M1285" t="str">
        <f t="shared" si="20"/>
        <v>2010-2020</v>
      </c>
    </row>
    <row r="1286" spans="1:13" hidden="1">
      <c r="A1286" t="s">
        <v>1957</v>
      </c>
      <c r="B1286" t="s">
        <v>633</v>
      </c>
      <c r="C1286" s="1">
        <v>44987</v>
      </c>
      <c r="D1286" s="2">
        <v>256112908</v>
      </c>
      <c r="E1286" s="2">
        <v>34370</v>
      </c>
      <c r="F1286">
        <v>67</v>
      </c>
      <c r="G1286" s="2">
        <v>245635362</v>
      </c>
      <c r="H1286" s="2">
        <v>1493703</v>
      </c>
      <c r="J1286">
        <v>18</v>
      </c>
      <c r="K1286">
        <v>122</v>
      </c>
      <c r="L1286">
        <v>1</v>
      </c>
      <c r="M1286" t="str">
        <f t="shared" si="20"/>
        <v>After 2020</v>
      </c>
    </row>
    <row r="1287" spans="1:13">
      <c r="A1287" t="s">
        <v>1958</v>
      </c>
      <c r="B1287" t="s">
        <v>112</v>
      </c>
      <c r="C1287" s="1">
        <v>43917</v>
      </c>
      <c r="D1287" s="2">
        <v>665464734</v>
      </c>
      <c r="E1287" s="2">
        <v>90805</v>
      </c>
      <c r="F1287">
        <v>67</v>
      </c>
      <c r="G1287" s="2">
        <v>419361718</v>
      </c>
      <c r="H1287" s="2">
        <v>3354831</v>
      </c>
      <c r="I1287" s="2">
        <v>296169569</v>
      </c>
      <c r="J1287">
        <v>104</v>
      </c>
      <c r="K1287">
        <v>593</v>
      </c>
      <c r="L1287">
        <v>0</v>
      </c>
      <c r="M1287" t="str">
        <f t="shared" si="20"/>
        <v>2010-2020</v>
      </c>
    </row>
    <row r="1288" spans="1:13" hidden="1">
      <c r="A1288" t="s">
        <v>1959</v>
      </c>
      <c r="B1288" t="s">
        <v>1960</v>
      </c>
      <c r="C1288" s="1">
        <v>45078</v>
      </c>
      <c r="D1288" s="2">
        <v>120595666</v>
      </c>
      <c r="E1288" s="2">
        <v>37922</v>
      </c>
      <c r="F1288">
        <v>69</v>
      </c>
      <c r="G1288" s="2">
        <v>73217073</v>
      </c>
      <c r="H1288" s="2">
        <v>1365919</v>
      </c>
      <c r="I1288" s="2">
        <v>730008954</v>
      </c>
      <c r="J1288">
        <v>22</v>
      </c>
      <c r="L1288">
        <v>1</v>
      </c>
      <c r="M1288" t="str">
        <f t="shared" si="20"/>
        <v>After 2020</v>
      </c>
    </row>
    <row r="1289" spans="1:13" hidden="1">
      <c r="A1289" t="s">
        <v>1961</v>
      </c>
      <c r="B1289" t="s">
        <v>182</v>
      </c>
      <c r="C1289" s="1">
        <v>45303</v>
      </c>
      <c r="D1289" s="2">
        <v>87111207</v>
      </c>
      <c r="E1289" s="2">
        <v>20380</v>
      </c>
      <c r="G1289" s="2">
        <v>4705879</v>
      </c>
      <c r="H1289" s="2">
        <v>71296</v>
      </c>
      <c r="J1289">
        <v>7</v>
      </c>
      <c r="K1289">
        <v>2</v>
      </c>
      <c r="L1289">
        <v>1</v>
      </c>
      <c r="M1289" t="str">
        <f t="shared" si="20"/>
        <v>After 2020</v>
      </c>
    </row>
    <row r="1290" spans="1:13">
      <c r="A1290" t="s">
        <v>1962</v>
      </c>
      <c r="B1290" t="s">
        <v>1963</v>
      </c>
      <c r="C1290" s="1">
        <v>44995</v>
      </c>
      <c r="D1290" s="2">
        <v>150463218</v>
      </c>
      <c r="E1290" s="2">
        <v>44298</v>
      </c>
      <c r="F1290">
        <v>67</v>
      </c>
      <c r="G1290" s="2">
        <v>57191900</v>
      </c>
      <c r="H1290" s="2">
        <v>289311</v>
      </c>
      <c r="I1290" s="2">
        <v>275361521</v>
      </c>
      <c r="J1290">
        <v>55</v>
      </c>
      <c r="K1290">
        <v>250</v>
      </c>
      <c r="L1290">
        <v>0</v>
      </c>
      <c r="M1290" t="str">
        <f t="shared" si="20"/>
        <v>After 2020</v>
      </c>
    </row>
    <row r="1291" spans="1:13" hidden="1">
      <c r="A1291" t="s">
        <v>1964</v>
      </c>
      <c r="B1291" t="s">
        <v>805</v>
      </c>
      <c r="C1291" s="1">
        <v>45434</v>
      </c>
      <c r="D1291" s="2">
        <v>14204736</v>
      </c>
      <c r="E1291" s="2">
        <v>2162</v>
      </c>
      <c r="G1291" s="2">
        <v>4045474</v>
      </c>
      <c r="H1291" s="2">
        <v>77878</v>
      </c>
      <c r="J1291">
        <v>25</v>
      </c>
      <c r="K1291">
        <v>13</v>
      </c>
      <c r="L1291">
        <v>1</v>
      </c>
      <c r="M1291" t="str">
        <f t="shared" si="20"/>
        <v>After 2020</v>
      </c>
    </row>
    <row r="1292" spans="1:13">
      <c r="A1292" t="s">
        <v>1965</v>
      </c>
      <c r="B1292" t="s">
        <v>285</v>
      </c>
      <c r="C1292" s="1">
        <v>40867</v>
      </c>
      <c r="D1292" s="2">
        <v>1599742798</v>
      </c>
      <c r="E1292" s="2">
        <v>137106</v>
      </c>
      <c r="F1292">
        <v>74</v>
      </c>
      <c r="G1292" s="2">
        <v>2719936771</v>
      </c>
      <c r="H1292" s="2">
        <v>14654354</v>
      </c>
      <c r="I1292" s="2">
        <v>155713369</v>
      </c>
      <c r="J1292">
        <v>272</v>
      </c>
      <c r="K1292">
        <v>246</v>
      </c>
      <c r="L1292">
        <v>0</v>
      </c>
      <c r="M1292" t="str">
        <f t="shared" si="20"/>
        <v>2010-2020</v>
      </c>
    </row>
    <row r="1293" spans="1:13" hidden="1">
      <c r="A1293" t="s">
        <v>1966</v>
      </c>
      <c r="B1293" t="s">
        <v>1923</v>
      </c>
      <c r="C1293" s="1">
        <v>41640</v>
      </c>
      <c r="D1293" s="2">
        <v>218205900</v>
      </c>
      <c r="E1293" s="2">
        <v>28233</v>
      </c>
      <c r="F1293">
        <v>50</v>
      </c>
      <c r="G1293" s="2">
        <v>3559338569</v>
      </c>
      <c r="H1293" s="2">
        <v>11289750</v>
      </c>
      <c r="I1293" s="2">
        <v>81433215</v>
      </c>
      <c r="J1293">
        <v>23</v>
      </c>
      <c r="L1293">
        <v>1</v>
      </c>
      <c r="M1293" t="str">
        <f t="shared" si="20"/>
        <v>2010-2020</v>
      </c>
    </row>
    <row r="1294" spans="1:13" hidden="1">
      <c r="A1294" t="s">
        <v>1967</v>
      </c>
      <c r="B1294" t="s">
        <v>1968</v>
      </c>
      <c r="C1294" s="1">
        <v>45352</v>
      </c>
      <c r="D1294" s="2">
        <v>2902263</v>
      </c>
      <c r="E1294">
        <v>968</v>
      </c>
      <c r="F1294">
        <v>56</v>
      </c>
      <c r="G1294" s="2">
        <v>77405121</v>
      </c>
      <c r="H1294" s="2">
        <v>532621</v>
      </c>
      <c r="I1294" s="2">
        <v>10302500</v>
      </c>
      <c r="J1294">
        <v>11</v>
      </c>
      <c r="L1294">
        <v>0</v>
      </c>
      <c r="M1294" t="str">
        <f t="shared" si="20"/>
        <v>After 2020</v>
      </c>
    </row>
    <row r="1295" spans="1:13">
      <c r="A1295" t="s">
        <v>1969</v>
      </c>
      <c r="B1295" t="s">
        <v>51</v>
      </c>
      <c r="C1295" s="1">
        <v>44763</v>
      </c>
      <c r="D1295" s="2">
        <v>572602278</v>
      </c>
      <c r="E1295" s="2">
        <v>80064</v>
      </c>
      <c r="F1295">
        <v>76</v>
      </c>
      <c r="G1295" s="2">
        <v>115201405</v>
      </c>
      <c r="H1295" s="2">
        <v>1469402</v>
      </c>
      <c r="I1295" s="2">
        <v>104843270</v>
      </c>
      <c r="J1295">
        <v>53</v>
      </c>
      <c r="K1295">
        <v>33</v>
      </c>
      <c r="L1295">
        <v>0</v>
      </c>
      <c r="M1295" t="str">
        <f t="shared" si="20"/>
        <v>After 2020</v>
      </c>
    </row>
    <row r="1296" spans="1:13" hidden="1">
      <c r="A1296" t="s">
        <v>1970</v>
      </c>
      <c r="B1296" t="s">
        <v>61</v>
      </c>
      <c r="C1296" s="1">
        <v>45400</v>
      </c>
      <c r="D1296" s="2">
        <v>154819909</v>
      </c>
      <c r="E1296" s="2">
        <v>3535</v>
      </c>
      <c r="F1296">
        <v>76</v>
      </c>
      <c r="G1296" s="2">
        <v>10014516</v>
      </c>
      <c r="H1296" s="2">
        <v>120378</v>
      </c>
      <c r="J1296">
        <v>41</v>
      </c>
      <c r="L1296">
        <v>1</v>
      </c>
      <c r="M1296" t="str">
        <f t="shared" si="20"/>
        <v>After 2020</v>
      </c>
    </row>
    <row r="1297" spans="1:13">
      <c r="A1297" t="s">
        <v>1971</v>
      </c>
      <c r="B1297" t="s">
        <v>1972</v>
      </c>
      <c r="C1297" s="1">
        <v>44287</v>
      </c>
      <c r="D1297" s="2">
        <v>654941874</v>
      </c>
      <c r="E1297" s="2">
        <v>83163</v>
      </c>
      <c r="F1297">
        <v>75</v>
      </c>
      <c r="G1297" s="2">
        <v>556407060</v>
      </c>
      <c r="H1297" s="2">
        <v>2672779</v>
      </c>
      <c r="I1297" s="2">
        <v>187609192</v>
      </c>
      <c r="J1297">
        <v>65</v>
      </c>
      <c r="K1297">
        <v>15</v>
      </c>
      <c r="L1297">
        <v>0</v>
      </c>
      <c r="M1297" t="str">
        <f t="shared" si="20"/>
        <v>After 2020</v>
      </c>
    </row>
    <row r="1298" spans="1:13">
      <c r="A1298" t="s">
        <v>1973</v>
      </c>
      <c r="B1298" t="s">
        <v>99</v>
      </c>
      <c r="C1298" s="1">
        <v>44568</v>
      </c>
      <c r="D1298" s="2">
        <v>368155242</v>
      </c>
      <c r="E1298" s="2">
        <v>125521</v>
      </c>
      <c r="F1298">
        <v>65</v>
      </c>
      <c r="G1298" s="2">
        <v>99364654</v>
      </c>
      <c r="H1298" s="2">
        <v>1057381</v>
      </c>
      <c r="I1298" s="2">
        <v>17698609</v>
      </c>
      <c r="J1298">
        <v>59</v>
      </c>
      <c r="K1298" s="2">
        <v>1152</v>
      </c>
      <c r="L1298">
        <v>1</v>
      </c>
      <c r="M1298" t="str">
        <f t="shared" si="20"/>
        <v>After 2020</v>
      </c>
    </row>
    <row r="1299" spans="1:13">
      <c r="A1299" t="s">
        <v>1974</v>
      </c>
      <c r="B1299" t="s">
        <v>92</v>
      </c>
      <c r="C1299" s="1">
        <v>41533</v>
      </c>
      <c r="D1299" s="2">
        <v>2544489950</v>
      </c>
      <c r="E1299" s="2">
        <v>238611</v>
      </c>
      <c r="F1299">
        <v>78</v>
      </c>
      <c r="G1299" s="2">
        <v>1690342490</v>
      </c>
      <c r="H1299" s="2">
        <v>16798785</v>
      </c>
      <c r="I1299" s="2">
        <v>261203495</v>
      </c>
      <c r="J1299">
        <v>172</v>
      </c>
      <c r="K1299">
        <v>148</v>
      </c>
      <c r="L1299">
        <v>0</v>
      </c>
      <c r="M1299" t="str">
        <f t="shared" si="20"/>
        <v>2010-2020</v>
      </c>
    </row>
    <row r="1300" spans="1:13">
      <c r="A1300" t="s">
        <v>1975</v>
      </c>
      <c r="B1300" t="s">
        <v>1976</v>
      </c>
      <c r="C1300" s="1">
        <v>43630</v>
      </c>
      <c r="D1300" s="2">
        <v>1123039235</v>
      </c>
      <c r="E1300" s="2">
        <v>140766</v>
      </c>
      <c r="F1300">
        <v>72</v>
      </c>
      <c r="G1300" s="2">
        <v>763620890</v>
      </c>
      <c r="H1300" s="2">
        <v>9727420</v>
      </c>
      <c r="I1300" s="2">
        <v>590573342</v>
      </c>
      <c r="J1300">
        <v>67</v>
      </c>
      <c r="K1300">
        <v>175</v>
      </c>
      <c r="L1300">
        <v>0</v>
      </c>
      <c r="M1300" t="str">
        <f t="shared" si="20"/>
        <v>2010-2020</v>
      </c>
    </row>
    <row r="1301" spans="1:13" hidden="1">
      <c r="A1301" t="s">
        <v>1977</v>
      </c>
      <c r="B1301" t="s">
        <v>1978</v>
      </c>
      <c r="C1301" s="1">
        <v>45159</v>
      </c>
      <c r="D1301" s="2">
        <v>72468277</v>
      </c>
      <c r="E1301" s="2">
        <v>10736</v>
      </c>
      <c r="F1301">
        <v>65</v>
      </c>
      <c r="G1301" s="2">
        <v>143446620</v>
      </c>
      <c r="H1301" s="2">
        <v>1074996</v>
      </c>
      <c r="I1301" s="2">
        <v>1060502179</v>
      </c>
      <c r="J1301">
        <v>10</v>
      </c>
      <c r="L1301">
        <v>0</v>
      </c>
      <c r="M1301" t="str">
        <f t="shared" si="20"/>
        <v>After 2020</v>
      </c>
    </row>
    <row r="1302" spans="1:13" hidden="1">
      <c r="A1302" t="s">
        <v>1979</v>
      </c>
      <c r="B1302" t="s">
        <v>88</v>
      </c>
      <c r="C1302" s="1">
        <v>45352</v>
      </c>
      <c r="D1302" s="2">
        <v>95341415</v>
      </c>
      <c r="E1302" s="2">
        <v>10243</v>
      </c>
      <c r="F1302">
        <v>77</v>
      </c>
      <c r="G1302" s="2">
        <v>10759752</v>
      </c>
      <c r="H1302" s="2">
        <v>345092</v>
      </c>
      <c r="J1302">
        <v>83</v>
      </c>
      <c r="K1302">
        <v>181</v>
      </c>
      <c r="L1302">
        <v>0</v>
      </c>
      <c r="M1302" t="str">
        <f t="shared" si="20"/>
        <v>After 2020</v>
      </c>
    </row>
    <row r="1303" spans="1:13" hidden="1">
      <c r="A1303" t="s">
        <v>1980</v>
      </c>
      <c r="B1303" t="s">
        <v>28</v>
      </c>
      <c r="C1303" s="1">
        <v>43343</v>
      </c>
      <c r="D1303" s="2">
        <v>788282679</v>
      </c>
      <c r="E1303" s="2">
        <v>139716</v>
      </c>
      <c r="F1303">
        <v>68</v>
      </c>
      <c r="G1303" s="2">
        <v>872454191</v>
      </c>
      <c r="H1303" s="2">
        <v>11385109</v>
      </c>
      <c r="I1303" s="2">
        <v>5580305533</v>
      </c>
      <c r="J1303">
        <v>17</v>
      </c>
      <c r="L1303">
        <v>1</v>
      </c>
      <c r="M1303" t="str">
        <f t="shared" si="20"/>
        <v>2010-2020</v>
      </c>
    </row>
    <row r="1304" spans="1:13" hidden="1">
      <c r="A1304" t="s">
        <v>1981</v>
      </c>
      <c r="B1304" t="s">
        <v>1982</v>
      </c>
      <c r="C1304" s="1">
        <v>45250</v>
      </c>
      <c r="D1304" s="2">
        <v>88072335</v>
      </c>
      <c r="E1304" s="2">
        <v>6388</v>
      </c>
      <c r="G1304" s="2">
        <v>70685035</v>
      </c>
      <c r="H1304" s="2">
        <v>1063539</v>
      </c>
      <c r="I1304" s="2">
        <v>825658316</v>
      </c>
      <c r="J1304">
        <v>14</v>
      </c>
      <c r="L1304">
        <v>0</v>
      </c>
      <c r="M1304" t="str">
        <f t="shared" si="20"/>
        <v>After 2020</v>
      </c>
    </row>
    <row r="1305" spans="1:13" hidden="1">
      <c r="A1305" t="s">
        <v>1983</v>
      </c>
      <c r="B1305" t="s">
        <v>1984</v>
      </c>
      <c r="C1305" s="1">
        <v>45142</v>
      </c>
      <c r="D1305" s="2">
        <v>57370965</v>
      </c>
      <c r="E1305" s="2">
        <v>7149</v>
      </c>
      <c r="F1305">
        <v>58</v>
      </c>
      <c r="G1305" s="2">
        <v>215435066</v>
      </c>
      <c r="H1305" s="2">
        <v>698761</v>
      </c>
      <c r="I1305" s="2">
        <v>297307993</v>
      </c>
      <c r="J1305">
        <v>8</v>
      </c>
      <c r="L1305">
        <v>0</v>
      </c>
      <c r="M1305" t="str">
        <f t="shared" si="20"/>
        <v>After 2020</v>
      </c>
    </row>
    <row r="1306" spans="1:13">
      <c r="A1306" t="s">
        <v>1145</v>
      </c>
      <c r="B1306" t="s">
        <v>61</v>
      </c>
      <c r="C1306" s="1">
        <v>44855</v>
      </c>
      <c r="D1306" s="2">
        <v>777305444</v>
      </c>
      <c r="E1306" s="2">
        <v>47435</v>
      </c>
      <c r="F1306">
        <v>75</v>
      </c>
      <c r="G1306" s="2">
        <v>97902815</v>
      </c>
      <c r="H1306" s="2">
        <v>1779726</v>
      </c>
      <c r="I1306" s="2">
        <v>937766809</v>
      </c>
      <c r="J1306">
        <v>63</v>
      </c>
      <c r="K1306">
        <v>405</v>
      </c>
      <c r="L1306">
        <v>1</v>
      </c>
      <c r="M1306" t="str">
        <f t="shared" si="20"/>
        <v>After 2020</v>
      </c>
    </row>
    <row r="1307" spans="1:13">
      <c r="A1307" t="s">
        <v>1985</v>
      </c>
      <c r="B1307" t="s">
        <v>1986</v>
      </c>
      <c r="C1307" s="1">
        <v>45149</v>
      </c>
      <c r="D1307" s="2">
        <v>107754524</v>
      </c>
      <c r="E1307" s="2">
        <v>16004</v>
      </c>
      <c r="F1307">
        <v>66</v>
      </c>
      <c r="G1307" s="2">
        <v>11577220</v>
      </c>
      <c r="H1307" s="2">
        <v>74756</v>
      </c>
      <c r="I1307" s="2">
        <v>53554260</v>
      </c>
      <c r="J1307">
        <v>25</v>
      </c>
      <c r="K1307">
        <v>6</v>
      </c>
      <c r="L1307">
        <v>0</v>
      </c>
      <c r="M1307" t="str">
        <f t="shared" si="20"/>
        <v>After 2020</v>
      </c>
    </row>
    <row r="1308" spans="1:13" hidden="1">
      <c r="A1308" t="s">
        <v>1987</v>
      </c>
      <c r="B1308" t="s">
        <v>1988</v>
      </c>
      <c r="C1308" s="1">
        <v>44883</v>
      </c>
      <c r="D1308" s="2">
        <v>41254</v>
      </c>
      <c r="E1308">
        <v>14</v>
      </c>
      <c r="F1308">
        <v>1</v>
      </c>
      <c r="G1308" s="2">
        <v>593750417</v>
      </c>
      <c r="H1308" s="2">
        <v>773861</v>
      </c>
      <c r="L1308">
        <v>0</v>
      </c>
      <c r="M1308" t="str">
        <f t="shared" si="20"/>
        <v>After 2020</v>
      </c>
    </row>
    <row r="1309" spans="1:13" hidden="1">
      <c r="A1309" t="s">
        <v>1989</v>
      </c>
      <c r="B1309" t="s">
        <v>1953</v>
      </c>
      <c r="C1309" s="1">
        <v>45204</v>
      </c>
      <c r="D1309" s="2">
        <v>100830964</v>
      </c>
      <c r="E1309" s="2">
        <v>24220</v>
      </c>
      <c r="G1309" s="2">
        <v>48323636</v>
      </c>
      <c r="H1309" s="2">
        <v>580854</v>
      </c>
      <c r="I1309" s="2">
        <v>32857211</v>
      </c>
      <c r="J1309">
        <v>79</v>
      </c>
      <c r="K1309">
        <v>132</v>
      </c>
      <c r="L1309">
        <v>0</v>
      </c>
      <c r="M1309" t="str">
        <f t="shared" si="20"/>
        <v>After 2020</v>
      </c>
    </row>
    <row r="1310" spans="1:13" hidden="1">
      <c r="A1310" t="s">
        <v>1990</v>
      </c>
      <c r="B1310" t="s">
        <v>384</v>
      </c>
      <c r="C1310" s="1">
        <v>44813</v>
      </c>
      <c r="D1310" s="2">
        <v>511726944</v>
      </c>
      <c r="E1310" s="2">
        <v>74845</v>
      </c>
      <c r="F1310">
        <v>68</v>
      </c>
      <c r="G1310" s="2">
        <v>182250623</v>
      </c>
      <c r="H1310" s="2">
        <v>931096</v>
      </c>
      <c r="I1310" s="2">
        <v>193905770</v>
      </c>
      <c r="J1310">
        <v>15</v>
      </c>
      <c r="L1310">
        <v>0</v>
      </c>
      <c r="M1310" t="str">
        <f t="shared" si="20"/>
        <v>After 2020</v>
      </c>
    </row>
    <row r="1311" spans="1:13" hidden="1">
      <c r="A1311" t="s">
        <v>1991</v>
      </c>
      <c r="B1311" t="s">
        <v>1992</v>
      </c>
      <c r="C1311" s="1">
        <v>45415</v>
      </c>
      <c r="D1311" s="2">
        <v>35864342</v>
      </c>
      <c r="E1311" s="2">
        <v>3113</v>
      </c>
      <c r="F1311">
        <v>77</v>
      </c>
      <c r="G1311" s="2">
        <v>11599115</v>
      </c>
      <c r="H1311" s="2">
        <v>162098</v>
      </c>
      <c r="J1311">
        <v>18</v>
      </c>
      <c r="L1311">
        <v>0</v>
      </c>
      <c r="M1311" t="str">
        <f t="shared" si="20"/>
        <v>After 2020</v>
      </c>
    </row>
    <row r="1312" spans="1:13">
      <c r="A1312" t="s">
        <v>1993</v>
      </c>
      <c r="B1312" t="s">
        <v>19</v>
      </c>
      <c r="C1312" s="1">
        <v>43104</v>
      </c>
      <c r="D1312" s="2">
        <v>1638529683</v>
      </c>
      <c r="E1312" s="2">
        <v>207686</v>
      </c>
      <c r="F1312">
        <v>82</v>
      </c>
      <c r="G1312" s="2">
        <v>633789787</v>
      </c>
      <c r="H1312" s="2">
        <v>5683859</v>
      </c>
      <c r="I1312" s="2">
        <v>211875110</v>
      </c>
      <c r="J1312">
        <v>152</v>
      </c>
      <c r="K1312">
        <v>39</v>
      </c>
      <c r="L1312">
        <v>1</v>
      </c>
      <c r="M1312" t="str">
        <f t="shared" si="20"/>
        <v>2010-2020</v>
      </c>
    </row>
    <row r="1313" spans="1:13" hidden="1">
      <c r="A1313" t="s">
        <v>1994</v>
      </c>
      <c r="B1313" t="s">
        <v>1995</v>
      </c>
      <c r="C1313" s="1">
        <v>43671</v>
      </c>
      <c r="D1313" s="2">
        <v>41063045</v>
      </c>
      <c r="E1313">
        <v>297</v>
      </c>
      <c r="G1313" s="2">
        <v>1741817091</v>
      </c>
      <c r="H1313" s="2">
        <v>12058286</v>
      </c>
      <c r="I1313" s="2">
        <v>7747330</v>
      </c>
      <c r="J1313">
        <v>1</v>
      </c>
      <c r="L1313">
        <v>0</v>
      </c>
      <c r="M1313" t="str">
        <f t="shared" si="20"/>
        <v>2010-2020</v>
      </c>
    </row>
    <row r="1314" spans="1:13">
      <c r="A1314" t="s">
        <v>1996</v>
      </c>
      <c r="B1314" t="s">
        <v>182</v>
      </c>
      <c r="C1314" s="1">
        <v>42566</v>
      </c>
      <c r="D1314" s="2">
        <v>581220786</v>
      </c>
      <c r="E1314" s="2">
        <v>115125</v>
      </c>
      <c r="F1314">
        <v>65</v>
      </c>
      <c r="G1314" s="2">
        <v>365678540</v>
      </c>
      <c r="H1314" s="2">
        <v>2841760</v>
      </c>
      <c r="I1314" s="2">
        <v>98210</v>
      </c>
      <c r="J1314">
        <v>94</v>
      </c>
      <c r="K1314">
        <v>17</v>
      </c>
      <c r="L1314">
        <v>1</v>
      </c>
      <c r="M1314" t="str">
        <f t="shared" si="20"/>
        <v>2010-2020</v>
      </c>
    </row>
    <row r="1315" spans="1:13" hidden="1">
      <c r="A1315" t="s">
        <v>1997</v>
      </c>
      <c r="B1315" t="s">
        <v>522</v>
      </c>
      <c r="C1315" s="1">
        <v>45219</v>
      </c>
      <c r="D1315" s="2">
        <v>202633616</v>
      </c>
      <c r="E1315" s="2">
        <v>12683</v>
      </c>
      <c r="F1315">
        <v>78</v>
      </c>
      <c r="G1315" s="2">
        <v>117472301</v>
      </c>
      <c r="H1315" s="2">
        <v>623131</v>
      </c>
      <c r="I1315" s="2">
        <v>1541896</v>
      </c>
      <c r="J1315">
        <v>11</v>
      </c>
      <c r="L1315">
        <v>1</v>
      </c>
      <c r="M1315" t="str">
        <f t="shared" si="20"/>
        <v>After 2020</v>
      </c>
    </row>
    <row r="1316" spans="1:13">
      <c r="A1316" t="s">
        <v>1998</v>
      </c>
      <c r="B1316" t="s">
        <v>295</v>
      </c>
      <c r="C1316" s="1">
        <v>42812</v>
      </c>
      <c r="D1316" s="2">
        <v>1625307365</v>
      </c>
      <c r="E1316" s="2">
        <v>288559</v>
      </c>
      <c r="F1316">
        <v>77</v>
      </c>
      <c r="G1316" s="2">
        <v>410329826</v>
      </c>
      <c r="H1316" s="2">
        <v>2747230</v>
      </c>
      <c r="I1316" s="2">
        <v>907498533</v>
      </c>
      <c r="J1316">
        <v>241</v>
      </c>
      <c r="K1316">
        <v>51</v>
      </c>
      <c r="L1316">
        <v>0</v>
      </c>
      <c r="M1316" t="str">
        <f t="shared" si="20"/>
        <v>2010-2020</v>
      </c>
    </row>
    <row r="1317" spans="1:13">
      <c r="A1317" t="s">
        <v>1999</v>
      </c>
      <c r="B1317" t="s">
        <v>2000</v>
      </c>
      <c r="C1317" s="1">
        <v>45009</v>
      </c>
      <c r="D1317" s="2">
        <v>1165398518</v>
      </c>
      <c r="E1317" s="2">
        <v>16425</v>
      </c>
      <c r="F1317">
        <v>84</v>
      </c>
      <c r="G1317" s="2">
        <v>139608215</v>
      </c>
      <c r="H1317" s="2">
        <v>4239579</v>
      </c>
      <c r="I1317" s="2">
        <v>25133495</v>
      </c>
      <c r="J1317">
        <v>20</v>
      </c>
      <c r="K1317">
        <v>12</v>
      </c>
      <c r="L1317">
        <v>0</v>
      </c>
      <c r="M1317" t="str">
        <f t="shared" si="20"/>
        <v>After 2020</v>
      </c>
    </row>
    <row r="1318" spans="1:13">
      <c r="A1318" t="s">
        <v>2001</v>
      </c>
      <c r="B1318" t="s">
        <v>1728</v>
      </c>
      <c r="C1318" s="1">
        <v>42713</v>
      </c>
      <c r="D1318" s="2">
        <v>1662288901</v>
      </c>
      <c r="E1318" s="2">
        <v>129306</v>
      </c>
      <c r="F1318">
        <v>75</v>
      </c>
      <c r="G1318" s="2">
        <v>1049659880</v>
      </c>
      <c r="H1318" s="2">
        <v>9224750</v>
      </c>
      <c r="I1318" s="2">
        <v>6028763</v>
      </c>
      <c r="J1318">
        <v>130</v>
      </c>
      <c r="K1318">
        <v>22</v>
      </c>
      <c r="L1318">
        <v>0</v>
      </c>
      <c r="M1318" t="str">
        <f t="shared" si="20"/>
        <v>2010-2020</v>
      </c>
    </row>
    <row r="1319" spans="1:13">
      <c r="A1319" t="s">
        <v>2002</v>
      </c>
      <c r="B1319" t="s">
        <v>404</v>
      </c>
      <c r="C1319" s="1">
        <v>45002</v>
      </c>
      <c r="D1319" s="2">
        <v>308738277</v>
      </c>
      <c r="E1319" s="2">
        <v>38674</v>
      </c>
      <c r="F1319">
        <v>70</v>
      </c>
      <c r="G1319" s="2">
        <v>77532151</v>
      </c>
      <c r="H1319" s="2">
        <v>1140208</v>
      </c>
      <c r="I1319" s="2">
        <v>1174579945</v>
      </c>
      <c r="J1319">
        <v>29</v>
      </c>
      <c r="K1319" s="2">
        <v>1061</v>
      </c>
      <c r="L1319">
        <v>1</v>
      </c>
      <c r="M1319" t="str">
        <f t="shared" si="20"/>
        <v>After 2020</v>
      </c>
    </row>
    <row r="1320" spans="1:13">
      <c r="A1320" t="s">
        <v>2003</v>
      </c>
      <c r="B1320" t="s">
        <v>2004</v>
      </c>
      <c r="C1320" s="1">
        <v>42671</v>
      </c>
      <c r="D1320" s="2">
        <v>936450891</v>
      </c>
      <c r="E1320" s="2">
        <v>173279</v>
      </c>
      <c r="F1320">
        <v>66</v>
      </c>
      <c r="G1320" s="2">
        <v>59661695</v>
      </c>
      <c r="H1320" s="2">
        <v>602296</v>
      </c>
      <c r="I1320" s="2">
        <v>288759827</v>
      </c>
      <c r="J1320">
        <v>194</v>
      </c>
      <c r="K1320">
        <v>18</v>
      </c>
      <c r="L1320">
        <v>1</v>
      </c>
      <c r="M1320" t="str">
        <f t="shared" si="20"/>
        <v>2010-2020</v>
      </c>
    </row>
    <row r="1321" spans="1:13">
      <c r="A1321" t="s">
        <v>2005</v>
      </c>
      <c r="B1321" t="s">
        <v>1923</v>
      </c>
      <c r="C1321" s="1">
        <v>42790</v>
      </c>
      <c r="D1321" s="2">
        <v>706158416</v>
      </c>
      <c r="E1321" s="2">
        <v>87667</v>
      </c>
      <c r="F1321">
        <v>65</v>
      </c>
      <c r="G1321" s="2">
        <v>1601099483</v>
      </c>
      <c r="H1321" s="2">
        <v>7360323</v>
      </c>
      <c r="I1321" s="2">
        <v>233419445</v>
      </c>
      <c r="J1321">
        <v>76</v>
      </c>
      <c r="K1321">
        <v>69</v>
      </c>
      <c r="L1321">
        <v>0</v>
      </c>
      <c r="M1321" t="str">
        <f t="shared" si="20"/>
        <v>2010-2020</v>
      </c>
    </row>
    <row r="1322" spans="1:13">
      <c r="A1322" t="s">
        <v>2006</v>
      </c>
      <c r="B1322" t="s">
        <v>2007</v>
      </c>
      <c r="C1322" s="1">
        <v>45080</v>
      </c>
      <c r="D1322" s="2">
        <v>128855739</v>
      </c>
      <c r="E1322" s="2">
        <v>26723</v>
      </c>
      <c r="F1322">
        <v>65</v>
      </c>
      <c r="G1322" s="2">
        <v>17779741</v>
      </c>
      <c r="H1322" s="2">
        <v>246939</v>
      </c>
      <c r="I1322" s="2">
        <v>1598512701</v>
      </c>
      <c r="J1322">
        <v>14</v>
      </c>
      <c r="K1322" s="2">
        <v>1893</v>
      </c>
      <c r="L1322">
        <v>1</v>
      </c>
      <c r="M1322" t="str">
        <f t="shared" si="20"/>
        <v>After 2020</v>
      </c>
    </row>
    <row r="1323" spans="1:13">
      <c r="A1323" t="s">
        <v>2008</v>
      </c>
      <c r="B1323" t="s">
        <v>355</v>
      </c>
      <c r="C1323" s="1">
        <v>44015</v>
      </c>
      <c r="D1323" s="2">
        <v>560691819</v>
      </c>
      <c r="E1323" s="2">
        <v>166545</v>
      </c>
      <c r="F1323">
        <v>65</v>
      </c>
      <c r="G1323" s="2">
        <v>303897464</v>
      </c>
      <c r="H1323" s="2">
        <v>2717884</v>
      </c>
      <c r="I1323" s="2">
        <v>79349687</v>
      </c>
      <c r="J1323">
        <v>74</v>
      </c>
      <c r="K1323">
        <v>103</v>
      </c>
      <c r="L1323">
        <v>1</v>
      </c>
      <c r="M1323" t="str">
        <f t="shared" si="20"/>
        <v>2010-2020</v>
      </c>
    </row>
    <row r="1324" spans="1:13" hidden="1">
      <c r="A1324" t="s">
        <v>365</v>
      </c>
      <c r="B1324" t="s">
        <v>81</v>
      </c>
      <c r="C1324" s="1">
        <v>45303</v>
      </c>
      <c r="D1324" s="2">
        <v>416813996</v>
      </c>
      <c r="E1324" s="2">
        <v>2906</v>
      </c>
      <c r="J1324">
        <v>47</v>
      </c>
      <c r="L1324">
        <v>0</v>
      </c>
      <c r="M1324" t="str">
        <f t="shared" si="20"/>
        <v>After 2020</v>
      </c>
    </row>
    <row r="1325" spans="1:13" hidden="1">
      <c r="A1325" t="s">
        <v>2009</v>
      </c>
      <c r="B1325" t="s">
        <v>2010</v>
      </c>
      <c r="C1325" s="1">
        <v>41779</v>
      </c>
      <c r="D1325" s="2">
        <v>1663491433</v>
      </c>
      <c r="E1325" s="2">
        <v>49556</v>
      </c>
      <c r="F1325">
        <v>52</v>
      </c>
      <c r="G1325" s="2">
        <v>1569239627</v>
      </c>
      <c r="H1325" s="2">
        <v>8709566</v>
      </c>
      <c r="I1325" s="2">
        <v>60584088</v>
      </c>
      <c r="J1325">
        <v>267</v>
      </c>
      <c r="L1325">
        <v>0</v>
      </c>
      <c r="M1325" t="str">
        <f t="shared" si="20"/>
        <v>2010-2020</v>
      </c>
    </row>
    <row r="1326" spans="1:13">
      <c r="A1326" t="s">
        <v>2011</v>
      </c>
      <c r="B1326" t="s">
        <v>2012</v>
      </c>
      <c r="C1326" s="1">
        <v>43553</v>
      </c>
      <c r="D1326" s="2">
        <v>92985109</v>
      </c>
      <c r="E1326" s="2">
        <v>21725</v>
      </c>
      <c r="F1326">
        <v>45</v>
      </c>
      <c r="G1326" s="2">
        <v>166739538</v>
      </c>
      <c r="H1326" s="2">
        <v>2648737</v>
      </c>
      <c r="I1326" s="2">
        <v>9273764020</v>
      </c>
      <c r="J1326">
        <v>11</v>
      </c>
      <c r="K1326">
        <v>37</v>
      </c>
      <c r="L1326">
        <v>1</v>
      </c>
      <c r="M1326" t="str">
        <f t="shared" si="20"/>
        <v>2010-2020</v>
      </c>
    </row>
    <row r="1327" spans="1:13" hidden="1">
      <c r="A1327" t="s">
        <v>1619</v>
      </c>
      <c r="B1327" t="s">
        <v>1011</v>
      </c>
      <c r="C1327" s="1">
        <v>45338</v>
      </c>
      <c r="J1327">
        <v>1</v>
      </c>
      <c r="L1327">
        <v>0</v>
      </c>
      <c r="M1327" t="str">
        <f t="shared" si="20"/>
        <v>After 2020</v>
      </c>
    </row>
    <row r="1328" spans="1:13">
      <c r="A1328" t="s">
        <v>2013</v>
      </c>
      <c r="B1328" t="s">
        <v>24</v>
      </c>
      <c r="C1328" s="1">
        <v>41275</v>
      </c>
      <c r="D1328" s="2">
        <v>930004605</v>
      </c>
      <c r="E1328" s="2">
        <v>113036</v>
      </c>
      <c r="F1328">
        <v>73</v>
      </c>
      <c r="G1328" s="2">
        <v>1694450676</v>
      </c>
      <c r="H1328" s="2">
        <v>11543620</v>
      </c>
      <c r="I1328" s="2">
        <v>1460975398</v>
      </c>
      <c r="J1328">
        <v>168</v>
      </c>
      <c r="K1328">
        <v>101</v>
      </c>
      <c r="L1328">
        <v>0</v>
      </c>
      <c r="M1328" t="str">
        <f t="shared" si="20"/>
        <v>2010-2020</v>
      </c>
    </row>
    <row r="1329" spans="1:13" hidden="1">
      <c r="A1329" t="s">
        <v>2014</v>
      </c>
      <c r="B1329" t="s">
        <v>2015</v>
      </c>
      <c r="C1329" s="1">
        <v>45412</v>
      </c>
      <c r="D1329" s="2">
        <v>348676476</v>
      </c>
      <c r="E1329">
        <v>4</v>
      </c>
      <c r="L1329">
        <v>1</v>
      </c>
      <c r="M1329" t="str">
        <f t="shared" si="20"/>
        <v>After 2020</v>
      </c>
    </row>
    <row r="1330" spans="1:13" hidden="1">
      <c r="A1330" t="s">
        <v>2016</v>
      </c>
      <c r="B1330" t="s">
        <v>81</v>
      </c>
      <c r="C1330" s="1">
        <v>43959</v>
      </c>
      <c r="D1330" s="2">
        <v>1120501187</v>
      </c>
      <c r="E1330" s="2">
        <v>116269</v>
      </c>
      <c r="F1330">
        <v>73</v>
      </c>
      <c r="G1330" s="2">
        <v>433277837</v>
      </c>
      <c r="H1330" s="2">
        <v>6197761</v>
      </c>
      <c r="I1330" s="2">
        <v>561421880</v>
      </c>
      <c r="J1330">
        <v>154</v>
      </c>
      <c r="L1330">
        <v>0</v>
      </c>
      <c r="M1330" t="str">
        <f t="shared" si="20"/>
        <v>2010-2020</v>
      </c>
    </row>
    <row r="1331" spans="1:13">
      <c r="A1331" t="s">
        <v>2017</v>
      </c>
      <c r="B1331" t="s">
        <v>63</v>
      </c>
      <c r="C1331" s="1">
        <v>44596</v>
      </c>
      <c r="D1331" s="2">
        <v>452628341</v>
      </c>
      <c r="E1331" s="2">
        <v>58658</v>
      </c>
      <c r="F1331">
        <v>71</v>
      </c>
      <c r="G1331" s="2">
        <v>107628561</v>
      </c>
      <c r="H1331" s="2">
        <v>1112016</v>
      </c>
      <c r="I1331" s="2">
        <v>230696336</v>
      </c>
      <c r="J1331">
        <v>90</v>
      </c>
      <c r="K1331">
        <v>671</v>
      </c>
      <c r="L1331">
        <v>0</v>
      </c>
      <c r="M1331" t="str">
        <f t="shared" si="20"/>
        <v>After 2020</v>
      </c>
    </row>
    <row r="1332" spans="1:13">
      <c r="A1332" t="s">
        <v>2018</v>
      </c>
      <c r="B1332" t="s">
        <v>184</v>
      </c>
      <c r="C1332" s="1">
        <v>44519</v>
      </c>
      <c r="D1332" s="2">
        <v>562200390</v>
      </c>
      <c r="E1332" s="2">
        <v>66469</v>
      </c>
      <c r="F1332">
        <v>68</v>
      </c>
      <c r="G1332" s="2">
        <v>175552661</v>
      </c>
      <c r="H1332" s="2">
        <v>2085739</v>
      </c>
      <c r="I1332" s="2">
        <v>324045421</v>
      </c>
      <c r="J1332">
        <v>143</v>
      </c>
      <c r="K1332">
        <v>150</v>
      </c>
      <c r="L1332">
        <v>0</v>
      </c>
      <c r="M1332" t="str">
        <f t="shared" si="20"/>
        <v>After 2020</v>
      </c>
    </row>
    <row r="1333" spans="1:13" hidden="1">
      <c r="A1333" t="s">
        <v>2019</v>
      </c>
      <c r="B1333" t="s">
        <v>155</v>
      </c>
      <c r="C1333" s="1">
        <v>45394</v>
      </c>
      <c r="D1333" s="2">
        <v>270590102</v>
      </c>
      <c r="E1333">
        <v>4</v>
      </c>
      <c r="L1333">
        <v>0</v>
      </c>
      <c r="M1333" t="str">
        <f t="shared" si="20"/>
        <v>After 2020</v>
      </c>
    </row>
    <row r="1334" spans="1:13">
      <c r="A1334" t="s">
        <v>2020</v>
      </c>
      <c r="B1334" t="s">
        <v>2021</v>
      </c>
      <c r="C1334" s="1">
        <v>42706</v>
      </c>
      <c r="D1334" s="2">
        <v>960430911</v>
      </c>
      <c r="E1334" s="2">
        <v>121478</v>
      </c>
      <c r="F1334">
        <v>64</v>
      </c>
      <c r="G1334" s="2">
        <v>686017624</v>
      </c>
      <c r="H1334" s="2">
        <v>5762838</v>
      </c>
      <c r="I1334" s="2">
        <v>318342595</v>
      </c>
      <c r="J1334">
        <v>61</v>
      </c>
      <c r="K1334">
        <v>34</v>
      </c>
      <c r="L1334">
        <v>1</v>
      </c>
      <c r="M1334" t="str">
        <f t="shared" si="20"/>
        <v>2010-2020</v>
      </c>
    </row>
    <row r="1335" spans="1:13">
      <c r="A1335" t="s">
        <v>2022</v>
      </c>
      <c r="B1335" t="s">
        <v>920</v>
      </c>
      <c r="C1335" s="1">
        <v>45026</v>
      </c>
      <c r="D1335" s="2">
        <v>269067890</v>
      </c>
      <c r="E1335" s="2">
        <v>20356</v>
      </c>
      <c r="F1335">
        <v>71</v>
      </c>
      <c r="G1335" s="2">
        <v>256133933</v>
      </c>
      <c r="H1335" s="2">
        <v>2369761</v>
      </c>
      <c r="I1335" s="2">
        <v>473159481</v>
      </c>
      <c r="J1335">
        <v>34</v>
      </c>
      <c r="K1335">
        <v>30</v>
      </c>
      <c r="L1335">
        <v>0</v>
      </c>
      <c r="M1335" t="str">
        <f t="shared" si="20"/>
        <v>After 2020</v>
      </c>
    </row>
    <row r="1336" spans="1:13">
      <c r="A1336" t="s">
        <v>2023</v>
      </c>
      <c r="B1336" t="s">
        <v>24</v>
      </c>
      <c r="C1336" s="1">
        <v>44057</v>
      </c>
      <c r="D1336" s="2">
        <v>629372240</v>
      </c>
      <c r="E1336" s="2">
        <v>86326</v>
      </c>
      <c r="F1336">
        <v>66</v>
      </c>
      <c r="G1336" s="2">
        <v>301362454</v>
      </c>
      <c r="H1336" s="2">
        <v>2670514</v>
      </c>
      <c r="I1336" s="2">
        <v>286126363</v>
      </c>
      <c r="J1336">
        <v>199</v>
      </c>
      <c r="K1336">
        <v>130</v>
      </c>
      <c r="L1336">
        <v>0</v>
      </c>
      <c r="M1336" t="str">
        <f t="shared" si="20"/>
        <v>2010-2020</v>
      </c>
    </row>
    <row r="1337" spans="1:13" hidden="1">
      <c r="A1337" t="s">
        <v>2024</v>
      </c>
      <c r="B1337" t="s">
        <v>2025</v>
      </c>
      <c r="C1337" s="1">
        <v>45397</v>
      </c>
      <c r="D1337" s="2">
        <v>15434400</v>
      </c>
      <c r="E1337" s="2">
        <v>1054</v>
      </c>
      <c r="G1337" s="2">
        <v>51593380</v>
      </c>
      <c r="H1337" s="2">
        <v>370143</v>
      </c>
      <c r="I1337" s="2">
        <v>4691841</v>
      </c>
      <c r="J1337">
        <v>10</v>
      </c>
      <c r="L1337">
        <v>0</v>
      </c>
      <c r="M1337" t="str">
        <f t="shared" si="20"/>
        <v>After 2020</v>
      </c>
    </row>
    <row r="1338" spans="1:13">
      <c r="A1338" t="s">
        <v>2026</v>
      </c>
      <c r="B1338" t="s">
        <v>141</v>
      </c>
      <c r="C1338" s="1">
        <v>44687</v>
      </c>
      <c r="D1338" s="2">
        <v>432885913</v>
      </c>
      <c r="E1338" s="2">
        <v>51912</v>
      </c>
      <c r="F1338">
        <v>71</v>
      </c>
      <c r="G1338" s="2">
        <v>321888868</v>
      </c>
      <c r="H1338" s="2">
        <v>1818193</v>
      </c>
      <c r="I1338" s="2">
        <v>1232405599</v>
      </c>
      <c r="J1338">
        <v>14</v>
      </c>
      <c r="K1338">
        <v>42</v>
      </c>
      <c r="L1338">
        <v>1</v>
      </c>
      <c r="M1338" t="str">
        <f t="shared" si="20"/>
        <v>After 2020</v>
      </c>
    </row>
    <row r="1339" spans="1:13">
      <c r="A1339" t="s">
        <v>2027</v>
      </c>
      <c r="B1339" t="s">
        <v>1645</v>
      </c>
      <c r="C1339" s="1">
        <v>43038</v>
      </c>
      <c r="D1339" s="2">
        <v>1506766477</v>
      </c>
      <c r="E1339" s="2">
        <v>257640</v>
      </c>
      <c r="F1339">
        <v>80</v>
      </c>
      <c r="G1339" s="2">
        <v>392508024</v>
      </c>
      <c r="H1339" s="2">
        <v>2837908</v>
      </c>
      <c r="I1339" s="2">
        <v>127112835</v>
      </c>
      <c r="J1339">
        <v>93</v>
      </c>
      <c r="K1339">
        <v>81</v>
      </c>
      <c r="L1339">
        <v>1</v>
      </c>
      <c r="M1339" t="str">
        <f t="shared" si="20"/>
        <v>2010-2020</v>
      </c>
    </row>
    <row r="1340" spans="1:13" hidden="1">
      <c r="A1340" t="s">
        <v>2028</v>
      </c>
      <c r="B1340" t="s">
        <v>2029</v>
      </c>
      <c r="C1340" s="1">
        <v>45007</v>
      </c>
      <c r="D1340" s="2">
        <v>125289731</v>
      </c>
      <c r="E1340" s="2">
        <v>25929</v>
      </c>
      <c r="F1340">
        <v>65</v>
      </c>
      <c r="G1340" s="2">
        <v>150869846</v>
      </c>
      <c r="H1340" s="2">
        <v>2405158</v>
      </c>
      <c r="I1340" s="2">
        <v>855679980</v>
      </c>
      <c r="J1340">
        <v>20</v>
      </c>
      <c r="L1340">
        <v>0</v>
      </c>
      <c r="M1340" t="str">
        <f t="shared" si="20"/>
        <v>After 2020</v>
      </c>
    </row>
    <row r="1341" spans="1:13" hidden="1">
      <c r="A1341" t="s">
        <v>2030</v>
      </c>
      <c r="B1341" t="s">
        <v>2031</v>
      </c>
      <c r="C1341" s="1">
        <v>43434</v>
      </c>
      <c r="D1341" s="2">
        <v>1189579197</v>
      </c>
      <c r="E1341" s="2">
        <v>190095</v>
      </c>
      <c r="F1341">
        <v>73</v>
      </c>
      <c r="G1341" s="2">
        <v>339988703</v>
      </c>
      <c r="H1341" s="2">
        <v>2979918</v>
      </c>
      <c r="I1341" s="2">
        <v>1545417106</v>
      </c>
      <c r="K1341">
        <v>495</v>
      </c>
      <c r="L1341">
        <v>1</v>
      </c>
      <c r="M1341" t="str">
        <f t="shared" si="20"/>
        <v>2010-2020</v>
      </c>
    </row>
    <row r="1342" spans="1:13" hidden="1">
      <c r="A1342" t="s">
        <v>2032</v>
      </c>
      <c r="B1342" t="s">
        <v>2033</v>
      </c>
      <c r="C1342" s="1">
        <v>45259</v>
      </c>
      <c r="D1342" s="2">
        <v>111408880</v>
      </c>
      <c r="E1342" s="2">
        <v>17345</v>
      </c>
      <c r="G1342" s="2">
        <v>92538511</v>
      </c>
      <c r="H1342" s="2">
        <v>602552</v>
      </c>
      <c r="J1342">
        <v>13</v>
      </c>
      <c r="L1342">
        <v>1</v>
      </c>
      <c r="M1342" t="str">
        <f t="shared" si="20"/>
        <v>After 2020</v>
      </c>
    </row>
    <row r="1343" spans="1:13" hidden="1">
      <c r="A1343" t="s">
        <v>2034</v>
      </c>
      <c r="B1343" t="s">
        <v>2035</v>
      </c>
      <c r="C1343" s="1">
        <v>45408</v>
      </c>
      <c r="D1343" s="2">
        <v>47364546</v>
      </c>
      <c r="E1343" s="2">
        <v>3863</v>
      </c>
      <c r="F1343">
        <v>77</v>
      </c>
      <c r="G1343" s="2">
        <v>11650472</v>
      </c>
      <c r="H1343" s="2">
        <v>163940</v>
      </c>
      <c r="J1343">
        <v>20</v>
      </c>
      <c r="L1343">
        <v>1</v>
      </c>
      <c r="M1343" t="str">
        <f t="shared" si="20"/>
        <v>After 2020</v>
      </c>
    </row>
    <row r="1344" spans="1:13">
      <c r="A1344" t="s">
        <v>2036</v>
      </c>
      <c r="B1344" t="s">
        <v>141</v>
      </c>
      <c r="C1344" s="1">
        <v>43890</v>
      </c>
      <c r="D1344" s="2">
        <v>868744690</v>
      </c>
      <c r="E1344" s="2">
        <v>116275</v>
      </c>
      <c r="F1344">
        <v>70</v>
      </c>
      <c r="G1344" s="2">
        <v>491413241</v>
      </c>
      <c r="H1344" s="2">
        <v>3414196</v>
      </c>
      <c r="I1344" s="2">
        <v>989597627</v>
      </c>
      <c r="J1344">
        <v>125</v>
      </c>
      <c r="K1344">
        <v>11</v>
      </c>
      <c r="L1344">
        <v>1</v>
      </c>
      <c r="M1344" t="str">
        <f t="shared" si="20"/>
        <v>2010-2020</v>
      </c>
    </row>
    <row r="1345" spans="1:13">
      <c r="A1345" t="s">
        <v>2037</v>
      </c>
      <c r="B1345" t="s">
        <v>285</v>
      </c>
      <c r="C1345" s="1">
        <v>40179</v>
      </c>
      <c r="D1345" s="2">
        <v>952635214</v>
      </c>
      <c r="E1345" s="2">
        <v>136655</v>
      </c>
      <c r="F1345">
        <v>76</v>
      </c>
      <c r="G1345" s="2">
        <v>3312260344</v>
      </c>
      <c r="H1345" s="2">
        <v>26679549</v>
      </c>
      <c r="I1345" s="2">
        <v>1174409085</v>
      </c>
      <c r="J1345">
        <v>90</v>
      </c>
      <c r="K1345">
        <v>41</v>
      </c>
      <c r="L1345">
        <v>0</v>
      </c>
      <c r="M1345" t="str">
        <f t="shared" si="20"/>
        <v>2010-2020</v>
      </c>
    </row>
    <row r="1346" spans="1:13">
      <c r="A1346" t="s">
        <v>2038</v>
      </c>
      <c r="B1346" t="s">
        <v>295</v>
      </c>
      <c r="C1346" s="1">
        <v>44869</v>
      </c>
      <c r="D1346" s="2">
        <v>253540951</v>
      </c>
      <c r="E1346" s="2">
        <v>82934</v>
      </c>
      <c r="F1346">
        <v>67</v>
      </c>
      <c r="G1346" s="2">
        <v>22665894</v>
      </c>
      <c r="H1346" s="2">
        <v>368326</v>
      </c>
      <c r="I1346" s="2">
        <v>494336128</v>
      </c>
      <c r="J1346">
        <v>17</v>
      </c>
      <c r="K1346">
        <v>25</v>
      </c>
      <c r="L1346">
        <v>1</v>
      </c>
      <c r="M1346" t="str">
        <f t="shared" si="20"/>
        <v>After 2020</v>
      </c>
    </row>
    <row r="1347" spans="1:13" hidden="1">
      <c r="A1347" t="s">
        <v>2039</v>
      </c>
      <c r="C1347" s="1">
        <v>45450</v>
      </c>
      <c r="L1347">
        <v>0</v>
      </c>
      <c r="M1347" t="str">
        <f t="shared" ref="M1347:M1410" si="21">IF(YEAR(C1347)&lt;2010,"Before 2010",IF(YEAR(C1347)&lt;=2020,"2010-2020","After 2020"))</f>
        <v>After 2020</v>
      </c>
    </row>
    <row r="1348" spans="1:13">
      <c r="A1348" t="s">
        <v>1958</v>
      </c>
      <c r="B1348" t="s">
        <v>77</v>
      </c>
      <c r="C1348" s="1">
        <v>44953</v>
      </c>
      <c r="D1348" s="2">
        <v>215466975</v>
      </c>
      <c r="E1348" s="2">
        <v>44476</v>
      </c>
      <c r="F1348">
        <v>62</v>
      </c>
      <c r="G1348" s="2">
        <v>28993149</v>
      </c>
      <c r="H1348" s="2">
        <v>455224</v>
      </c>
      <c r="I1348" s="2">
        <v>65897455</v>
      </c>
      <c r="J1348">
        <v>44</v>
      </c>
      <c r="K1348" s="2">
        <v>1410</v>
      </c>
      <c r="L1348">
        <v>0</v>
      </c>
      <c r="M1348" t="str">
        <f t="shared" si="21"/>
        <v>After 2020</v>
      </c>
    </row>
    <row r="1349" spans="1:13" hidden="1">
      <c r="A1349" t="s">
        <v>2040</v>
      </c>
      <c r="B1349" t="s">
        <v>200</v>
      </c>
      <c r="C1349" s="1">
        <v>45099</v>
      </c>
      <c r="D1349" s="2">
        <v>301396080</v>
      </c>
      <c r="E1349" s="2">
        <v>23886</v>
      </c>
      <c r="F1349">
        <v>74</v>
      </c>
      <c r="G1349" s="2">
        <v>85636375</v>
      </c>
      <c r="H1349" s="2">
        <v>455525</v>
      </c>
      <c r="I1349" s="2">
        <v>232731548</v>
      </c>
      <c r="J1349">
        <v>7</v>
      </c>
      <c r="L1349">
        <v>1</v>
      </c>
      <c r="M1349" t="str">
        <f t="shared" si="21"/>
        <v>After 2020</v>
      </c>
    </row>
    <row r="1350" spans="1:13" hidden="1">
      <c r="A1350" t="s">
        <v>2041</v>
      </c>
      <c r="B1350" t="s">
        <v>2042</v>
      </c>
      <c r="C1350" s="1">
        <v>45183</v>
      </c>
      <c r="D1350" s="2">
        <v>154018930</v>
      </c>
      <c r="E1350" s="2">
        <v>23281</v>
      </c>
      <c r="F1350">
        <v>73</v>
      </c>
      <c r="G1350" s="2">
        <v>107103779</v>
      </c>
      <c r="H1350" s="2">
        <v>554779</v>
      </c>
      <c r="I1350" s="2">
        <v>207698391</v>
      </c>
      <c r="J1350">
        <v>13</v>
      </c>
      <c r="L1350">
        <v>1</v>
      </c>
      <c r="M1350" t="str">
        <f t="shared" si="21"/>
        <v>After 2020</v>
      </c>
    </row>
    <row r="1351" spans="1:13" hidden="1">
      <c r="A1351" t="s">
        <v>2043</v>
      </c>
      <c r="B1351" t="s">
        <v>2044</v>
      </c>
      <c r="C1351" s="1">
        <v>45272</v>
      </c>
      <c r="D1351" s="2">
        <v>99086405</v>
      </c>
      <c r="E1351" s="2">
        <v>7282</v>
      </c>
      <c r="G1351" s="2">
        <v>128889809</v>
      </c>
      <c r="H1351" s="2">
        <v>1469572</v>
      </c>
      <c r="I1351" s="2">
        <v>7595</v>
      </c>
      <c r="J1351">
        <v>3</v>
      </c>
      <c r="K1351">
        <v>259</v>
      </c>
      <c r="L1351">
        <v>1</v>
      </c>
      <c r="M1351" t="str">
        <f t="shared" si="21"/>
        <v>After 2020</v>
      </c>
    </row>
    <row r="1352" spans="1:13">
      <c r="A1352" t="s">
        <v>2045</v>
      </c>
      <c r="B1352" t="s">
        <v>305</v>
      </c>
      <c r="C1352" s="1">
        <v>42650</v>
      </c>
      <c r="D1352" s="2">
        <v>1425996809</v>
      </c>
      <c r="E1352" s="2">
        <v>175419</v>
      </c>
      <c r="F1352">
        <v>77</v>
      </c>
      <c r="G1352" s="2">
        <v>181151693</v>
      </c>
      <c r="H1352" s="2">
        <v>1671253</v>
      </c>
      <c r="I1352" s="2">
        <v>968641395</v>
      </c>
      <c r="J1352">
        <v>238</v>
      </c>
      <c r="K1352">
        <v>368</v>
      </c>
      <c r="L1352">
        <v>0</v>
      </c>
      <c r="M1352" t="str">
        <f t="shared" si="21"/>
        <v>2010-2020</v>
      </c>
    </row>
    <row r="1353" spans="1:13">
      <c r="A1353" t="s">
        <v>2046</v>
      </c>
      <c r="B1353" t="s">
        <v>2047</v>
      </c>
      <c r="C1353" s="1">
        <v>44470</v>
      </c>
      <c r="D1353" s="2">
        <v>431638330</v>
      </c>
      <c r="E1353" s="2">
        <v>43727</v>
      </c>
      <c r="F1353">
        <v>66</v>
      </c>
      <c r="G1353" s="2">
        <v>564641494</v>
      </c>
      <c r="H1353" s="2">
        <v>7674539</v>
      </c>
      <c r="I1353" s="2">
        <v>2323894242</v>
      </c>
      <c r="J1353">
        <v>33</v>
      </c>
      <c r="K1353">
        <v>174</v>
      </c>
      <c r="L1353">
        <v>0</v>
      </c>
      <c r="M1353" t="str">
        <f t="shared" si="21"/>
        <v>After 2020</v>
      </c>
    </row>
    <row r="1354" spans="1:13">
      <c r="A1354" t="s">
        <v>2048</v>
      </c>
      <c r="B1354" t="s">
        <v>184</v>
      </c>
      <c r="C1354" s="1">
        <v>40561</v>
      </c>
      <c r="D1354" s="2">
        <v>1925879064</v>
      </c>
      <c r="E1354" s="2">
        <v>211527</v>
      </c>
      <c r="F1354">
        <v>75</v>
      </c>
      <c r="G1354" s="2">
        <v>759564393</v>
      </c>
      <c r="H1354" s="2">
        <v>4034527</v>
      </c>
      <c r="I1354" s="2">
        <v>401049702</v>
      </c>
      <c r="J1354">
        <v>249</v>
      </c>
      <c r="K1354">
        <v>118</v>
      </c>
      <c r="L1354">
        <v>0</v>
      </c>
      <c r="M1354" t="str">
        <f t="shared" si="21"/>
        <v>2010-2020</v>
      </c>
    </row>
    <row r="1355" spans="1:13">
      <c r="A1355" t="s">
        <v>2049</v>
      </c>
      <c r="B1355" t="s">
        <v>686</v>
      </c>
      <c r="C1355" s="1">
        <v>45100</v>
      </c>
      <c r="D1355" s="2">
        <v>112624663</v>
      </c>
      <c r="E1355" s="2">
        <v>43943</v>
      </c>
      <c r="F1355">
        <v>64</v>
      </c>
      <c r="G1355" s="2">
        <v>23464236</v>
      </c>
      <c r="H1355" s="2">
        <v>338591</v>
      </c>
      <c r="I1355" s="2">
        <v>39562107</v>
      </c>
      <c r="J1355">
        <v>53</v>
      </c>
      <c r="K1355">
        <v>261</v>
      </c>
      <c r="L1355">
        <v>1</v>
      </c>
      <c r="M1355" t="str">
        <f t="shared" si="21"/>
        <v>After 2020</v>
      </c>
    </row>
    <row r="1356" spans="1:13" hidden="1">
      <c r="A1356" t="s">
        <v>2050</v>
      </c>
      <c r="B1356" t="s">
        <v>2051</v>
      </c>
      <c r="C1356" s="1">
        <v>45181</v>
      </c>
      <c r="D1356" s="2">
        <v>8163960</v>
      </c>
      <c r="E1356" s="2">
        <v>3228</v>
      </c>
      <c r="G1356" s="2">
        <v>15456128</v>
      </c>
      <c r="H1356" s="2">
        <v>110317</v>
      </c>
      <c r="I1356" s="2">
        <v>651176298</v>
      </c>
      <c r="J1356">
        <v>2</v>
      </c>
      <c r="L1356">
        <v>0</v>
      </c>
      <c r="M1356" t="str">
        <f t="shared" si="21"/>
        <v>After 2020</v>
      </c>
    </row>
    <row r="1357" spans="1:13" hidden="1">
      <c r="A1357" t="s">
        <v>2052</v>
      </c>
      <c r="B1357" t="s">
        <v>1857</v>
      </c>
      <c r="C1357" s="1">
        <v>45331</v>
      </c>
      <c r="D1357" s="2">
        <v>147150985</v>
      </c>
      <c r="E1357" s="2">
        <v>20185</v>
      </c>
      <c r="G1357" s="2">
        <v>3917468</v>
      </c>
      <c r="H1357" s="2">
        <v>41465</v>
      </c>
      <c r="J1357">
        <v>6</v>
      </c>
      <c r="L1357">
        <v>1</v>
      </c>
      <c r="M1357" t="str">
        <f t="shared" si="21"/>
        <v>After 2020</v>
      </c>
    </row>
    <row r="1358" spans="1:13">
      <c r="A1358" t="s">
        <v>2053</v>
      </c>
      <c r="B1358" t="s">
        <v>216</v>
      </c>
      <c r="C1358" s="1">
        <v>43805</v>
      </c>
      <c r="D1358" s="2">
        <v>538059363</v>
      </c>
      <c r="E1358" s="2">
        <v>113736</v>
      </c>
      <c r="F1358">
        <v>65</v>
      </c>
      <c r="G1358" s="2">
        <v>215454028</v>
      </c>
      <c r="H1358" s="2">
        <v>1626950</v>
      </c>
      <c r="I1358" s="2">
        <v>1413496668</v>
      </c>
      <c r="J1358">
        <v>85</v>
      </c>
      <c r="K1358">
        <v>89</v>
      </c>
      <c r="L1358">
        <v>1</v>
      </c>
      <c r="M1358" t="str">
        <f t="shared" si="21"/>
        <v>2010-2020</v>
      </c>
    </row>
    <row r="1359" spans="1:13" hidden="1">
      <c r="A1359" t="s">
        <v>2054</v>
      </c>
      <c r="B1359" t="s">
        <v>2055</v>
      </c>
      <c r="C1359" s="1">
        <v>45419</v>
      </c>
      <c r="D1359" s="2">
        <v>17589316</v>
      </c>
      <c r="E1359" s="2">
        <v>3463</v>
      </c>
      <c r="F1359">
        <v>72</v>
      </c>
      <c r="G1359" s="2">
        <v>11826358</v>
      </c>
      <c r="H1359" s="2">
        <v>390500</v>
      </c>
      <c r="J1359">
        <v>9</v>
      </c>
      <c r="K1359">
        <v>2</v>
      </c>
      <c r="L1359">
        <v>1</v>
      </c>
      <c r="M1359" t="str">
        <f t="shared" si="21"/>
        <v>After 2020</v>
      </c>
    </row>
    <row r="1360" spans="1:13">
      <c r="A1360" t="s">
        <v>2056</v>
      </c>
      <c r="B1360" t="s">
        <v>449</v>
      </c>
      <c r="C1360" s="1">
        <v>43889</v>
      </c>
      <c r="D1360" s="2">
        <v>417634388</v>
      </c>
      <c r="E1360" s="2">
        <v>128536</v>
      </c>
      <c r="F1360">
        <v>68</v>
      </c>
      <c r="G1360" s="2">
        <v>507681327</v>
      </c>
      <c r="H1360" s="2">
        <v>3069325</v>
      </c>
      <c r="I1360" s="2">
        <v>174604275</v>
      </c>
      <c r="J1360">
        <v>73</v>
      </c>
      <c r="K1360">
        <v>70</v>
      </c>
      <c r="L1360">
        <v>1</v>
      </c>
      <c r="M1360" t="str">
        <f t="shared" si="21"/>
        <v>2010-2020</v>
      </c>
    </row>
    <row r="1361" spans="1:13" hidden="1">
      <c r="A1361" t="s">
        <v>2057</v>
      </c>
      <c r="B1361" t="s">
        <v>68</v>
      </c>
      <c r="C1361" s="1">
        <v>43853</v>
      </c>
      <c r="D1361" s="2">
        <v>878349171</v>
      </c>
      <c r="E1361" s="2">
        <v>126275</v>
      </c>
      <c r="F1361">
        <v>70</v>
      </c>
      <c r="G1361" s="2">
        <v>522643821</v>
      </c>
      <c r="H1361" s="2">
        <v>6171768</v>
      </c>
      <c r="I1361" s="2">
        <v>3582425112</v>
      </c>
      <c r="J1361">
        <v>107</v>
      </c>
      <c r="L1361">
        <v>0</v>
      </c>
      <c r="M1361" t="str">
        <f t="shared" si="21"/>
        <v>2010-2020</v>
      </c>
    </row>
    <row r="1362" spans="1:13" hidden="1">
      <c r="A1362" t="s">
        <v>2058</v>
      </c>
      <c r="B1362" t="s">
        <v>2059</v>
      </c>
      <c r="C1362" s="1">
        <v>45120</v>
      </c>
      <c r="D1362" s="2">
        <v>174583156</v>
      </c>
      <c r="E1362" s="2">
        <v>28303</v>
      </c>
      <c r="F1362">
        <v>66</v>
      </c>
      <c r="G1362" s="2">
        <v>160585664</v>
      </c>
      <c r="H1362" s="2">
        <v>1054820</v>
      </c>
      <c r="I1362" s="2">
        <v>181541988</v>
      </c>
      <c r="J1362">
        <v>20</v>
      </c>
      <c r="L1362">
        <v>0</v>
      </c>
      <c r="M1362" t="str">
        <f t="shared" si="21"/>
        <v>After 2020</v>
      </c>
    </row>
    <row r="1363" spans="1:13" hidden="1">
      <c r="A1363" t="s">
        <v>1321</v>
      </c>
      <c r="B1363" t="s">
        <v>99</v>
      </c>
      <c r="C1363" s="1">
        <v>45422</v>
      </c>
      <c r="J1363">
        <v>75</v>
      </c>
      <c r="L1363">
        <v>0</v>
      </c>
      <c r="M1363" t="str">
        <f t="shared" si="21"/>
        <v>After 2020</v>
      </c>
    </row>
    <row r="1364" spans="1:13">
      <c r="A1364" t="s">
        <v>2060</v>
      </c>
      <c r="B1364" t="s">
        <v>2061</v>
      </c>
      <c r="C1364" s="1">
        <v>42184</v>
      </c>
      <c r="D1364" s="2">
        <v>990518773</v>
      </c>
      <c r="E1364" s="2">
        <v>143056</v>
      </c>
      <c r="F1364">
        <v>75</v>
      </c>
      <c r="G1364" s="2">
        <v>1273135552</v>
      </c>
      <c r="H1364" s="2">
        <v>7854653</v>
      </c>
      <c r="I1364" s="2">
        <v>348767238</v>
      </c>
      <c r="J1364">
        <v>101</v>
      </c>
      <c r="K1364">
        <v>30</v>
      </c>
      <c r="L1364">
        <v>0</v>
      </c>
      <c r="M1364" t="str">
        <f t="shared" si="21"/>
        <v>2010-2020</v>
      </c>
    </row>
    <row r="1365" spans="1:13" hidden="1">
      <c r="A1365" t="s">
        <v>2062</v>
      </c>
      <c r="B1365" t="s">
        <v>2063</v>
      </c>
      <c r="C1365" s="1">
        <v>43558</v>
      </c>
      <c r="D1365" s="2">
        <v>751585271</v>
      </c>
      <c r="E1365" s="2">
        <v>75691</v>
      </c>
      <c r="F1365">
        <v>67</v>
      </c>
      <c r="G1365" s="2">
        <v>1245024291</v>
      </c>
      <c r="H1365" s="2">
        <v>7965155</v>
      </c>
      <c r="I1365" s="2">
        <v>173903141</v>
      </c>
      <c r="J1365">
        <v>28</v>
      </c>
      <c r="L1365">
        <v>0</v>
      </c>
      <c r="M1365" t="str">
        <f t="shared" si="21"/>
        <v>2010-2020</v>
      </c>
    </row>
    <row r="1366" spans="1:13" hidden="1">
      <c r="A1366" t="s">
        <v>2064</v>
      </c>
      <c r="B1366" t="s">
        <v>504</v>
      </c>
      <c r="C1366" s="1">
        <v>43175</v>
      </c>
      <c r="D1366" s="2">
        <v>959078765</v>
      </c>
      <c r="E1366" s="2">
        <v>142939</v>
      </c>
      <c r="F1366">
        <v>69</v>
      </c>
      <c r="G1366" s="2">
        <v>402582220</v>
      </c>
      <c r="H1366" s="2">
        <v>5401876</v>
      </c>
      <c r="I1366" s="2">
        <v>955370530</v>
      </c>
      <c r="J1366">
        <v>23</v>
      </c>
      <c r="L1366">
        <v>1</v>
      </c>
      <c r="M1366" t="str">
        <f t="shared" si="21"/>
        <v>2010-2020</v>
      </c>
    </row>
    <row r="1367" spans="1:13">
      <c r="A1367" t="s">
        <v>2065</v>
      </c>
      <c r="B1367" t="s">
        <v>357</v>
      </c>
      <c r="C1367" s="1">
        <v>44258</v>
      </c>
      <c r="D1367" s="2">
        <v>730200775</v>
      </c>
      <c r="E1367" s="2">
        <v>93856</v>
      </c>
      <c r="F1367">
        <v>71</v>
      </c>
      <c r="G1367" s="2">
        <v>313682727</v>
      </c>
      <c r="H1367" s="2">
        <v>2530483</v>
      </c>
      <c r="I1367" s="2">
        <v>79067338</v>
      </c>
      <c r="J1367">
        <v>156</v>
      </c>
      <c r="K1367">
        <v>150</v>
      </c>
      <c r="L1367">
        <v>0</v>
      </c>
      <c r="M1367" t="str">
        <f t="shared" si="21"/>
        <v>After 2020</v>
      </c>
    </row>
    <row r="1368" spans="1:13">
      <c r="A1368" t="s">
        <v>2066</v>
      </c>
      <c r="B1368" t="s">
        <v>2067</v>
      </c>
      <c r="C1368" s="1">
        <v>45107</v>
      </c>
      <c r="D1368" s="2">
        <v>112737954</v>
      </c>
      <c r="E1368" s="2">
        <v>20339</v>
      </c>
      <c r="F1368">
        <v>41</v>
      </c>
      <c r="G1368" s="2">
        <v>37013758</v>
      </c>
      <c r="H1368" s="2">
        <v>255685</v>
      </c>
      <c r="I1368" s="2">
        <v>119315</v>
      </c>
      <c r="J1368">
        <v>26</v>
      </c>
      <c r="K1368">
        <v>38</v>
      </c>
      <c r="L1368">
        <v>0</v>
      </c>
      <c r="M1368" t="str">
        <f t="shared" si="21"/>
        <v>After 2020</v>
      </c>
    </row>
    <row r="1369" spans="1:13" hidden="1">
      <c r="A1369" t="s">
        <v>2068</v>
      </c>
      <c r="B1369" t="s">
        <v>2069</v>
      </c>
      <c r="C1369" s="1">
        <v>45387</v>
      </c>
      <c r="D1369" s="2">
        <v>57562320</v>
      </c>
      <c r="E1369" s="2">
        <v>9301</v>
      </c>
      <c r="F1369">
        <v>78</v>
      </c>
      <c r="G1369" s="2">
        <v>2769869</v>
      </c>
      <c r="H1369" s="2">
        <v>33766</v>
      </c>
      <c r="J1369">
        <v>50</v>
      </c>
      <c r="L1369">
        <v>0</v>
      </c>
      <c r="M1369" t="str">
        <f t="shared" si="21"/>
        <v>After 2020</v>
      </c>
    </row>
    <row r="1370" spans="1:13">
      <c r="A1370" t="s">
        <v>2070</v>
      </c>
      <c r="B1370" t="s">
        <v>2071</v>
      </c>
      <c r="C1370" s="1">
        <v>42944</v>
      </c>
      <c r="D1370" s="2">
        <v>658225560</v>
      </c>
      <c r="E1370" s="2">
        <v>53101</v>
      </c>
      <c r="F1370">
        <v>72</v>
      </c>
      <c r="G1370" s="2">
        <v>1852547490</v>
      </c>
      <c r="H1370" s="2">
        <v>5711737</v>
      </c>
      <c r="I1370" s="2">
        <v>79388652</v>
      </c>
      <c r="J1370">
        <v>47</v>
      </c>
      <c r="K1370">
        <v>122</v>
      </c>
      <c r="L1370">
        <v>0</v>
      </c>
      <c r="M1370" t="str">
        <f t="shared" si="21"/>
        <v>2010-2020</v>
      </c>
    </row>
    <row r="1371" spans="1:13" hidden="1">
      <c r="A1371" t="s">
        <v>2072</v>
      </c>
      <c r="B1371" t="s">
        <v>2073</v>
      </c>
      <c r="C1371" s="1">
        <v>44903</v>
      </c>
      <c r="D1371" s="2">
        <v>105604106</v>
      </c>
      <c r="E1371" s="2">
        <v>20571</v>
      </c>
      <c r="F1371">
        <v>56</v>
      </c>
      <c r="G1371" s="2">
        <v>161745200</v>
      </c>
      <c r="H1371" s="2">
        <v>938841</v>
      </c>
      <c r="I1371" s="2">
        <v>1721191403</v>
      </c>
      <c r="L1371">
        <v>1</v>
      </c>
      <c r="M1371" t="str">
        <f t="shared" si="21"/>
        <v>After 2020</v>
      </c>
    </row>
    <row r="1372" spans="1:13" hidden="1">
      <c r="A1372" t="s">
        <v>2074</v>
      </c>
      <c r="B1372" t="s">
        <v>590</v>
      </c>
      <c r="C1372" s="1">
        <v>44743</v>
      </c>
      <c r="D1372" s="2">
        <v>264048274</v>
      </c>
      <c r="E1372" s="2">
        <v>62386</v>
      </c>
      <c r="F1372">
        <v>65</v>
      </c>
      <c r="G1372" s="2">
        <v>170657868</v>
      </c>
      <c r="H1372" s="2">
        <v>1096724</v>
      </c>
      <c r="I1372" s="2">
        <v>377028109</v>
      </c>
      <c r="J1372">
        <v>89</v>
      </c>
      <c r="L1372">
        <v>0</v>
      </c>
      <c r="M1372" t="str">
        <f t="shared" si="21"/>
        <v>After 2020</v>
      </c>
    </row>
    <row r="1373" spans="1:13">
      <c r="A1373" t="s">
        <v>2075</v>
      </c>
      <c r="B1373" t="s">
        <v>301</v>
      </c>
      <c r="C1373" s="1">
        <v>44988</v>
      </c>
      <c r="D1373" s="2">
        <v>266560481</v>
      </c>
      <c r="E1373" s="2">
        <v>31680</v>
      </c>
      <c r="F1373">
        <v>81</v>
      </c>
      <c r="G1373" s="2">
        <v>40534712</v>
      </c>
      <c r="H1373" s="2">
        <v>139755</v>
      </c>
      <c r="I1373" s="2">
        <v>103569548</v>
      </c>
      <c r="J1373">
        <v>26</v>
      </c>
      <c r="K1373">
        <v>24</v>
      </c>
      <c r="L1373">
        <v>0</v>
      </c>
      <c r="M1373" t="str">
        <f t="shared" si="21"/>
        <v>After 2020</v>
      </c>
    </row>
    <row r="1374" spans="1:13">
      <c r="A1374" t="s">
        <v>2076</v>
      </c>
      <c r="B1374" t="s">
        <v>1986</v>
      </c>
      <c r="C1374" s="1">
        <v>44358</v>
      </c>
      <c r="D1374" s="2">
        <v>258769609</v>
      </c>
      <c r="E1374" s="2">
        <v>48619</v>
      </c>
      <c r="F1374">
        <v>68</v>
      </c>
      <c r="G1374" s="2">
        <v>145224400</v>
      </c>
      <c r="H1374" s="2">
        <v>822234</v>
      </c>
      <c r="I1374" s="2">
        <v>116117655</v>
      </c>
      <c r="J1374">
        <v>37</v>
      </c>
      <c r="K1374">
        <v>146</v>
      </c>
      <c r="L1374">
        <v>0</v>
      </c>
      <c r="M1374" t="str">
        <f t="shared" si="21"/>
        <v>After 2020</v>
      </c>
    </row>
    <row r="1375" spans="1:13" hidden="1">
      <c r="A1375" t="s">
        <v>2077</v>
      </c>
      <c r="B1375" t="s">
        <v>2078</v>
      </c>
      <c r="C1375" s="1">
        <v>41842</v>
      </c>
      <c r="E1375">
        <v>42</v>
      </c>
      <c r="L1375">
        <v>0</v>
      </c>
      <c r="M1375" t="str">
        <f t="shared" si="21"/>
        <v>2010-2020</v>
      </c>
    </row>
    <row r="1376" spans="1:13" hidden="1">
      <c r="A1376" t="s">
        <v>2079</v>
      </c>
      <c r="B1376" t="s">
        <v>479</v>
      </c>
      <c r="C1376" s="1">
        <v>41605</v>
      </c>
      <c r="E1376">
        <v>8</v>
      </c>
      <c r="G1376" s="2">
        <v>3738385281</v>
      </c>
      <c r="H1376" s="2">
        <v>17685730</v>
      </c>
      <c r="L1376">
        <v>0</v>
      </c>
      <c r="M1376" t="str">
        <f t="shared" si="21"/>
        <v>2010-2020</v>
      </c>
    </row>
    <row r="1377" spans="1:13" hidden="1">
      <c r="A1377" t="s">
        <v>2080</v>
      </c>
      <c r="B1377" t="s">
        <v>1570</v>
      </c>
      <c r="C1377" s="1">
        <v>45226</v>
      </c>
      <c r="D1377" s="2">
        <v>106514756</v>
      </c>
      <c r="E1377" s="2">
        <v>10191</v>
      </c>
      <c r="F1377">
        <v>70</v>
      </c>
      <c r="G1377" s="2">
        <v>148785957</v>
      </c>
      <c r="H1377" s="2">
        <v>1400528</v>
      </c>
      <c r="I1377" s="2">
        <v>15940</v>
      </c>
      <c r="J1377">
        <v>13</v>
      </c>
      <c r="L1377">
        <v>0</v>
      </c>
      <c r="M1377" t="str">
        <f t="shared" si="21"/>
        <v>After 2020</v>
      </c>
    </row>
    <row r="1378" spans="1:13">
      <c r="A1378" t="s">
        <v>2081</v>
      </c>
      <c r="B1378" t="s">
        <v>2082</v>
      </c>
      <c r="C1378" s="1">
        <v>43896</v>
      </c>
      <c r="D1378" s="2">
        <v>378584974</v>
      </c>
      <c r="E1378" s="2">
        <v>56415</v>
      </c>
      <c r="F1378">
        <v>64</v>
      </c>
      <c r="G1378" s="2">
        <v>116036942</v>
      </c>
      <c r="H1378" s="2">
        <v>1608398</v>
      </c>
      <c r="I1378" s="2">
        <v>5568445890</v>
      </c>
      <c r="J1378">
        <v>24</v>
      </c>
      <c r="K1378">
        <v>188</v>
      </c>
      <c r="L1378">
        <v>1</v>
      </c>
      <c r="M1378" t="str">
        <f t="shared" si="21"/>
        <v>2010-2020</v>
      </c>
    </row>
    <row r="1379" spans="1:13" hidden="1">
      <c r="A1379" t="s">
        <v>2083</v>
      </c>
      <c r="B1379" t="s">
        <v>2084</v>
      </c>
      <c r="C1379" s="1">
        <v>44800</v>
      </c>
      <c r="D1379" s="2">
        <v>37027643</v>
      </c>
      <c r="E1379" s="2">
        <v>5646</v>
      </c>
      <c r="F1379">
        <v>57</v>
      </c>
      <c r="G1379" s="2">
        <v>592859063</v>
      </c>
      <c r="H1379" s="2">
        <v>1724454</v>
      </c>
      <c r="I1379" s="2">
        <v>70116244</v>
      </c>
      <c r="J1379">
        <v>1</v>
      </c>
      <c r="L1379">
        <v>0</v>
      </c>
      <c r="M1379" t="str">
        <f t="shared" si="21"/>
        <v>After 2020</v>
      </c>
    </row>
    <row r="1380" spans="1:13" hidden="1">
      <c r="A1380" t="s">
        <v>2085</v>
      </c>
      <c r="B1380" t="s">
        <v>2086</v>
      </c>
      <c r="C1380" s="1">
        <v>45113</v>
      </c>
      <c r="D1380" s="2">
        <v>94518210</v>
      </c>
      <c r="E1380" s="2">
        <v>5151</v>
      </c>
      <c r="F1380">
        <v>61</v>
      </c>
      <c r="G1380" s="2">
        <v>280887419</v>
      </c>
      <c r="H1380" s="2">
        <v>2258912</v>
      </c>
      <c r="I1380" s="2">
        <v>100368952</v>
      </c>
      <c r="J1380">
        <v>6</v>
      </c>
      <c r="L1380">
        <v>0</v>
      </c>
      <c r="M1380" t="str">
        <f t="shared" si="21"/>
        <v>After 2020</v>
      </c>
    </row>
    <row r="1381" spans="1:13">
      <c r="A1381" t="s">
        <v>2087</v>
      </c>
      <c r="B1381" t="s">
        <v>1113</v>
      </c>
      <c r="C1381" s="1">
        <v>44529</v>
      </c>
      <c r="D1381" s="2">
        <v>169074195</v>
      </c>
      <c r="E1381" s="2">
        <v>77071</v>
      </c>
      <c r="F1381">
        <v>59</v>
      </c>
      <c r="G1381" s="2">
        <v>121560768</v>
      </c>
      <c r="H1381" s="2">
        <v>904837</v>
      </c>
      <c r="I1381" s="2">
        <v>214484764</v>
      </c>
      <c r="J1381">
        <v>27</v>
      </c>
      <c r="K1381">
        <v>96</v>
      </c>
      <c r="L1381">
        <v>1</v>
      </c>
      <c r="M1381" t="str">
        <f t="shared" si="21"/>
        <v>After 2020</v>
      </c>
    </row>
    <row r="1382" spans="1:13">
      <c r="A1382" t="s">
        <v>2088</v>
      </c>
      <c r="B1382" t="s">
        <v>2089</v>
      </c>
      <c r="C1382" s="1">
        <v>42692</v>
      </c>
      <c r="D1382" s="2">
        <v>551115166</v>
      </c>
      <c r="E1382" s="2">
        <v>57721</v>
      </c>
      <c r="F1382">
        <v>66</v>
      </c>
      <c r="G1382" s="2">
        <v>1771543816</v>
      </c>
      <c r="H1382" s="2">
        <v>5769300</v>
      </c>
      <c r="I1382" s="2">
        <v>392249223</v>
      </c>
      <c r="J1382">
        <v>66</v>
      </c>
      <c r="K1382">
        <v>343</v>
      </c>
      <c r="L1382">
        <v>0</v>
      </c>
      <c r="M1382" t="str">
        <f t="shared" si="21"/>
        <v>2010-2020</v>
      </c>
    </row>
    <row r="1383" spans="1:13">
      <c r="A1383" t="s">
        <v>2090</v>
      </c>
      <c r="B1383" t="s">
        <v>141</v>
      </c>
      <c r="C1383" s="1">
        <v>44162</v>
      </c>
      <c r="D1383" s="2">
        <v>990189999</v>
      </c>
      <c r="E1383" s="2">
        <v>120639</v>
      </c>
      <c r="F1383">
        <v>71</v>
      </c>
      <c r="G1383" s="2">
        <v>354318464</v>
      </c>
      <c r="H1383" s="2">
        <v>2521106</v>
      </c>
      <c r="I1383" s="2">
        <v>229672086</v>
      </c>
      <c r="J1383">
        <v>134</v>
      </c>
      <c r="K1383">
        <v>81</v>
      </c>
      <c r="L1383">
        <v>0</v>
      </c>
      <c r="M1383" t="str">
        <f t="shared" si="21"/>
        <v>2010-2020</v>
      </c>
    </row>
    <row r="1384" spans="1:13" hidden="1">
      <c r="A1384" t="s">
        <v>2091</v>
      </c>
      <c r="B1384" t="s">
        <v>1857</v>
      </c>
      <c r="C1384" s="1">
        <v>45331</v>
      </c>
      <c r="D1384" s="2">
        <v>120079689</v>
      </c>
      <c r="E1384" s="2">
        <v>21002</v>
      </c>
      <c r="G1384" s="2">
        <v>1915309</v>
      </c>
      <c r="H1384" s="2">
        <v>53533</v>
      </c>
      <c r="I1384" s="2">
        <v>7100000</v>
      </c>
      <c r="J1384">
        <v>6</v>
      </c>
      <c r="L1384">
        <v>1</v>
      </c>
      <c r="M1384" t="str">
        <f t="shared" si="21"/>
        <v>After 2020</v>
      </c>
    </row>
    <row r="1385" spans="1:13">
      <c r="A1385" t="s">
        <v>2092</v>
      </c>
      <c r="B1385" t="s">
        <v>522</v>
      </c>
      <c r="C1385" s="1">
        <v>44775</v>
      </c>
      <c r="D1385" s="2">
        <v>309329645</v>
      </c>
      <c r="E1385" s="2">
        <v>30705</v>
      </c>
      <c r="F1385">
        <v>68</v>
      </c>
      <c r="G1385" s="2">
        <v>368079858</v>
      </c>
      <c r="H1385" s="2">
        <v>1155888</v>
      </c>
      <c r="I1385" s="2">
        <v>375768071</v>
      </c>
      <c r="J1385">
        <v>6</v>
      </c>
      <c r="K1385">
        <v>3</v>
      </c>
      <c r="L1385">
        <v>0</v>
      </c>
      <c r="M1385" t="str">
        <f t="shared" si="21"/>
        <v>After 2020</v>
      </c>
    </row>
    <row r="1386" spans="1:13">
      <c r="A1386" t="s">
        <v>2093</v>
      </c>
      <c r="B1386" t="s">
        <v>2094</v>
      </c>
      <c r="C1386" s="1">
        <v>40909</v>
      </c>
      <c r="D1386" s="2">
        <v>1232502989</v>
      </c>
      <c r="E1386" s="2">
        <v>163195</v>
      </c>
      <c r="F1386">
        <v>73</v>
      </c>
      <c r="G1386" s="2">
        <v>349747981</v>
      </c>
      <c r="H1386" s="2">
        <v>2670057</v>
      </c>
      <c r="I1386" s="2">
        <v>198680803</v>
      </c>
      <c r="J1386">
        <v>195</v>
      </c>
      <c r="K1386">
        <v>356</v>
      </c>
      <c r="L1386">
        <v>0</v>
      </c>
      <c r="M1386" t="str">
        <f t="shared" si="21"/>
        <v>2010-2020</v>
      </c>
    </row>
    <row r="1387" spans="1:13">
      <c r="A1387" t="s">
        <v>2095</v>
      </c>
      <c r="B1387" t="s">
        <v>121</v>
      </c>
      <c r="C1387" s="1">
        <v>45042</v>
      </c>
      <c r="D1387" s="2">
        <v>111124873</v>
      </c>
      <c r="E1387" s="2">
        <v>35929</v>
      </c>
      <c r="F1387">
        <v>65</v>
      </c>
      <c r="G1387" s="2">
        <v>103077029</v>
      </c>
      <c r="H1387" s="2">
        <v>789321</v>
      </c>
      <c r="I1387" s="2">
        <v>291086000</v>
      </c>
      <c r="J1387">
        <v>64</v>
      </c>
      <c r="K1387">
        <v>34</v>
      </c>
      <c r="L1387">
        <v>1</v>
      </c>
      <c r="M1387" t="str">
        <f t="shared" si="21"/>
        <v>After 2020</v>
      </c>
    </row>
    <row r="1388" spans="1:13" hidden="1">
      <c r="A1388" t="s">
        <v>2096</v>
      </c>
      <c r="B1388" t="s">
        <v>182</v>
      </c>
      <c r="C1388" s="1">
        <v>45301</v>
      </c>
      <c r="D1388" s="2">
        <v>88224186</v>
      </c>
      <c r="E1388" s="2">
        <v>19035</v>
      </c>
      <c r="G1388" s="2">
        <v>22896192</v>
      </c>
      <c r="H1388" s="2">
        <v>261389</v>
      </c>
      <c r="I1388" s="2">
        <v>9100000</v>
      </c>
      <c r="J1388">
        <v>19</v>
      </c>
      <c r="K1388">
        <v>31</v>
      </c>
      <c r="L1388">
        <v>1</v>
      </c>
      <c r="M1388" t="str">
        <f t="shared" si="21"/>
        <v>After 2020</v>
      </c>
    </row>
    <row r="1389" spans="1:13" hidden="1">
      <c r="A1389" t="s">
        <v>2097</v>
      </c>
      <c r="B1389" t="s">
        <v>2098</v>
      </c>
      <c r="C1389" s="1">
        <v>44426</v>
      </c>
      <c r="D1389" s="2">
        <v>689939531</v>
      </c>
      <c r="E1389" s="2">
        <v>101479</v>
      </c>
      <c r="F1389">
        <v>72</v>
      </c>
      <c r="G1389" s="2">
        <v>83908765</v>
      </c>
      <c r="H1389" s="2">
        <v>706081</v>
      </c>
      <c r="I1389" s="2">
        <v>1903513450</v>
      </c>
      <c r="J1389">
        <v>73</v>
      </c>
      <c r="L1389">
        <v>0</v>
      </c>
      <c r="M1389" t="str">
        <f t="shared" si="21"/>
        <v>After 2020</v>
      </c>
    </row>
    <row r="1390" spans="1:13">
      <c r="A1390" t="s">
        <v>2099</v>
      </c>
      <c r="B1390" t="s">
        <v>2063</v>
      </c>
      <c r="C1390" s="1">
        <v>43409</v>
      </c>
      <c r="D1390" s="2">
        <v>915772593</v>
      </c>
      <c r="E1390" s="2">
        <v>85897</v>
      </c>
      <c r="F1390">
        <v>70</v>
      </c>
      <c r="G1390" s="2">
        <v>1320370692</v>
      </c>
      <c r="H1390" s="2">
        <v>7869990</v>
      </c>
      <c r="I1390" s="2">
        <v>107834415</v>
      </c>
      <c r="J1390">
        <v>45</v>
      </c>
      <c r="K1390">
        <v>28</v>
      </c>
      <c r="L1390">
        <v>0</v>
      </c>
      <c r="M1390" t="str">
        <f t="shared" si="21"/>
        <v>2010-2020</v>
      </c>
    </row>
    <row r="1391" spans="1:13">
      <c r="A1391" t="s">
        <v>2100</v>
      </c>
      <c r="B1391" t="s">
        <v>2101</v>
      </c>
      <c r="C1391" s="1">
        <v>42005</v>
      </c>
      <c r="D1391" s="2">
        <v>1162659862</v>
      </c>
      <c r="E1391" s="2">
        <v>180669</v>
      </c>
      <c r="F1391">
        <v>76</v>
      </c>
      <c r="G1391" s="2">
        <v>1613180283</v>
      </c>
      <c r="H1391" s="2">
        <v>10775520</v>
      </c>
      <c r="I1391" s="2">
        <v>1580838186</v>
      </c>
      <c r="J1391">
        <v>86</v>
      </c>
      <c r="K1391">
        <v>15</v>
      </c>
      <c r="L1391">
        <v>0</v>
      </c>
      <c r="M1391" t="str">
        <f t="shared" si="21"/>
        <v>2010-2020</v>
      </c>
    </row>
    <row r="1392" spans="1:13" hidden="1">
      <c r="A1392" t="s">
        <v>2102</v>
      </c>
      <c r="B1392" t="s">
        <v>2103</v>
      </c>
      <c r="C1392" s="1">
        <v>45062</v>
      </c>
      <c r="D1392" s="2">
        <v>226109929</v>
      </c>
      <c r="E1392" s="2">
        <v>11941</v>
      </c>
      <c r="F1392">
        <v>66</v>
      </c>
      <c r="G1392" s="2">
        <v>290394869</v>
      </c>
      <c r="H1392" s="2">
        <v>2663583</v>
      </c>
      <c r="I1392" s="2">
        <v>19132</v>
      </c>
      <c r="J1392">
        <v>20</v>
      </c>
      <c r="L1392">
        <v>0</v>
      </c>
      <c r="M1392" t="str">
        <f t="shared" si="21"/>
        <v>After 2020</v>
      </c>
    </row>
    <row r="1393" spans="1:13" hidden="1">
      <c r="A1393" t="s">
        <v>2104</v>
      </c>
      <c r="B1393" t="s">
        <v>2105</v>
      </c>
      <c r="C1393" s="1">
        <v>45253</v>
      </c>
      <c r="D1393" s="2">
        <v>92949075</v>
      </c>
      <c r="E1393" s="2">
        <v>13213</v>
      </c>
      <c r="G1393" s="2">
        <v>120775698</v>
      </c>
      <c r="H1393" s="2">
        <v>1007986</v>
      </c>
      <c r="I1393" s="2">
        <v>2569410</v>
      </c>
      <c r="L1393">
        <v>1</v>
      </c>
      <c r="M1393" t="str">
        <f t="shared" si="21"/>
        <v>After 2020</v>
      </c>
    </row>
    <row r="1394" spans="1:13" hidden="1">
      <c r="A1394" t="s">
        <v>2106</v>
      </c>
      <c r="B1394" t="s">
        <v>2107</v>
      </c>
      <c r="C1394" s="1">
        <v>44862</v>
      </c>
      <c r="D1394" s="2">
        <v>422186660</v>
      </c>
      <c r="E1394" s="2">
        <v>12509</v>
      </c>
      <c r="F1394">
        <v>79</v>
      </c>
      <c r="G1394" s="2">
        <v>111977553</v>
      </c>
      <c r="H1394" s="2">
        <v>5607295</v>
      </c>
      <c r="I1394" s="2">
        <v>296725035</v>
      </c>
      <c r="J1394">
        <v>10</v>
      </c>
      <c r="L1394">
        <v>0</v>
      </c>
      <c r="M1394" t="str">
        <f t="shared" si="21"/>
        <v>After 2020</v>
      </c>
    </row>
    <row r="1395" spans="1:13">
      <c r="A1395" t="s">
        <v>2108</v>
      </c>
      <c r="B1395" t="s">
        <v>1932</v>
      </c>
      <c r="C1395" s="1">
        <v>44658</v>
      </c>
      <c r="D1395" s="2">
        <v>122568157</v>
      </c>
      <c r="E1395" s="2">
        <v>29662</v>
      </c>
      <c r="F1395">
        <v>64</v>
      </c>
      <c r="G1395" s="2">
        <v>208114605</v>
      </c>
      <c r="H1395" s="2">
        <v>1550438</v>
      </c>
      <c r="I1395" s="2">
        <v>9097455103</v>
      </c>
      <c r="J1395">
        <v>7</v>
      </c>
      <c r="K1395">
        <v>551</v>
      </c>
      <c r="L1395">
        <v>1</v>
      </c>
      <c r="M1395" t="str">
        <f t="shared" si="21"/>
        <v>After 2020</v>
      </c>
    </row>
    <row r="1396" spans="1:13" hidden="1">
      <c r="A1396" t="s">
        <v>2109</v>
      </c>
      <c r="B1396" t="s">
        <v>2110</v>
      </c>
      <c r="C1396" s="1">
        <v>44790</v>
      </c>
      <c r="D1396" s="2">
        <v>329763216</v>
      </c>
      <c r="E1396" s="2">
        <v>16110</v>
      </c>
      <c r="F1396">
        <v>70</v>
      </c>
      <c r="G1396" s="2">
        <v>98333231</v>
      </c>
      <c r="H1396" s="2">
        <v>661439</v>
      </c>
      <c r="I1396" s="2">
        <v>3870057710</v>
      </c>
      <c r="J1396">
        <v>7</v>
      </c>
      <c r="L1396">
        <v>0</v>
      </c>
      <c r="M1396" t="str">
        <f t="shared" si="21"/>
        <v>After 2020</v>
      </c>
    </row>
    <row r="1397" spans="1:13" hidden="1">
      <c r="A1397" t="s">
        <v>2111</v>
      </c>
      <c r="B1397" t="s">
        <v>1055</v>
      </c>
      <c r="C1397" s="1">
        <v>42993</v>
      </c>
      <c r="D1397" s="2">
        <v>428110164</v>
      </c>
      <c r="E1397" s="2">
        <v>67602</v>
      </c>
      <c r="F1397">
        <v>67</v>
      </c>
      <c r="G1397" s="2">
        <v>1517036583</v>
      </c>
      <c r="H1397" s="2">
        <v>14141233</v>
      </c>
      <c r="I1397" s="2">
        <v>1924971468</v>
      </c>
      <c r="J1397">
        <v>25</v>
      </c>
      <c r="L1397">
        <v>0</v>
      </c>
      <c r="M1397" t="str">
        <f t="shared" si="21"/>
        <v>2010-2020</v>
      </c>
    </row>
    <row r="1398" spans="1:13" hidden="1">
      <c r="A1398" t="s">
        <v>2112</v>
      </c>
      <c r="B1398" t="s">
        <v>2113</v>
      </c>
      <c r="C1398" s="1">
        <v>45388</v>
      </c>
      <c r="D1398" s="2">
        <v>4399533</v>
      </c>
      <c r="E1398">
        <v>337</v>
      </c>
      <c r="G1398" s="2">
        <v>62161614</v>
      </c>
      <c r="H1398" s="2">
        <v>526409</v>
      </c>
      <c r="J1398">
        <v>3</v>
      </c>
      <c r="L1398">
        <v>0</v>
      </c>
      <c r="M1398" t="str">
        <f t="shared" si="21"/>
        <v>After 2020</v>
      </c>
    </row>
    <row r="1399" spans="1:13">
      <c r="A1399" t="s">
        <v>2114</v>
      </c>
      <c r="B1399" t="s">
        <v>389</v>
      </c>
      <c r="C1399" s="1">
        <v>44607</v>
      </c>
      <c r="D1399" s="2">
        <v>224285122</v>
      </c>
      <c r="E1399" s="2">
        <v>23891</v>
      </c>
      <c r="F1399">
        <v>63</v>
      </c>
      <c r="G1399" s="2">
        <v>171821740</v>
      </c>
      <c r="H1399" s="2">
        <v>3263544</v>
      </c>
      <c r="I1399" s="2">
        <v>1829158410</v>
      </c>
      <c r="J1399">
        <v>9</v>
      </c>
      <c r="K1399">
        <v>23</v>
      </c>
      <c r="L1399">
        <v>0</v>
      </c>
      <c r="M1399" t="str">
        <f t="shared" si="21"/>
        <v>After 2020</v>
      </c>
    </row>
    <row r="1400" spans="1:13">
      <c r="A1400" t="s">
        <v>2115</v>
      </c>
      <c r="B1400" t="s">
        <v>332</v>
      </c>
      <c r="C1400" s="1">
        <v>44715</v>
      </c>
      <c r="D1400" s="2">
        <v>444613276</v>
      </c>
      <c r="E1400" s="2">
        <v>56678</v>
      </c>
      <c r="F1400">
        <v>73</v>
      </c>
      <c r="G1400" s="2">
        <v>328723503</v>
      </c>
      <c r="H1400" s="2">
        <v>1532631</v>
      </c>
      <c r="I1400" s="2">
        <v>179088549</v>
      </c>
      <c r="J1400">
        <v>29</v>
      </c>
      <c r="K1400">
        <v>132</v>
      </c>
      <c r="L1400">
        <v>0</v>
      </c>
      <c r="M1400" t="str">
        <f t="shared" si="21"/>
        <v>After 2020</v>
      </c>
    </row>
    <row r="1401" spans="1:13" hidden="1">
      <c r="A1401" t="s">
        <v>2116</v>
      </c>
      <c r="B1401" t="s">
        <v>2117</v>
      </c>
      <c r="C1401" s="1">
        <v>45275</v>
      </c>
      <c r="D1401" s="2">
        <v>138904532</v>
      </c>
      <c r="E1401" s="2">
        <v>20215</v>
      </c>
      <c r="G1401" s="2">
        <v>39976674</v>
      </c>
      <c r="H1401" s="2">
        <v>388349</v>
      </c>
      <c r="I1401" s="2">
        <v>90800</v>
      </c>
      <c r="J1401">
        <v>13</v>
      </c>
      <c r="L1401">
        <v>0</v>
      </c>
      <c r="M1401" t="str">
        <f t="shared" si="21"/>
        <v>After 2020</v>
      </c>
    </row>
    <row r="1402" spans="1:13" hidden="1">
      <c r="A1402" t="s">
        <v>2118</v>
      </c>
      <c r="B1402" t="s">
        <v>2119</v>
      </c>
      <c r="C1402" s="1">
        <v>44767</v>
      </c>
      <c r="D1402" s="2">
        <v>2030</v>
      </c>
      <c r="E1402">
        <v>5</v>
      </c>
      <c r="F1402">
        <v>2</v>
      </c>
      <c r="G1402" s="2">
        <v>679269509</v>
      </c>
      <c r="H1402" s="2">
        <v>4540153</v>
      </c>
      <c r="L1402">
        <v>0</v>
      </c>
      <c r="M1402" t="str">
        <f t="shared" si="21"/>
        <v>After 2020</v>
      </c>
    </row>
    <row r="1403" spans="1:13">
      <c r="A1403" t="s">
        <v>2120</v>
      </c>
      <c r="B1403" t="s">
        <v>576</v>
      </c>
      <c r="C1403" s="1">
        <v>41640</v>
      </c>
      <c r="D1403" s="2">
        <v>809840469</v>
      </c>
      <c r="E1403" s="2">
        <v>110573</v>
      </c>
      <c r="F1403">
        <v>73</v>
      </c>
      <c r="G1403" s="2">
        <v>550108518</v>
      </c>
      <c r="H1403" s="2">
        <v>5249510</v>
      </c>
      <c r="I1403" s="2">
        <v>2999189391</v>
      </c>
      <c r="J1403">
        <v>57</v>
      </c>
      <c r="K1403">
        <v>18</v>
      </c>
      <c r="L1403">
        <v>0</v>
      </c>
      <c r="M1403" t="str">
        <f t="shared" si="21"/>
        <v>2010-2020</v>
      </c>
    </row>
    <row r="1404" spans="1:13" hidden="1">
      <c r="A1404" t="s">
        <v>2121</v>
      </c>
      <c r="B1404" t="s">
        <v>2122</v>
      </c>
      <c r="C1404" s="1">
        <v>44727</v>
      </c>
      <c r="D1404" s="2">
        <v>325902688</v>
      </c>
      <c r="E1404" s="2">
        <v>119047</v>
      </c>
      <c r="F1404">
        <v>70</v>
      </c>
      <c r="G1404" s="2">
        <v>1958012</v>
      </c>
      <c r="H1404" s="2">
        <v>26829</v>
      </c>
      <c r="I1404" s="2">
        <v>127015419</v>
      </c>
      <c r="J1404">
        <v>90</v>
      </c>
      <c r="L1404">
        <v>0</v>
      </c>
      <c r="M1404" t="str">
        <f t="shared" si="21"/>
        <v>After 2020</v>
      </c>
    </row>
    <row r="1405" spans="1:13" hidden="1">
      <c r="A1405" t="s">
        <v>2123</v>
      </c>
      <c r="B1405" t="s">
        <v>1152</v>
      </c>
      <c r="C1405" s="1">
        <v>44184</v>
      </c>
      <c r="D1405" s="2">
        <v>24806000</v>
      </c>
      <c r="E1405" s="2">
        <v>1588</v>
      </c>
      <c r="F1405">
        <v>54</v>
      </c>
      <c r="G1405" s="2">
        <v>1101262266</v>
      </c>
      <c r="H1405" s="2">
        <v>4034311</v>
      </c>
      <c r="I1405" s="2">
        <v>95059447</v>
      </c>
      <c r="J1405">
        <v>1</v>
      </c>
      <c r="L1405">
        <v>0</v>
      </c>
      <c r="M1405" t="str">
        <f t="shared" si="21"/>
        <v>2010-2020</v>
      </c>
    </row>
    <row r="1406" spans="1:13">
      <c r="A1406" t="s">
        <v>2124</v>
      </c>
      <c r="B1406" t="s">
        <v>47</v>
      </c>
      <c r="C1406" s="1">
        <v>44693</v>
      </c>
      <c r="D1406" s="2">
        <v>327011836</v>
      </c>
      <c r="E1406" s="2">
        <v>76622</v>
      </c>
      <c r="F1406">
        <v>62</v>
      </c>
      <c r="G1406" s="2">
        <v>116596146</v>
      </c>
      <c r="H1406" s="2">
        <v>1210310</v>
      </c>
      <c r="I1406" s="2">
        <v>258017332</v>
      </c>
      <c r="J1406">
        <v>38</v>
      </c>
      <c r="K1406">
        <v>718</v>
      </c>
      <c r="L1406">
        <v>1</v>
      </c>
      <c r="M1406" t="str">
        <f t="shared" si="21"/>
        <v>After 2020</v>
      </c>
    </row>
    <row r="1407" spans="1:13">
      <c r="A1407" t="s">
        <v>2125</v>
      </c>
      <c r="B1407" t="s">
        <v>520</v>
      </c>
      <c r="C1407" s="1">
        <v>42005</v>
      </c>
      <c r="D1407" s="2">
        <v>1436709386</v>
      </c>
      <c r="E1407" s="2">
        <v>148480</v>
      </c>
      <c r="F1407">
        <v>70</v>
      </c>
      <c r="G1407" s="2">
        <v>1135381625</v>
      </c>
      <c r="H1407" s="2">
        <v>14015049</v>
      </c>
      <c r="I1407" s="2">
        <v>930637366</v>
      </c>
      <c r="J1407">
        <v>121</v>
      </c>
      <c r="K1407">
        <v>218</v>
      </c>
      <c r="L1407">
        <v>1</v>
      </c>
      <c r="M1407" t="str">
        <f t="shared" si="21"/>
        <v>2010-2020</v>
      </c>
    </row>
    <row r="1408" spans="1:13">
      <c r="A1408" t="s">
        <v>2126</v>
      </c>
      <c r="B1408" t="s">
        <v>141</v>
      </c>
      <c r="C1408" s="1">
        <v>45212</v>
      </c>
      <c r="D1408" s="2">
        <v>226576178</v>
      </c>
      <c r="E1408" s="2">
        <v>32219</v>
      </c>
      <c r="F1408">
        <v>78</v>
      </c>
      <c r="G1408" s="2">
        <v>37510571</v>
      </c>
      <c r="H1408" s="2">
        <v>455214</v>
      </c>
      <c r="I1408" s="2">
        <v>92737977</v>
      </c>
      <c r="J1408">
        <v>31</v>
      </c>
      <c r="K1408">
        <v>67</v>
      </c>
      <c r="L1408">
        <v>1</v>
      </c>
      <c r="M1408" t="str">
        <f t="shared" si="21"/>
        <v>After 2020</v>
      </c>
    </row>
    <row r="1409" spans="1:13" hidden="1">
      <c r="A1409" t="s">
        <v>2127</v>
      </c>
      <c r="B1409" t="s">
        <v>2128</v>
      </c>
      <c r="C1409" s="1">
        <v>45422</v>
      </c>
      <c r="D1409" s="2">
        <v>44991905</v>
      </c>
      <c r="E1409" s="2">
        <v>1389</v>
      </c>
      <c r="F1409">
        <v>84</v>
      </c>
      <c r="G1409" s="2">
        <v>14842438</v>
      </c>
      <c r="H1409" s="2">
        <v>2098992</v>
      </c>
      <c r="J1409">
        <v>16</v>
      </c>
      <c r="L1409">
        <v>0</v>
      </c>
      <c r="M1409" t="str">
        <f t="shared" si="21"/>
        <v>After 2020</v>
      </c>
    </row>
    <row r="1410" spans="1:13" hidden="1">
      <c r="A1410" t="s">
        <v>2129</v>
      </c>
      <c r="B1410" t="s">
        <v>99</v>
      </c>
      <c r="C1410" s="1">
        <v>45415</v>
      </c>
      <c r="D1410" s="2">
        <v>20011325</v>
      </c>
      <c r="E1410" s="2">
        <v>3854</v>
      </c>
      <c r="G1410" s="2">
        <v>4032820</v>
      </c>
      <c r="H1410" s="2">
        <v>99526</v>
      </c>
      <c r="I1410" s="2">
        <v>4100000</v>
      </c>
      <c r="J1410">
        <v>24</v>
      </c>
      <c r="K1410">
        <v>19</v>
      </c>
      <c r="L1410">
        <v>1</v>
      </c>
      <c r="M1410" t="str">
        <f t="shared" si="21"/>
        <v>After 2020</v>
      </c>
    </row>
    <row r="1411" spans="1:13">
      <c r="A1411" t="s">
        <v>2130</v>
      </c>
      <c r="B1411" t="s">
        <v>2131</v>
      </c>
      <c r="C1411" s="1">
        <v>44337</v>
      </c>
      <c r="D1411" s="2">
        <v>303510160</v>
      </c>
      <c r="E1411" s="2">
        <v>72865</v>
      </c>
      <c r="F1411">
        <v>72</v>
      </c>
      <c r="G1411" s="2">
        <v>153123397</v>
      </c>
      <c r="H1411" s="2">
        <v>1415230</v>
      </c>
      <c r="I1411" s="2">
        <v>2457741991</v>
      </c>
      <c r="J1411">
        <v>3</v>
      </c>
      <c r="K1411">
        <v>24</v>
      </c>
      <c r="L1411">
        <v>1</v>
      </c>
      <c r="M1411" t="str">
        <f t="shared" ref="M1411:M1474" si="22">IF(YEAR(C1411)&lt;2010,"Before 2010",IF(YEAR(C1411)&lt;=2020,"2010-2020","After 2020"))</f>
        <v>After 2020</v>
      </c>
    </row>
    <row r="1412" spans="1:13">
      <c r="A1412" t="s">
        <v>2132</v>
      </c>
      <c r="B1412" t="s">
        <v>1852</v>
      </c>
      <c r="C1412" s="1">
        <v>45149</v>
      </c>
      <c r="D1412" s="2">
        <v>626153696</v>
      </c>
      <c r="E1412" s="2">
        <v>13455</v>
      </c>
      <c r="F1412">
        <v>82</v>
      </c>
      <c r="G1412" s="2">
        <v>95442324</v>
      </c>
      <c r="H1412" s="2">
        <v>4491977</v>
      </c>
      <c r="I1412" s="2">
        <v>335526234</v>
      </c>
      <c r="J1412">
        <v>7</v>
      </c>
      <c r="K1412">
        <v>19</v>
      </c>
      <c r="L1412">
        <v>0</v>
      </c>
      <c r="M1412" t="str">
        <f t="shared" si="22"/>
        <v>After 2020</v>
      </c>
    </row>
    <row r="1413" spans="1:13" hidden="1">
      <c r="A1413" t="s">
        <v>2133</v>
      </c>
      <c r="B1413" t="s">
        <v>2134</v>
      </c>
      <c r="C1413" s="1">
        <v>44519</v>
      </c>
      <c r="D1413" s="2">
        <v>315606874</v>
      </c>
      <c r="E1413" s="2">
        <v>125064</v>
      </c>
      <c r="F1413">
        <v>60</v>
      </c>
      <c r="G1413" s="2">
        <v>43371856</v>
      </c>
      <c r="H1413" s="2">
        <v>337831</v>
      </c>
      <c r="I1413" s="2">
        <v>952538696</v>
      </c>
      <c r="J1413">
        <v>53</v>
      </c>
      <c r="L1413">
        <v>0</v>
      </c>
      <c r="M1413" t="str">
        <f t="shared" si="22"/>
        <v>After 2020</v>
      </c>
    </row>
    <row r="1414" spans="1:13">
      <c r="A1414" t="s">
        <v>2135</v>
      </c>
      <c r="B1414" t="s">
        <v>68</v>
      </c>
      <c r="C1414" s="1">
        <v>43776</v>
      </c>
      <c r="D1414" s="2">
        <v>510302007</v>
      </c>
      <c r="E1414" s="2">
        <v>74416</v>
      </c>
      <c r="F1414">
        <v>66</v>
      </c>
      <c r="G1414" s="2">
        <v>459871445</v>
      </c>
      <c r="H1414" s="2">
        <v>4568451</v>
      </c>
      <c r="I1414" s="2">
        <v>1918118365</v>
      </c>
      <c r="J1414">
        <v>69</v>
      </c>
      <c r="K1414">
        <v>89</v>
      </c>
      <c r="L1414">
        <v>1</v>
      </c>
      <c r="M1414" t="str">
        <f t="shared" si="22"/>
        <v>2010-2020</v>
      </c>
    </row>
    <row r="1415" spans="1:13">
      <c r="A1415" t="s">
        <v>2136</v>
      </c>
      <c r="B1415" t="s">
        <v>2137</v>
      </c>
      <c r="C1415" s="1">
        <v>43903</v>
      </c>
      <c r="D1415" s="2">
        <v>457848626</v>
      </c>
      <c r="E1415" s="2">
        <v>81641</v>
      </c>
      <c r="F1415">
        <v>66</v>
      </c>
      <c r="G1415" s="2">
        <v>246089222</v>
      </c>
      <c r="H1415" s="2">
        <v>2528574</v>
      </c>
      <c r="I1415" s="2">
        <v>1783816089</v>
      </c>
      <c r="J1415">
        <v>52</v>
      </c>
      <c r="K1415">
        <v>24</v>
      </c>
      <c r="L1415">
        <v>0</v>
      </c>
      <c r="M1415" t="str">
        <f t="shared" si="22"/>
        <v>2010-2020</v>
      </c>
    </row>
    <row r="1416" spans="1:13" hidden="1">
      <c r="A1416" t="s">
        <v>2138</v>
      </c>
      <c r="B1416" t="s">
        <v>730</v>
      </c>
      <c r="C1416" s="1">
        <v>44916</v>
      </c>
      <c r="D1416" s="2">
        <v>83801298</v>
      </c>
      <c r="E1416" s="2">
        <v>78156</v>
      </c>
      <c r="F1416">
        <v>58</v>
      </c>
      <c r="G1416" s="2">
        <v>6012738</v>
      </c>
      <c r="H1416" s="2">
        <v>158095</v>
      </c>
      <c r="I1416" s="2">
        <v>162010933</v>
      </c>
      <c r="J1416">
        <v>18</v>
      </c>
      <c r="L1416">
        <v>0</v>
      </c>
      <c r="M1416" t="str">
        <f t="shared" si="22"/>
        <v>After 2020</v>
      </c>
    </row>
    <row r="1417" spans="1:13" hidden="1">
      <c r="A1417" t="s">
        <v>2139</v>
      </c>
      <c r="B1417" t="s">
        <v>2140</v>
      </c>
      <c r="C1417" s="1">
        <v>45065</v>
      </c>
      <c r="D1417" s="2">
        <v>258439807</v>
      </c>
      <c r="E1417" s="2">
        <v>33493</v>
      </c>
      <c r="F1417">
        <v>69</v>
      </c>
      <c r="G1417" s="2">
        <v>175669334</v>
      </c>
      <c r="H1417" s="2">
        <v>1312815</v>
      </c>
      <c r="J1417">
        <v>16</v>
      </c>
      <c r="L1417">
        <v>1</v>
      </c>
      <c r="M1417" t="str">
        <f t="shared" si="22"/>
        <v>After 2020</v>
      </c>
    </row>
    <row r="1418" spans="1:13" hidden="1">
      <c r="A1418" t="s">
        <v>2141</v>
      </c>
      <c r="B1418" t="s">
        <v>2142</v>
      </c>
      <c r="C1418" s="1">
        <v>41950</v>
      </c>
      <c r="D1418" s="2">
        <v>856908437</v>
      </c>
      <c r="E1418" s="2">
        <v>163911</v>
      </c>
      <c r="F1418">
        <v>71</v>
      </c>
      <c r="G1418" s="2">
        <v>937887038</v>
      </c>
      <c r="H1418" s="2">
        <v>8642499</v>
      </c>
      <c r="I1418" s="2">
        <v>2116323580</v>
      </c>
      <c r="J1418">
        <v>73</v>
      </c>
      <c r="L1418">
        <v>0</v>
      </c>
      <c r="M1418" t="str">
        <f t="shared" si="22"/>
        <v>2010-2020</v>
      </c>
    </row>
    <row r="1419" spans="1:13">
      <c r="A1419" t="s">
        <v>2143</v>
      </c>
      <c r="B1419" t="s">
        <v>236</v>
      </c>
      <c r="C1419" s="1">
        <v>44211</v>
      </c>
      <c r="D1419" s="2">
        <v>767502068</v>
      </c>
      <c r="E1419" s="2">
        <v>142094</v>
      </c>
      <c r="F1419">
        <v>70</v>
      </c>
      <c r="G1419" s="2">
        <v>144061936</v>
      </c>
      <c r="H1419" s="2">
        <v>1059407</v>
      </c>
      <c r="I1419" s="2">
        <v>505442832</v>
      </c>
      <c r="J1419">
        <v>169</v>
      </c>
      <c r="K1419">
        <v>260</v>
      </c>
      <c r="L1419">
        <v>1</v>
      </c>
      <c r="M1419" t="str">
        <f t="shared" si="22"/>
        <v>After 2020</v>
      </c>
    </row>
    <row r="1420" spans="1:13">
      <c r="A1420" t="s">
        <v>2144</v>
      </c>
      <c r="B1420" t="s">
        <v>434</v>
      </c>
      <c r="C1420" s="1">
        <v>44869</v>
      </c>
      <c r="D1420" s="2">
        <v>363300065</v>
      </c>
      <c r="E1420" s="2">
        <v>74276</v>
      </c>
      <c r="F1420">
        <v>71</v>
      </c>
      <c r="G1420" s="2">
        <v>77291326</v>
      </c>
      <c r="H1420" s="2">
        <v>1109516</v>
      </c>
      <c r="I1420" s="2">
        <v>352701529</v>
      </c>
      <c r="J1420">
        <v>36</v>
      </c>
      <c r="K1420">
        <v>30</v>
      </c>
      <c r="L1420">
        <v>0</v>
      </c>
      <c r="M1420" t="str">
        <f t="shared" si="22"/>
        <v>After 2020</v>
      </c>
    </row>
    <row r="1421" spans="1:13">
      <c r="A1421" t="s">
        <v>2145</v>
      </c>
      <c r="B1421" t="s">
        <v>2146</v>
      </c>
      <c r="C1421" s="1">
        <v>45323</v>
      </c>
      <c r="D1421" s="2">
        <v>63296147</v>
      </c>
      <c r="E1421" s="2">
        <v>2994</v>
      </c>
      <c r="F1421">
        <v>64</v>
      </c>
      <c r="G1421" s="2">
        <v>57626164</v>
      </c>
      <c r="H1421" s="2">
        <v>476570</v>
      </c>
      <c r="I1421" s="2">
        <v>19883744</v>
      </c>
      <c r="J1421">
        <v>2</v>
      </c>
      <c r="K1421">
        <v>31</v>
      </c>
      <c r="L1421">
        <v>1</v>
      </c>
      <c r="M1421" t="str">
        <f t="shared" si="22"/>
        <v>After 2020</v>
      </c>
    </row>
    <row r="1422" spans="1:13">
      <c r="A1422" t="s">
        <v>2147</v>
      </c>
      <c r="B1422" t="s">
        <v>2148</v>
      </c>
      <c r="C1422" s="1">
        <v>40806</v>
      </c>
      <c r="D1422" s="2">
        <v>1143172586</v>
      </c>
      <c r="E1422" s="2">
        <v>216588</v>
      </c>
      <c r="F1422">
        <v>72</v>
      </c>
      <c r="G1422" s="2">
        <v>213210779</v>
      </c>
      <c r="H1422" s="2">
        <v>1991783</v>
      </c>
      <c r="I1422" s="2">
        <v>302798025</v>
      </c>
      <c r="J1422">
        <v>135</v>
      </c>
      <c r="K1422">
        <v>218</v>
      </c>
      <c r="L1422">
        <v>0</v>
      </c>
      <c r="M1422" t="str">
        <f t="shared" si="22"/>
        <v>2010-2020</v>
      </c>
    </row>
    <row r="1423" spans="1:13">
      <c r="A1423" t="s">
        <v>2149</v>
      </c>
      <c r="B1423" t="s">
        <v>617</v>
      </c>
      <c r="C1423" s="1">
        <v>44092</v>
      </c>
      <c r="D1423" s="2">
        <v>518293446</v>
      </c>
      <c r="E1423" s="2">
        <v>72376</v>
      </c>
      <c r="F1423">
        <v>69</v>
      </c>
      <c r="G1423" s="2">
        <v>312305062</v>
      </c>
      <c r="H1423" s="2">
        <v>2892320</v>
      </c>
      <c r="I1423" s="2">
        <v>76367154</v>
      </c>
      <c r="J1423">
        <v>159</v>
      </c>
      <c r="K1423">
        <v>593</v>
      </c>
      <c r="L1423">
        <v>0</v>
      </c>
      <c r="M1423" t="str">
        <f t="shared" si="22"/>
        <v>2010-2020</v>
      </c>
    </row>
    <row r="1424" spans="1:13" hidden="1">
      <c r="A1424" t="s">
        <v>2150</v>
      </c>
      <c r="B1424" t="s">
        <v>920</v>
      </c>
      <c r="C1424" s="1">
        <v>45411</v>
      </c>
      <c r="D1424" s="2">
        <v>12367963</v>
      </c>
      <c r="E1424" s="2">
        <v>1027</v>
      </c>
      <c r="F1424">
        <v>72</v>
      </c>
      <c r="G1424" s="2">
        <v>33432764</v>
      </c>
      <c r="H1424" s="2">
        <v>738560</v>
      </c>
      <c r="J1424">
        <v>7</v>
      </c>
      <c r="L1424">
        <v>0</v>
      </c>
      <c r="M1424" t="str">
        <f t="shared" si="22"/>
        <v>After 2020</v>
      </c>
    </row>
    <row r="1425" spans="1:13">
      <c r="A1425" t="s">
        <v>2151</v>
      </c>
      <c r="B1425" t="s">
        <v>2152</v>
      </c>
      <c r="C1425" s="1">
        <v>44043</v>
      </c>
      <c r="D1425" s="2">
        <v>277505000</v>
      </c>
      <c r="E1425" s="2">
        <v>76388</v>
      </c>
      <c r="F1425">
        <v>56</v>
      </c>
      <c r="G1425" s="2">
        <v>126075119</v>
      </c>
      <c r="H1425" s="2">
        <v>2454637</v>
      </c>
      <c r="I1425" s="2">
        <v>3120170735</v>
      </c>
      <c r="J1425">
        <v>108</v>
      </c>
      <c r="K1425">
        <v>52</v>
      </c>
      <c r="L1425">
        <v>1</v>
      </c>
      <c r="M1425" t="str">
        <f t="shared" si="22"/>
        <v>2010-2020</v>
      </c>
    </row>
    <row r="1426" spans="1:13" hidden="1">
      <c r="A1426" t="s">
        <v>2153</v>
      </c>
      <c r="B1426" t="s">
        <v>297</v>
      </c>
      <c r="C1426" s="1">
        <v>45452</v>
      </c>
      <c r="D1426" s="2">
        <v>43492280</v>
      </c>
      <c r="E1426">
        <v>2</v>
      </c>
      <c r="F1426">
        <v>4</v>
      </c>
      <c r="L1426">
        <v>0</v>
      </c>
      <c r="M1426" t="str">
        <f t="shared" si="22"/>
        <v>After 2020</v>
      </c>
    </row>
    <row r="1427" spans="1:13" hidden="1">
      <c r="A1427" t="s">
        <v>2154</v>
      </c>
      <c r="B1427" t="s">
        <v>2155</v>
      </c>
      <c r="C1427" s="1">
        <v>44985</v>
      </c>
      <c r="D1427" s="2">
        <v>2109876</v>
      </c>
      <c r="E1427" s="2">
        <v>1764</v>
      </c>
      <c r="F1427">
        <v>33</v>
      </c>
      <c r="G1427" s="2">
        <v>435442321</v>
      </c>
      <c r="H1427" s="2">
        <v>3682385</v>
      </c>
      <c r="I1427" s="2">
        <v>1239</v>
      </c>
      <c r="L1427">
        <v>1</v>
      </c>
      <c r="M1427" t="str">
        <f t="shared" si="22"/>
        <v>After 2020</v>
      </c>
    </row>
    <row r="1428" spans="1:13" hidden="1">
      <c r="A1428" t="s">
        <v>2156</v>
      </c>
      <c r="B1428" t="s">
        <v>2157</v>
      </c>
      <c r="C1428" s="1">
        <v>45451</v>
      </c>
      <c r="D1428" s="2">
        <v>50652672</v>
      </c>
      <c r="E1428">
        <v>2</v>
      </c>
      <c r="L1428">
        <v>0</v>
      </c>
      <c r="M1428" t="str">
        <f t="shared" si="22"/>
        <v>After 2020</v>
      </c>
    </row>
    <row r="1429" spans="1:13" hidden="1">
      <c r="A1429" t="s">
        <v>2158</v>
      </c>
      <c r="B1429" t="s">
        <v>602</v>
      </c>
      <c r="C1429" s="1">
        <v>45107</v>
      </c>
      <c r="D1429" s="2">
        <v>349522530</v>
      </c>
      <c r="E1429" s="2">
        <v>23359</v>
      </c>
      <c r="F1429">
        <v>76</v>
      </c>
      <c r="G1429" s="2">
        <v>146063277</v>
      </c>
      <c r="H1429" s="2">
        <v>734128</v>
      </c>
      <c r="I1429" s="2">
        <v>55484022</v>
      </c>
      <c r="J1429">
        <v>19</v>
      </c>
      <c r="L1429">
        <v>1</v>
      </c>
      <c r="M1429" t="str">
        <f t="shared" si="22"/>
        <v>After 2020</v>
      </c>
    </row>
    <row r="1430" spans="1:13" hidden="1">
      <c r="A1430" t="s">
        <v>2159</v>
      </c>
      <c r="B1430" t="s">
        <v>1534</v>
      </c>
      <c r="C1430" s="1">
        <v>45184</v>
      </c>
      <c r="D1430" s="2">
        <v>79871904</v>
      </c>
      <c r="E1430" s="2">
        <v>18919</v>
      </c>
      <c r="G1430" s="2">
        <v>29393085</v>
      </c>
      <c r="H1430" s="2">
        <v>165299</v>
      </c>
      <c r="I1430" s="2">
        <v>12375164</v>
      </c>
      <c r="J1430">
        <v>15</v>
      </c>
      <c r="K1430">
        <v>30</v>
      </c>
      <c r="L1430">
        <v>1</v>
      </c>
      <c r="M1430" t="str">
        <f t="shared" si="22"/>
        <v>After 2020</v>
      </c>
    </row>
    <row r="1431" spans="1:13">
      <c r="A1431" t="s">
        <v>2160</v>
      </c>
      <c r="B1431" t="s">
        <v>141</v>
      </c>
      <c r="C1431" s="1">
        <v>43890</v>
      </c>
      <c r="D1431" s="2">
        <v>817199682</v>
      </c>
      <c r="E1431" s="2">
        <v>92013</v>
      </c>
      <c r="F1431">
        <v>70</v>
      </c>
      <c r="G1431" s="2">
        <v>741912041</v>
      </c>
      <c r="H1431" s="2">
        <v>6429361</v>
      </c>
      <c r="I1431" s="2">
        <v>555577986</v>
      </c>
      <c r="J1431">
        <v>50</v>
      </c>
      <c r="K1431">
        <v>34</v>
      </c>
      <c r="L1431">
        <v>0</v>
      </c>
      <c r="M1431" t="str">
        <f t="shared" si="22"/>
        <v>2010-2020</v>
      </c>
    </row>
    <row r="1432" spans="1:13">
      <c r="A1432" t="s">
        <v>2161</v>
      </c>
      <c r="B1432" t="s">
        <v>2162</v>
      </c>
      <c r="C1432" s="1">
        <v>42853</v>
      </c>
      <c r="D1432" s="2">
        <v>1332154389</v>
      </c>
      <c r="E1432" s="2">
        <v>155866</v>
      </c>
      <c r="F1432">
        <v>67</v>
      </c>
      <c r="G1432" s="2">
        <v>731296296</v>
      </c>
      <c r="H1432" s="2">
        <v>9138105</v>
      </c>
      <c r="I1432" s="2">
        <v>176473936</v>
      </c>
      <c r="J1432">
        <v>114</v>
      </c>
      <c r="K1432">
        <v>8</v>
      </c>
      <c r="L1432">
        <v>1</v>
      </c>
      <c r="M1432" t="str">
        <f t="shared" si="22"/>
        <v>2010-2020</v>
      </c>
    </row>
    <row r="1433" spans="1:13" hidden="1">
      <c r="A1433" t="s">
        <v>1591</v>
      </c>
      <c r="B1433" t="s">
        <v>127</v>
      </c>
      <c r="C1433" s="1">
        <v>43880</v>
      </c>
      <c r="D1433" s="2">
        <v>942637026</v>
      </c>
      <c r="E1433" s="2">
        <v>146801</v>
      </c>
      <c r="F1433">
        <v>75</v>
      </c>
      <c r="G1433" s="2">
        <v>335729967</v>
      </c>
      <c r="H1433" s="2">
        <v>2785787</v>
      </c>
      <c r="I1433" s="2">
        <v>663247978</v>
      </c>
      <c r="J1433">
        <v>77</v>
      </c>
      <c r="L1433">
        <v>0</v>
      </c>
      <c r="M1433" t="str">
        <f t="shared" si="22"/>
        <v>2010-2020</v>
      </c>
    </row>
    <row r="1434" spans="1:13" hidden="1">
      <c r="A1434" t="s">
        <v>2163</v>
      </c>
      <c r="B1434" t="s">
        <v>2164</v>
      </c>
      <c r="C1434" s="1">
        <v>45303</v>
      </c>
      <c r="D1434" s="2">
        <v>78096380</v>
      </c>
      <c r="E1434" s="2">
        <v>7999</v>
      </c>
      <c r="G1434" s="2">
        <v>7982763</v>
      </c>
      <c r="H1434" s="2">
        <v>75106</v>
      </c>
      <c r="J1434">
        <v>56</v>
      </c>
      <c r="K1434">
        <v>48</v>
      </c>
      <c r="L1434">
        <v>0</v>
      </c>
      <c r="M1434" t="str">
        <f t="shared" si="22"/>
        <v>After 2020</v>
      </c>
    </row>
    <row r="1435" spans="1:13" hidden="1">
      <c r="A1435" t="s">
        <v>1866</v>
      </c>
      <c r="B1435" t="s">
        <v>772</v>
      </c>
      <c r="C1435" s="1">
        <v>45268</v>
      </c>
      <c r="D1435" s="2">
        <v>114947522</v>
      </c>
      <c r="E1435" s="2">
        <v>20245</v>
      </c>
      <c r="G1435" s="2">
        <v>16861339</v>
      </c>
      <c r="H1435" s="2">
        <v>252500</v>
      </c>
      <c r="J1435">
        <v>24</v>
      </c>
      <c r="K1435">
        <v>476</v>
      </c>
      <c r="L1435">
        <v>1</v>
      </c>
      <c r="M1435" t="str">
        <f t="shared" si="22"/>
        <v>After 2020</v>
      </c>
    </row>
    <row r="1436" spans="1:13" hidden="1">
      <c r="A1436" t="s">
        <v>2165</v>
      </c>
      <c r="B1436" t="s">
        <v>330</v>
      </c>
      <c r="C1436" s="1">
        <v>45378</v>
      </c>
      <c r="D1436" s="2">
        <v>78537688</v>
      </c>
      <c r="E1436" s="2">
        <v>7391</v>
      </c>
      <c r="G1436" s="2">
        <v>15545498</v>
      </c>
      <c r="H1436" s="2">
        <v>390430</v>
      </c>
      <c r="J1436">
        <v>56</v>
      </c>
      <c r="K1436">
        <v>30</v>
      </c>
      <c r="L1436">
        <v>1</v>
      </c>
      <c r="M1436" t="str">
        <f t="shared" si="22"/>
        <v>After 2020</v>
      </c>
    </row>
    <row r="1437" spans="1:13">
      <c r="A1437" t="s">
        <v>2166</v>
      </c>
      <c r="B1437" t="s">
        <v>2167</v>
      </c>
      <c r="C1437" s="1">
        <v>43123</v>
      </c>
      <c r="D1437" s="2">
        <v>1503269550</v>
      </c>
      <c r="E1437" s="2">
        <v>135666</v>
      </c>
      <c r="F1437">
        <v>72</v>
      </c>
      <c r="G1437" s="2">
        <v>377475040</v>
      </c>
      <c r="H1437" s="2">
        <v>3036719</v>
      </c>
      <c r="I1437" s="2">
        <v>92310567</v>
      </c>
      <c r="J1437">
        <v>207</v>
      </c>
      <c r="K1437">
        <v>229</v>
      </c>
      <c r="L1437">
        <v>0</v>
      </c>
      <c r="M1437" t="str">
        <f t="shared" si="22"/>
        <v>2010-2020</v>
      </c>
    </row>
    <row r="1438" spans="1:13" hidden="1">
      <c r="A1438" t="s">
        <v>2168</v>
      </c>
      <c r="B1438" t="s">
        <v>787</v>
      </c>
      <c r="C1438" s="1">
        <v>45352</v>
      </c>
      <c r="D1438" s="2">
        <v>40447209</v>
      </c>
      <c r="E1438" s="2">
        <v>4358</v>
      </c>
      <c r="G1438" s="2">
        <v>20161600</v>
      </c>
      <c r="H1438" s="2">
        <v>421776</v>
      </c>
      <c r="I1438" s="2">
        <v>4614000</v>
      </c>
      <c r="J1438">
        <v>54</v>
      </c>
      <c r="K1438">
        <v>50</v>
      </c>
      <c r="L1438">
        <v>0</v>
      </c>
      <c r="M1438" t="str">
        <f t="shared" si="22"/>
        <v>After 2020</v>
      </c>
    </row>
    <row r="1439" spans="1:13">
      <c r="A1439" t="s">
        <v>2169</v>
      </c>
      <c r="B1439" t="s">
        <v>2170</v>
      </c>
      <c r="C1439" s="1">
        <v>41275</v>
      </c>
      <c r="D1439" s="2">
        <v>1590278292</v>
      </c>
      <c r="E1439" s="2">
        <v>259895</v>
      </c>
      <c r="F1439">
        <v>71</v>
      </c>
      <c r="G1439" s="2">
        <v>892426661</v>
      </c>
      <c r="H1439" s="2">
        <v>6706344</v>
      </c>
      <c r="I1439" s="2">
        <v>587669621</v>
      </c>
      <c r="J1439">
        <v>153</v>
      </c>
      <c r="K1439">
        <v>299</v>
      </c>
      <c r="L1439">
        <v>0</v>
      </c>
      <c r="M1439" t="str">
        <f t="shared" si="22"/>
        <v>2010-2020</v>
      </c>
    </row>
    <row r="1440" spans="1:13" hidden="1">
      <c r="A1440" t="s">
        <v>2171</v>
      </c>
      <c r="B1440" t="s">
        <v>1109</v>
      </c>
      <c r="C1440" s="1">
        <v>42342</v>
      </c>
      <c r="D1440" s="2">
        <v>652636187</v>
      </c>
      <c r="E1440" s="2">
        <v>66904</v>
      </c>
      <c r="F1440">
        <v>62</v>
      </c>
      <c r="G1440" s="2">
        <v>2311416671</v>
      </c>
      <c r="H1440" s="2">
        <v>17336274</v>
      </c>
      <c r="I1440" s="2">
        <v>176024075</v>
      </c>
      <c r="J1440">
        <v>64</v>
      </c>
      <c r="L1440">
        <v>0</v>
      </c>
      <c r="M1440" t="str">
        <f t="shared" si="22"/>
        <v>2010-2020</v>
      </c>
    </row>
    <row r="1441" spans="1:13">
      <c r="A1441" t="s">
        <v>2172</v>
      </c>
      <c r="B1441" t="s">
        <v>285</v>
      </c>
      <c r="C1441" s="1">
        <v>44120</v>
      </c>
      <c r="D1441" s="2">
        <v>820172575</v>
      </c>
      <c r="E1441" s="2">
        <v>119464</v>
      </c>
      <c r="F1441">
        <v>66</v>
      </c>
      <c r="G1441" s="2">
        <v>236628412</v>
      </c>
      <c r="H1441" s="2">
        <v>5627099</v>
      </c>
      <c r="I1441" s="2">
        <v>261554607</v>
      </c>
      <c r="J1441">
        <v>152</v>
      </c>
      <c r="K1441">
        <v>246</v>
      </c>
      <c r="L1441">
        <v>1</v>
      </c>
      <c r="M1441" t="str">
        <f t="shared" si="22"/>
        <v>2010-2020</v>
      </c>
    </row>
    <row r="1442" spans="1:13">
      <c r="A1442" t="s">
        <v>2173</v>
      </c>
      <c r="B1442" t="s">
        <v>285</v>
      </c>
      <c r="C1442" s="1">
        <v>44260</v>
      </c>
      <c r="D1442" s="2">
        <v>749776475</v>
      </c>
      <c r="E1442" s="2">
        <v>98447</v>
      </c>
      <c r="F1442">
        <v>65</v>
      </c>
      <c r="G1442" s="2">
        <v>255815308</v>
      </c>
      <c r="H1442" s="2">
        <v>3672693</v>
      </c>
      <c r="I1442" s="2">
        <v>250017692</v>
      </c>
      <c r="J1442">
        <v>129</v>
      </c>
      <c r="K1442">
        <v>32</v>
      </c>
      <c r="L1442">
        <v>0</v>
      </c>
      <c r="M1442" t="str">
        <f t="shared" si="22"/>
        <v>After 2020</v>
      </c>
    </row>
    <row r="1443" spans="1:13">
      <c r="A1443" t="s">
        <v>2174</v>
      </c>
      <c r="B1443" t="s">
        <v>2175</v>
      </c>
      <c r="C1443" s="1">
        <v>41191</v>
      </c>
      <c r="D1443" s="2">
        <v>2397109372</v>
      </c>
      <c r="E1443" s="2">
        <v>287524</v>
      </c>
      <c r="F1443">
        <v>74</v>
      </c>
      <c r="G1443" s="2">
        <v>1554258622</v>
      </c>
      <c r="H1443" s="2">
        <v>11301317</v>
      </c>
      <c r="I1443" s="2">
        <v>715739402</v>
      </c>
      <c r="J1443">
        <v>23</v>
      </c>
      <c r="K1443">
        <v>185</v>
      </c>
      <c r="L1443">
        <v>0</v>
      </c>
      <c r="M1443" t="str">
        <f t="shared" si="22"/>
        <v>2010-2020</v>
      </c>
    </row>
    <row r="1444" spans="1:13">
      <c r="A1444" t="s">
        <v>2176</v>
      </c>
      <c r="B1444" t="s">
        <v>291</v>
      </c>
      <c r="C1444" s="1">
        <v>43196</v>
      </c>
      <c r="D1444" s="2">
        <v>1624314065</v>
      </c>
      <c r="E1444" s="2">
        <v>175421</v>
      </c>
      <c r="F1444">
        <v>72</v>
      </c>
      <c r="G1444" s="2">
        <v>50292845</v>
      </c>
      <c r="H1444" s="2">
        <v>526148</v>
      </c>
      <c r="I1444" s="2">
        <v>1060409911</v>
      </c>
      <c r="J1444">
        <v>331</v>
      </c>
      <c r="K1444">
        <v>7</v>
      </c>
      <c r="L1444">
        <v>1</v>
      </c>
      <c r="M1444" t="str">
        <f t="shared" si="22"/>
        <v>2010-2020</v>
      </c>
    </row>
    <row r="1445" spans="1:13" hidden="1">
      <c r="A1445" t="s">
        <v>2177</v>
      </c>
      <c r="B1445" t="s">
        <v>2178</v>
      </c>
      <c r="C1445" s="1">
        <v>43720</v>
      </c>
      <c r="D1445" s="2">
        <v>96829196</v>
      </c>
      <c r="E1445" s="2">
        <v>9383</v>
      </c>
      <c r="F1445">
        <v>58</v>
      </c>
      <c r="G1445" s="2">
        <v>1058000530</v>
      </c>
      <c r="H1445" s="2">
        <v>6138968</v>
      </c>
      <c r="I1445" s="2">
        <v>840026921</v>
      </c>
      <c r="J1445">
        <v>3</v>
      </c>
      <c r="L1445">
        <v>0</v>
      </c>
      <c r="M1445" t="str">
        <f t="shared" si="22"/>
        <v>2010-2020</v>
      </c>
    </row>
    <row r="1446" spans="1:13" hidden="1">
      <c r="A1446" t="s">
        <v>2179</v>
      </c>
      <c r="B1446" t="s">
        <v>195</v>
      </c>
      <c r="C1446" s="1">
        <v>45227</v>
      </c>
      <c r="D1446" s="2">
        <v>186482379</v>
      </c>
      <c r="E1446" s="2">
        <v>11318</v>
      </c>
      <c r="G1446" s="2">
        <v>123373203</v>
      </c>
      <c r="H1446" s="2">
        <v>596064</v>
      </c>
      <c r="J1446">
        <v>2</v>
      </c>
      <c r="L1446">
        <v>1</v>
      </c>
      <c r="M1446" t="str">
        <f t="shared" si="22"/>
        <v>After 2020</v>
      </c>
    </row>
    <row r="1447" spans="1:13" hidden="1">
      <c r="A1447" t="s">
        <v>2180</v>
      </c>
      <c r="B1447" t="s">
        <v>236</v>
      </c>
      <c r="C1447" s="1">
        <v>45135</v>
      </c>
      <c r="D1447" s="2">
        <v>159483318</v>
      </c>
      <c r="E1447" s="2">
        <v>53828</v>
      </c>
      <c r="F1447">
        <v>68</v>
      </c>
      <c r="G1447" s="2">
        <v>22293256</v>
      </c>
      <c r="H1447" s="2">
        <v>275511</v>
      </c>
      <c r="I1447" s="2">
        <v>3252732</v>
      </c>
      <c r="J1447">
        <v>14</v>
      </c>
      <c r="L1447">
        <v>1</v>
      </c>
      <c r="M1447" t="str">
        <f t="shared" si="22"/>
        <v>After 2020</v>
      </c>
    </row>
    <row r="1448" spans="1:13">
      <c r="A1448" t="s">
        <v>1431</v>
      </c>
      <c r="B1448" t="s">
        <v>2181</v>
      </c>
      <c r="C1448" s="1">
        <v>44120</v>
      </c>
      <c r="D1448" s="2">
        <v>382143321</v>
      </c>
      <c r="E1448" s="2">
        <v>98433</v>
      </c>
      <c r="F1448">
        <v>65</v>
      </c>
      <c r="G1448" s="2">
        <v>97046738</v>
      </c>
      <c r="H1448" s="2">
        <v>1206503</v>
      </c>
      <c r="I1448" s="2">
        <v>12626614888</v>
      </c>
      <c r="J1448">
        <v>7</v>
      </c>
      <c r="K1448">
        <v>176</v>
      </c>
      <c r="L1448">
        <v>0</v>
      </c>
      <c r="M1448" t="str">
        <f t="shared" si="22"/>
        <v>2010-2020</v>
      </c>
    </row>
    <row r="1449" spans="1:13">
      <c r="A1449" t="s">
        <v>2182</v>
      </c>
      <c r="B1449" t="s">
        <v>686</v>
      </c>
      <c r="C1449" s="1">
        <v>43608</v>
      </c>
      <c r="D1449" s="2">
        <v>729825680</v>
      </c>
      <c r="E1449" s="2">
        <v>155380</v>
      </c>
      <c r="F1449">
        <v>62</v>
      </c>
      <c r="G1449" s="2">
        <v>286183927</v>
      </c>
      <c r="H1449" s="2">
        <v>2353107</v>
      </c>
      <c r="I1449" s="2">
        <v>63035109</v>
      </c>
      <c r="J1449">
        <v>90</v>
      </c>
      <c r="K1449">
        <v>101</v>
      </c>
      <c r="L1449">
        <v>1</v>
      </c>
      <c r="M1449" t="str">
        <f t="shared" si="22"/>
        <v>2010-2020</v>
      </c>
    </row>
    <row r="1450" spans="1:13">
      <c r="A1450" t="s">
        <v>2183</v>
      </c>
      <c r="B1450" t="s">
        <v>2184</v>
      </c>
      <c r="C1450" s="1">
        <v>43693</v>
      </c>
      <c r="D1450" s="2">
        <v>497062969</v>
      </c>
      <c r="E1450" s="2">
        <v>39746</v>
      </c>
      <c r="F1450">
        <v>69</v>
      </c>
      <c r="G1450" s="2">
        <v>1089614100</v>
      </c>
      <c r="H1450" s="2">
        <v>3109366</v>
      </c>
      <c r="I1450" s="2">
        <v>774581354</v>
      </c>
      <c r="J1450">
        <v>16</v>
      </c>
      <c r="K1450">
        <v>72</v>
      </c>
      <c r="L1450">
        <v>0</v>
      </c>
      <c r="M1450" t="str">
        <f t="shared" si="22"/>
        <v>2010-2020</v>
      </c>
    </row>
    <row r="1451" spans="1:13" hidden="1">
      <c r="A1451" t="s">
        <v>2185</v>
      </c>
      <c r="B1451" t="s">
        <v>903</v>
      </c>
      <c r="C1451" s="1">
        <v>45212</v>
      </c>
      <c r="D1451" s="2">
        <v>222373201</v>
      </c>
      <c r="E1451" s="2">
        <v>24491</v>
      </c>
      <c r="G1451" s="2">
        <v>31161634</v>
      </c>
      <c r="H1451" s="2">
        <v>637860</v>
      </c>
      <c r="I1451" s="2">
        <v>568978171</v>
      </c>
      <c r="J1451">
        <v>50</v>
      </c>
      <c r="K1451">
        <v>144</v>
      </c>
      <c r="L1451">
        <v>0</v>
      </c>
      <c r="M1451" t="str">
        <f t="shared" si="22"/>
        <v>After 2020</v>
      </c>
    </row>
    <row r="1452" spans="1:13">
      <c r="A1452" t="s">
        <v>2186</v>
      </c>
      <c r="B1452" t="s">
        <v>2187</v>
      </c>
      <c r="C1452" s="1">
        <v>44344</v>
      </c>
      <c r="D1452" s="2">
        <v>499262863</v>
      </c>
      <c r="E1452" s="2">
        <v>156928</v>
      </c>
      <c r="F1452">
        <v>70</v>
      </c>
      <c r="G1452" s="2">
        <v>131002845</v>
      </c>
      <c r="H1452" s="2">
        <v>1651190</v>
      </c>
      <c r="I1452" s="2">
        <v>685647449</v>
      </c>
      <c r="J1452">
        <v>22</v>
      </c>
      <c r="K1452">
        <v>53</v>
      </c>
      <c r="L1452">
        <v>1</v>
      </c>
      <c r="M1452" t="str">
        <f t="shared" si="22"/>
        <v>After 2020</v>
      </c>
    </row>
    <row r="1453" spans="1:13" hidden="1">
      <c r="A1453" t="s">
        <v>2188</v>
      </c>
      <c r="B1453" t="s">
        <v>2189</v>
      </c>
      <c r="C1453" s="1">
        <v>44228</v>
      </c>
      <c r="D1453" s="2">
        <v>495840131</v>
      </c>
      <c r="E1453" s="2">
        <v>118862</v>
      </c>
      <c r="F1453">
        <v>70</v>
      </c>
      <c r="G1453" s="2">
        <v>387463291</v>
      </c>
      <c r="H1453" s="2">
        <v>5208321</v>
      </c>
      <c r="I1453" s="2">
        <v>2643309542</v>
      </c>
      <c r="J1453">
        <v>27</v>
      </c>
      <c r="L1453">
        <v>1</v>
      </c>
      <c r="M1453" t="str">
        <f t="shared" si="22"/>
        <v>After 2020</v>
      </c>
    </row>
    <row r="1454" spans="1:13" hidden="1">
      <c r="A1454" t="s">
        <v>2190</v>
      </c>
      <c r="B1454" t="s">
        <v>1303</v>
      </c>
      <c r="C1454" s="1">
        <v>45345</v>
      </c>
      <c r="D1454" s="2">
        <v>19565712</v>
      </c>
      <c r="E1454" s="2">
        <v>3586</v>
      </c>
      <c r="G1454" s="2">
        <v>32474495</v>
      </c>
      <c r="H1454" s="2">
        <v>238892</v>
      </c>
      <c r="I1454" s="2">
        <v>51520600</v>
      </c>
      <c r="J1454">
        <v>16</v>
      </c>
      <c r="K1454">
        <v>128</v>
      </c>
      <c r="L1454">
        <v>1</v>
      </c>
      <c r="M1454" t="str">
        <f t="shared" si="22"/>
        <v>After 2020</v>
      </c>
    </row>
    <row r="1455" spans="1:13" hidden="1">
      <c r="A1455" t="s">
        <v>2191</v>
      </c>
      <c r="B1455" t="s">
        <v>200</v>
      </c>
      <c r="C1455" s="1">
        <v>45421</v>
      </c>
      <c r="D1455" s="2">
        <v>42032763</v>
      </c>
      <c r="E1455" s="2">
        <v>2684</v>
      </c>
      <c r="F1455">
        <v>79</v>
      </c>
      <c r="G1455" s="2">
        <v>12120768</v>
      </c>
      <c r="H1455" s="2">
        <v>209919</v>
      </c>
      <c r="J1455">
        <v>28</v>
      </c>
      <c r="L1455">
        <v>1</v>
      </c>
      <c r="M1455" t="str">
        <f t="shared" si="22"/>
        <v>After 2020</v>
      </c>
    </row>
    <row r="1456" spans="1:13">
      <c r="A1456" t="s">
        <v>2192</v>
      </c>
      <c r="B1456" t="s">
        <v>291</v>
      </c>
      <c r="C1456" s="1">
        <v>43511</v>
      </c>
      <c r="D1456" s="2">
        <v>551035247</v>
      </c>
      <c r="E1456" s="2">
        <v>58065</v>
      </c>
      <c r="F1456">
        <v>70</v>
      </c>
      <c r="G1456" s="2">
        <v>709288321</v>
      </c>
      <c r="H1456" s="2">
        <v>7563367</v>
      </c>
      <c r="I1456" s="2">
        <v>244717002</v>
      </c>
      <c r="J1456">
        <v>42</v>
      </c>
      <c r="K1456">
        <v>33</v>
      </c>
      <c r="L1456">
        <v>1</v>
      </c>
      <c r="M1456" t="str">
        <f t="shared" si="22"/>
        <v>2010-2020</v>
      </c>
    </row>
    <row r="1457" spans="1:13" hidden="1">
      <c r="A1457" t="s">
        <v>2193</v>
      </c>
      <c r="B1457" t="s">
        <v>1102</v>
      </c>
      <c r="C1457" s="1">
        <v>44701</v>
      </c>
      <c r="D1457" s="2">
        <v>357445095</v>
      </c>
      <c r="E1457" s="2">
        <v>30881</v>
      </c>
      <c r="F1457">
        <v>71</v>
      </c>
      <c r="G1457" s="2">
        <v>402629804</v>
      </c>
      <c r="H1457" s="2">
        <v>1360903</v>
      </c>
      <c r="I1457" s="2">
        <v>717809876</v>
      </c>
      <c r="J1457">
        <v>6</v>
      </c>
      <c r="L1457">
        <v>1</v>
      </c>
      <c r="M1457" t="str">
        <f t="shared" si="22"/>
        <v>After 2020</v>
      </c>
    </row>
    <row r="1458" spans="1:13" hidden="1">
      <c r="A1458" t="s">
        <v>2194</v>
      </c>
      <c r="B1458" t="s">
        <v>2195</v>
      </c>
      <c r="C1458" s="1">
        <v>41799</v>
      </c>
      <c r="L1458">
        <v>0</v>
      </c>
      <c r="M1458" t="str">
        <f t="shared" si="22"/>
        <v>2010-2020</v>
      </c>
    </row>
    <row r="1459" spans="1:13">
      <c r="A1459" t="s">
        <v>2196</v>
      </c>
      <c r="B1459" t="s">
        <v>313</v>
      </c>
      <c r="C1459" s="1">
        <v>44511</v>
      </c>
      <c r="D1459" s="2">
        <v>459476092</v>
      </c>
      <c r="E1459" s="2">
        <v>79169</v>
      </c>
      <c r="F1459">
        <v>69</v>
      </c>
      <c r="G1459" s="2">
        <v>301677718</v>
      </c>
      <c r="H1459" s="2">
        <v>2245842</v>
      </c>
      <c r="I1459" s="2">
        <v>399821879</v>
      </c>
      <c r="J1459">
        <v>87</v>
      </c>
      <c r="K1459">
        <v>464</v>
      </c>
      <c r="L1459">
        <v>0</v>
      </c>
      <c r="M1459" t="str">
        <f t="shared" si="22"/>
        <v>After 2020</v>
      </c>
    </row>
    <row r="1460" spans="1:13" hidden="1">
      <c r="A1460" t="s">
        <v>2197</v>
      </c>
      <c r="B1460" t="s">
        <v>236</v>
      </c>
      <c r="C1460" s="1">
        <v>45135</v>
      </c>
      <c r="D1460" s="2">
        <v>133152051</v>
      </c>
      <c r="E1460" s="2">
        <v>55843</v>
      </c>
      <c r="F1460">
        <v>71</v>
      </c>
      <c r="G1460" s="2">
        <v>10008757</v>
      </c>
      <c r="H1460" s="2">
        <v>138349</v>
      </c>
      <c r="I1460" s="2">
        <v>7150381</v>
      </c>
      <c r="J1460">
        <v>8</v>
      </c>
      <c r="L1460">
        <v>1</v>
      </c>
      <c r="M1460" t="str">
        <f t="shared" si="22"/>
        <v>After 2020</v>
      </c>
    </row>
    <row r="1461" spans="1:13">
      <c r="A1461" t="s">
        <v>2198</v>
      </c>
      <c r="B1461" t="s">
        <v>459</v>
      </c>
      <c r="C1461" s="1">
        <v>44365</v>
      </c>
      <c r="D1461" s="2">
        <v>347951927</v>
      </c>
      <c r="E1461" s="2">
        <v>60696</v>
      </c>
      <c r="F1461">
        <v>61</v>
      </c>
      <c r="G1461" s="2">
        <v>597413972</v>
      </c>
      <c r="H1461" s="2">
        <v>2596959</v>
      </c>
      <c r="I1461" s="2">
        <v>91298035</v>
      </c>
      <c r="J1461">
        <v>78</v>
      </c>
      <c r="K1461">
        <v>9</v>
      </c>
      <c r="L1461">
        <v>0</v>
      </c>
      <c r="M1461" t="str">
        <f t="shared" si="22"/>
        <v>After 2020</v>
      </c>
    </row>
    <row r="1462" spans="1:13">
      <c r="A1462" t="s">
        <v>2199</v>
      </c>
      <c r="B1462" t="s">
        <v>444</v>
      </c>
      <c r="C1462" s="1">
        <v>44767</v>
      </c>
      <c r="D1462" s="2">
        <v>656416971</v>
      </c>
      <c r="E1462" s="2">
        <v>74344</v>
      </c>
      <c r="F1462">
        <v>75</v>
      </c>
      <c r="G1462" s="2">
        <v>58769088</v>
      </c>
      <c r="H1462" s="2">
        <v>325798</v>
      </c>
      <c r="I1462" s="2">
        <v>1039707434</v>
      </c>
      <c r="J1462">
        <v>75</v>
      </c>
      <c r="K1462">
        <v>249</v>
      </c>
      <c r="L1462">
        <v>1</v>
      </c>
      <c r="M1462" t="str">
        <f t="shared" si="22"/>
        <v>After 2020</v>
      </c>
    </row>
    <row r="1463" spans="1:13">
      <c r="A1463" t="s">
        <v>2200</v>
      </c>
      <c r="B1463" t="s">
        <v>61</v>
      </c>
      <c r="C1463" s="1">
        <v>44036</v>
      </c>
      <c r="D1463" s="2">
        <v>1307283069</v>
      </c>
      <c r="E1463" s="2">
        <v>94169</v>
      </c>
      <c r="F1463">
        <v>80</v>
      </c>
      <c r="G1463" s="2">
        <v>250157022</v>
      </c>
      <c r="H1463" s="2">
        <v>3792791</v>
      </c>
      <c r="I1463" s="2">
        <v>2941268049</v>
      </c>
      <c r="J1463">
        <v>131</v>
      </c>
      <c r="K1463">
        <v>11</v>
      </c>
      <c r="L1463">
        <v>0</v>
      </c>
      <c r="M1463" t="str">
        <f t="shared" si="22"/>
        <v>2010-2020</v>
      </c>
    </row>
    <row r="1464" spans="1:13">
      <c r="A1464" t="s">
        <v>2201</v>
      </c>
      <c r="B1464" t="s">
        <v>1862</v>
      </c>
      <c r="C1464" s="1">
        <v>42937</v>
      </c>
      <c r="D1464" s="2">
        <v>1610423351</v>
      </c>
      <c r="E1464" s="2">
        <v>283537</v>
      </c>
      <c r="F1464">
        <v>84</v>
      </c>
      <c r="G1464" s="2">
        <v>345975070</v>
      </c>
      <c r="H1464" s="2">
        <v>4492100</v>
      </c>
      <c r="I1464" s="2">
        <v>832654007</v>
      </c>
      <c r="J1464">
        <v>99</v>
      </c>
      <c r="K1464">
        <v>180</v>
      </c>
      <c r="L1464">
        <v>1</v>
      </c>
      <c r="M1464" t="str">
        <f t="shared" si="22"/>
        <v>2010-2020</v>
      </c>
    </row>
    <row r="1465" spans="1:13" hidden="1">
      <c r="A1465" t="s">
        <v>2202</v>
      </c>
      <c r="B1465" t="s">
        <v>2203</v>
      </c>
      <c r="C1465" s="1">
        <v>44830</v>
      </c>
      <c r="G1465" s="2">
        <v>602334197</v>
      </c>
      <c r="H1465" s="2">
        <v>1211320</v>
      </c>
      <c r="L1465">
        <v>0</v>
      </c>
      <c r="M1465" t="str">
        <f t="shared" si="22"/>
        <v>After 2020</v>
      </c>
    </row>
    <row r="1466" spans="1:13">
      <c r="A1466" t="s">
        <v>2204</v>
      </c>
      <c r="B1466" t="s">
        <v>633</v>
      </c>
      <c r="C1466" s="1">
        <v>43448</v>
      </c>
      <c r="D1466" s="2">
        <v>784096553</v>
      </c>
      <c r="E1466" s="2">
        <v>80071</v>
      </c>
      <c r="F1466">
        <v>77</v>
      </c>
      <c r="G1466" s="2">
        <v>979304024</v>
      </c>
      <c r="H1466" s="2">
        <v>4295929</v>
      </c>
      <c r="I1466" s="2">
        <v>98951834</v>
      </c>
      <c r="J1466">
        <v>31</v>
      </c>
      <c r="K1466">
        <v>26</v>
      </c>
      <c r="L1466">
        <v>0</v>
      </c>
      <c r="M1466" t="str">
        <f t="shared" si="22"/>
        <v>2010-2020</v>
      </c>
    </row>
    <row r="1467" spans="1:13" hidden="1">
      <c r="A1467" t="s">
        <v>2205</v>
      </c>
      <c r="B1467" t="s">
        <v>127</v>
      </c>
      <c r="C1467" s="1">
        <v>45344</v>
      </c>
      <c r="D1467" s="2">
        <v>811545581</v>
      </c>
      <c r="E1467">
        <v>1</v>
      </c>
      <c r="L1467">
        <v>1</v>
      </c>
      <c r="M1467" t="str">
        <f t="shared" si="22"/>
        <v>After 2020</v>
      </c>
    </row>
    <row r="1468" spans="1:13" hidden="1">
      <c r="A1468" t="s">
        <v>2206</v>
      </c>
      <c r="B1468" t="s">
        <v>934</v>
      </c>
      <c r="C1468" s="1">
        <v>45296</v>
      </c>
      <c r="D1468" s="2">
        <v>84030576</v>
      </c>
      <c r="E1468" s="2">
        <v>4988</v>
      </c>
      <c r="F1468">
        <v>71</v>
      </c>
      <c r="G1468" s="2">
        <v>107773139</v>
      </c>
      <c r="H1468" s="2">
        <v>1537321</v>
      </c>
      <c r="J1468">
        <v>14</v>
      </c>
      <c r="L1468">
        <v>0</v>
      </c>
      <c r="M1468" t="str">
        <f t="shared" si="22"/>
        <v>After 2020</v>
      </c>
    </row>
    <row r="1469" spans="1:13">
      <c r="A1469" t="s">
        <v>2207</v>
      </c>
      <c r="B1469" t="s">
        <v>1641</v>
      </c>
      <c r="C1469" s="1">
        <v>44652</v>
      </c>
      <c r="D1469" s="2">
        <v>736983718</v>
      </c>
      <c r="E1469" s="2">
        <v>92256</v>
      </c>
      <c r="F1469">
        <v>76</v>
      </c>
      <c r="G1469" s="2">
        <v>97778011</v>
      </c>
      <c r="H1469" s="2">
        <v>619019</v>
      </c>
      <c r="I1469" s="2">
        <v>559279404</v>
      </c>
      <c r="J1469">
        <v>42</v>
      </c>
      <c r="K1469">
        <v>48</v>
      </c>
      <c r="L1469">
        <v>1</v>
      </c>
      <c r="M1469" t="str">
        <f t="shared" si="22"/>
        <v>After 2020</v>
      </c>
    </row>
    <row r="1470" spans="1:13">
      <c r="A1470" t="s">
        <v>2208</v>
      </c>
      <c r="B1470" t="s">
        <v>295</v>
      </c>
      <c r="C1470" s="1">
        <v>43952</v>
      </c>
      <c r="D1470" s="2">
        <v>763384135</v>
      </c>
      <c r="E1470" s="2">
        <v>200270</v>
      </c>
      <c r="F1470">
        <v>72</v>
      </c>
      <c r="G1470" s="2">
        <v>182844852</v>
      </c>
      <c r="H1470" s="2">
        <v>1503848</v>
      </c>
      <c r="I1470" s="2">
        <v>5371997</v>
      </c>
      <c r="J1470">
        <v>61</v>
      </c>
      <c r="K1470">
        <v>14</v>
      </c>
      <c r="L1470">
        <v>1</v>
      </c>
      <c r="M1470" t="str">
        <f t="shared" si="22"/>
        <v>2010-2020</v>
      </c>
    </row>
    <row r="1471" spans="1:13">
      <c r="A1471" t="s">
        <v>2209</v>
      </c>
      <c r="B1471" t="s">
        <v>2210</v>
      </c>
      <c r="C1471" s="1">
        <v>45072</v>
      </c>
      <c r="D1471" s="2">
        <v>128049237</v>
      </c>
      <c r="E1471" s="2">
        <v>42334</v>
      </c>
      <c r="F1471">
        <v>68</v>
      </c>
      <c r="G1471" s="2">
        <v>66669093</v>
      </c>
      <c r="H1471" s="2">
        <v>735494</v>
      </c>
      <c r="I1471" s="2">
        <v>184180412</v>
      </c>
      <c r="J1471">
        <v>25</v>
      </c>
      <c r="K1471">
        <v>45</v>
      </c>
      <c r="L1471">
        <v>1</v>
      </c>
      <c r="M1471" t="str">
        <f t="shared" si="22"/>
        <v>After 2020</v>
      </c>
    </row>
    <row r="1472" spans="1:13">
      <c r="A1472" t="s">
        <v>2211</v>
      </c>
      <c r="B1472" t="s">
        <v>755</v>
      </c>
      <c r="C1472" s="1">
        <v>45079</v>
      </c>
      <c r="D1472" s="2">
        <v>207857363</v>
      </c>
      <c r="E1472" s="2">
        <v>14268</v>
      </c>
      <c r="F1472">
        <v>70</v>
      </c>
      <c r="G1472" s="2">
        <v>202184485</v>
      </c>
      <c r="H1472" s="2">
        <v>3376954</v>
      </c>
      <c r="I1472" s="2">
        <v>1571240092</v>
      </c>
      <c r="J1472">
        <v>20</v>
      </c>
      <c r="K1472">
        <v>15</v>
      </c>
      <c r="L1472">
        <v>0</v>
      </c>
      <c r="M1472" t="str">
        <f t="shared" si="22"/>
        <v>After 2020</v>
      </c>
    </row>
    <row r="1473" spans="1:13">
      <c r="A1473" t="s">
        <v>2212</v>
      </c>
      <c r="B1473" t="s">
        <v>2213</v>
      </c>
      <c r="C1473" s="1">
        <v>44665</v>
      </c>
      <c r="D1473" s="2">
        <v>17756452</v>
      </c>
      <c r="E1473" s="2">
        <v>8421</v>
      </c>
      <c r="F1473">
        <v>48</v>
      </c>
      <c r="G1473" s="2">
        <v>1602919</v>
      </c>
      <c r="H1473" s="2">
        <v>27727</v>
      </c>
      <c r="I1473" s="2">
        <v>5068567775</v>
      </c>
      <c r="J1473">
        <v>1</v>
      </c>
      <c r="K1473">
        <v>56</v>
      </c>
      <c r="L1473">
        <v>1</v>
      </c>
      <c r="M1473" t="str">
        <f t="shared" si="22"/>
        <v>After 2020</v>
      </c>
    </row>
    <row r="1474" spans="1:13">
      <c r="A1474" t="s">
        <v>2214</v>
      </c>
      <c r="B1474" t="s">
        <v>803</v>
      </c>
      <c r="C1474" s="1">
        <v>44706</v>
      </c>
      <c r="D1474" s="2">
        <v>245406516</v>
      </c>
      <c r="E1474" s="2">
        <v>75951</v>
      </c>
      <c r="F1474">
        <v>60</v>
      </c>
      <c r="G1474" s="2">
        <v>53569545</v>
      </c>
      <c r="H1474" s="2">
        <v>636003</v>
      </c>
      <c r="I1474" s="2">
        <v>85005540</v>
      </c>
      <c r="J1474">
        <v>12</v>
      </c>
      <c r="K1474">
        <v>80</v>
      </c>
      <c r="L1474">
        <v>1</v>
      </c>
      <c r="M1474" t="str">
        <f t="shared" si="22"/>
        <v>After 2020</v>
      </c>
    </row>
    <row r="1475" spans="1:13">
      <c r="A1475" t="s">
        <v>2215</v>
      </c>
      <c r="B1475" t="s">
        <v>2216</v>
      </c>
      <c r="C1475" s="1">
        <v>42635</v>
      </c>
      <c r="D1475" s="2">
        <v>613961293</v>
      </c>
      <c r="E1475" s="2">
        <v>57564</v>
      </c>
      <c r="F1475">
        <v>66</v>
      </c>
      <c r="G1475" s="2">
        <v>2008509134</v>
      </c>
      <c r="H1475" s="2">
        <v>5299342</v>
      </c>
      <c r="I1475" s="2">
        <v>416104248</v>
      </c>
      <c r="J1475">
        <v>70</v>
      </c>
      <c r="K1475">
        <v>36</v>
      </c>
      <c r="L1475">
        <v>0</v>
      </c>
      <c r="M1475" t="str">
        <f t="shared" ref="M1475:M1538" si="23">IF(YEAR(C1475)&lt;2010,"Before 2010",IF(YEAR(C1475)&lt;=2020,"2010-2020","After 2020"))</f>
        <v>2010-2020</v>
      </c>
    </row>
    <row r="1476" spans="1:13">
      <c r="A1476" t="s">
        <v>2217</v>
      </c>
      <c r="B1476" t="s">
        <v>1789</v>
      </c>
      <c r="C1476" s="1">
        <v>44952</v>
      </c>
      <c r="D1476" s="2">
        <v>159051363</v>
      </c>
      <c r="E1476" s="2">
        <v>31456</v>
      </c>
      <c r="F1476">
        <v>62</v>
      </c>
      <c r="G1476" s="2">
        <v>36559555</v>
      </c>
      <c r="H1476" s="2">
        <v>374415</v>
      </c>
      <c r="I1476" s="2">
        <v>214685378</v>
      </c>
      <c r="J1476">
        <v>62</v>
      </c>
      <c r="K1476">
        <v>140</v>
      </c>
      <c r="L1476">
        <v>0</v>
      </c>
      <c r="M1476" t="str">
        <f t="shared" si="23"/>
        <v>After 2020</v>
      </c>
    </row>
    <row r="1477" spans="1:13">
      <c r="A1477" t="s">
        <v>2218</v>
      </c>
      <c r="B1477" t="s">
        <v>315</v>
      </c>
      <c r="C1477" s="1">
        <v>43735</v>
      </c>
      <c r="D1477" s="2">
        <v>432315500</v>
      </c>
      <c r="E1477" s="2">
        <v>95756</v>
      </c>
      <c r="F1477">
        <v>59</v>
      </c>
      <c r="G1477" s="2">
        <v>161619855</v>
      </c>
      <c r="H1477" s="2">
        <v>1879161</v>
      </c>
      <c r="I1477" s="2">
        <v>1119929038</v>
      </c>
      <c r="J1477">
        <v>38</v>
      </c>
      <c r="K1477">
        <v>202</v>
      </c>
      <c r="L1477">
        <v>1</v>
      </c>
      <c r="M1477" t="str">
        <f t="shared" si="23"/>
        <v>2010-2020</v>
      </c>
    </row>
    <row r="1478" spans="1:13">
      <c r="A1478" t="s">
        <v>2219</v>
      </c>
      <c r="B1478" t="s">
        <v>2220</v>
      </c>
      <c r="C1478" s="1">
        <v>41901</v>
      </c>
      <c r="D1478" s="2">
        <v>781790448</v>
      </c>
      <c r="E1478" s="2">
        <v>135134</v>
      </c>
      <c r="F1478">
        <v>67</v>
      </c>
      <c r="G1478" s="2">
        <v>426579083</v>
      </c>
      <c r="H1478" s="2">
        <v>3923819</v>
      </c>
      <c r="I1478" s="2">
        <v>186021426</v>
      </c>
      <c r="J1478">
        <v>80</v>
      </c>
      <c r="K1478">
        <v>6</v>
      </c>
      <c r="L1478">
        <v>1</v>
      </c>
      <c r="M1478" t="str">
        <f t="shared" si="23"/>
        <v>2010-2020</v>
      </c>
    </row>
    <row r="1479" spans="1:13" hidden="1">
      <c r="A1479" t="s">
        <v>2221</v>
      </c>
      <c r="B1479" t="s">
        <v>2222</v>
      </c>
      <c r="C1479" s="1">
        <v>45058</v>
      </c>
      <c r="D1479" s="2">
        <v>142131977</v>
      </c>
      <c r="E1479" s="2">
        <v>47009</v>
      </c>
      <c r="F1479">
        <v>69</v>
      </c>
      <c r="G1479" s="2">
        <v>81587375</v>
      </c>
      <c r="H1479" s="2">
        <v>506426</v>
      </c>
      <c r="I1479" s="2">
        <v>274170598</v>
      </c>
      <c r="J1479">
        <v>10</v>
      </c>
      <c r="L1479">
        <v>1</v>
      </c>
      <c r="M1479" t="str">
        <f t="shared" si="23"/>
        <v>After 2020</v>
      </c>
    </row>
    <row r="1480" spans="1:13" hidden="1">
      <c r="A1480" t="s">
        <v>2223</v>
      </c>
      <c r="B1480" t="s">
        <v>236</v>
      </c>
      <c r="C1480" s="1">
        <v>45135</v>
      </c>
      <c r="D1480" s="2">
        <v>137071285</v>
      </c>
      <c r="E1480" s="2">
        <v>47247</v>
      </c>
      <c r="F1480">
        <v>68</v>
      </c>
      <c r="G1480" s="2">
        <v>16951175</v>
      </c>
      <c r="H1480" s="2">
        <v>234706</v>
      </c>
      <c r="I1480" s="2">
        <v>5731192</v>
      </c>
      <c r="J1480">
        <v>9</v>
      </c>
      <c r="L1480">
        <v>1</v>
      </c>
      <c r="M1480" t="str">
        <f t="shared" si="23"/>
        <v>After 2020</v>
      </c>
    </row>
    <row r="1481" spans="1:13" hidden="1">
      <c r="A1481" t="s">
        <v>2224</v>
      </c>
      <c r="B1481" t="s">
        <v>2225</v>
      </c>
      <c r="C1481" s="1">
        <v>44846</v>
      </c>
      <c r="D1481" s="2">
        <v>360816226</v>
      </c>
      <c r="E1481" s="2">
        <v>61627</v>
      </c>
      <c r="F1481">
        <v>70</v>
      </c>
      <c r="G1481" s="2">
        <v>171459970</v>
      </c>
      <c r="H1481" s="2">
        <v>1769697</v>
      </c>
      <c r="I1481" s="2">
        <v>1353881739</v>
      </c>
      <c r="J1481">
        <v>35</v>
      </c>
      <c r="L1481">
        <v>0</v>
      </c>
      <c r="M1481" t="str">
        <f t="shared" si="23"/>
        <v>After 2020</v>
      </c>
    </row>
    <row r="1482" spans="1:13" hidden="1">
      <c r="A1482" t="s">
        <v>2226</v>
      </c>
      <c r="B1482" t="s">
        <v>2227</v>
      </c>
      <c r="C1482" s="1">
        <v>45260</v>
      </c>
      <c r="D1482" s="2">
        <v>163958167</v>
      </c>
      <c r="E1482" s="2">
        <v>12417</v>
      </c>
      <c r="F1482">
        <v>76</v>
      </c>
      <c r="G1482" s="2">
        <v>86105258</v>
      </c>
      <c r="H1482" s="2">
        <v>868068</v>
      </c>
      <c r="I1482" s="2">
        <v>1805126</v>
      </c>
      <c r="J1482">
        <v>2</v>
      </c>
      <c r="L1482">
        <v>0</v>
      </c>
      <c r="M1482" t="str">
        <f t="shared" si="23"/>
        <v>After 2020</v>
      </c>
    </row>
    <row r="1483" spans="1:13" hidden="1">
      <c r="A1483" t="s">
        <v>2228</v>
      </c>
      <c r="B1483" t="s">
        <v>2229</v>
      </c>
      <c r="C1483" s="1">
        <v>45087</v>
      </c>
      <c r="D1483" s="2">
        <v>218471293</v>
      </c>
      <c r="E1483" s="2">
        <v>16445</v>
      </c>
      <c r="F1483">
        <v>72</v>
      </c>
      <c r="G1483" s="2">
        <v>218599817</v>
      </c>
      <c r="H1483" s="2">
        <v>4720491</v>
      </c>
      <c r="J1483">
        <v>4</v>
      </c>
      <c r="L1483">
        <v>0</v>
      </c>
      <c r="M1483" t="str">
        <f t="shared" si="23"/>
        <v>After 2020</v>
      </c>
    </row>
    <row r="1484" spans="1:13" hidden="1">
      <c r="A1484" t="s">
        <v>38</v>
      </c>
      <c r="B1484" t="s">
        <v>2230</v>
      </c>
      <c r="C1484" s="1">
        <v>45219</v>
      </c>
      <c r="D1484" s="2">
        <v>1642258500</v>
      </c>
      <c r="E1484">
        <v>9</v>
      </c>
      <c r="L1484">
        <v>1</v>
      </c>
      <c r="M1484" t="str">
        <f t="shared" si="23"/>
        <v>After 2020</v>
      </c>
    </row>
    <row r="1485" spans="1:13">
      <c r="A1485" t="s">
        <v>2231</v>
      </c>
      <c r="B1485" t="s">
        <v>88</v>
      </c>
      <c r="C1485" s="1">
        <v>45261</v>
      </c>
      <c r="D1485" s="2">
        <v>91143676</v>
      </c>
      <c r="E1485" s="2">
        <v>13407</v>
      </c>
      <c r="F1485">
        <v>77</v>
      </c>
      <c r="G1485" s="2">
        <v>31174494</v>
      </c>
      <c r="H1485" s="2">
        <v>570689</v>
      </c>
      <c r="I1485" s="2">
        <v>95419062</v>
      </c>
      <c r="J1485">
        <v>58</v>
      </c>
      <c r="K1485">
        <v>226</v>
      </c>
      <c r="L1485">
        <v>0</v>
      </c>
      <c r="M1485" t="str">
        <f t="shared" si="23"/>
        <v>After 2020</v>
      </c>
    </row>
    <row r="1486" spans="1:13">
      <c r="A1486" t="s">
        <v>2232</v>
      </c>
      <c r="B1486" t="s">
        <v>305</v>
      </c>
      <c r="C1486" s="1">
        <v>40379</v>
      </c>
      <c r="D1486" s="2">
        <v>2099862852</v>
      </c>
      <c r="E1486" s="2">
        <v>233719</v>
      </c>
      <c r="F1486">
        <v>79</v>
      </c>
      <c r="G1486" s="2">
        <v>2218318671</v>
      </c>
      <c r="H1486" s="2">
        <v>10649958</v>
      </c>
      <c r="I1486" s="2">
        <v>411934018</v>
      </c>
      <c r="J1486">
        <v>174</v>
      </c>
      <c r="K1486">
        <v>429</v>
      </c>
      <c r="L1486">
        <v>0</v>
      </c>
      <c r="M1486" t="str">
        <f t="shared" si="23"/>
        <v>2010-2020</v>
      </c>
    </row>
    <row r="1487" spans="1:13" hidden="1">
      <c r="A1487" t="s">
        <v>2233</v>
      </c>
      <c r="B1487" t="s">
        <v>2234</v>
      </c>
      <c r="C1487" s="1">
        <v>44253</v>
      </c>
      <c r="D1487" s="2">
        <v>613000788</v>
      </c>
      <c r="E1487" s="2">
        <v>152363</v>
      </c>
      <c r="F1487">
        <v>73</v>
      </c>
      <c r="G1487" s="2">
        <v>68681033</v>
      </c>
      <c r="H1487" s="2">
        <v>645892</v>
      </c>
      <c r="I1487" s="2">
        <v>1560809</v>
      </c>
      <c r="J1487">
        <v>124</v>
      </c>
      <c r="L1487">
        <v>0</v>
      </c>
      <c r="M1487" t="str">
        <f t="shared" si="23"/>
        <v>After 2020</v>
      </c>
    </row>
    <row r="1488" spans="1:13" hidden="1">
      <c r="A1488" t="s">
        <v>2235</v>
      </c>
      <c r="B1488" t="s">
        <v>2236</v>
      </c>
      <c r="C1488" s="1">
        <v>44981</v>
      </c>
      <c r="D1488" s="2">
        <v>3119521</v>
      </c>
      <c r="E1488">
        <v>560</v>
      </c>
      <c r="F1488">
        <v>30</v>
      </c>
      <c r="G1488" s="2">
        <v>436426901</v>
      </c>
      <c r="H1488" s="2">
        <v>1220159</v>
      </c>
      <c r="J1488">
        <v>1</v>
      </c>
      <c r="L1488">
        <v>0</v>
      </c>
      <c r="M1488" t="str">
        <f t="shared" si="23"/>
        <v>After 2020</v>
      </c>
    </row>
    <row r="1489" spans="1:13">
      <c r="A1489" t="s">
        <v>2237</v>
      </c>
      <c r="B1489" t="s">
        <v>2238</v>
      </c>
      <c r="C1489" s="1">
        <v>43755</v>
      </c>
      <c r="D1489" s="2">
        <v>1145402792</v>
      </c>
      <c r="E1489" s="2">
        <v>134427</v>
      </c>
      <c r="F1489">
        <v>69</v>
      </c>
      <c r="G1489" s="2">
        <v>96493850</v>
      </c>
      <c r="H1489" s="2">
        <v>756954</v>
      </c>
      <c r="I1489" s="2">
        <v>947802755</v>
      </c>
      <c r="J1489">
        <v>179</v>
      </c>
      <c r="K1489">
        <v>290</v>
      </c>
      <c r="L1489">
        <v>0</v>
      </c>
      <c r="M1489" t="str">
        <f t="shared" si="23"/>
        <v>2010-2020</v>
      </c>
    </row>
    <row r="1490" spans="1:13" hidden="1">
      <c r="A1490" t="s">
        <v>2239</v>
      </c>
      <c r="B1490" t="s">
        <v>1850</v>
      </c>
      <c r="C1490" s="1">
        <v>42671</v>
      </c>
      <c r="D1490" s="2">
        <v>740261910</v>
      </c>
      <c r="E1490" s="2">
        <v>49852</v>
      </c>
      <c r="F1490">
        <v>58</v>
      </c>
      <c r="G1490" s="2">
        <v>341087439</v>
      </c>
      <c r="H1490" s="2">
        <v>2812967</v>
      </c>
      <c r="I1490" s="2">
        <v>26579876</v>
      </c>
      <c r="J1490">
        <v>72</v>
      </c>
      <c r="L1490">
        <v>0</v>
      </c>
      <c r="M1490" t="str">
        <f t="shared" si="23"/>
        <v>2010-2020</v>
      </c>
    </row>
    <row r="1491" spans="1:13" hidden="1">
      <c r="A1491" t="s">
        <v>597</v>
      </c>
      <c r="B1491" t="s">
        <v>2240</v>
      </c>
      <c r="C1491" s="1">
        <v>45374</v>
      </c>
      <c r="D1491" s="2">
        <v>21255074</v>
      </c>
      <c r="E1491" s="2">
        <v>1754</v>
      </c>
      <c r="F1491">
        <v>70</v>
      </c>
      <c r="G1491" s="2">
        <v>60877749</v>
      </c>
      <c r="H1491" s="2">
        <v>97240</v>
      </c>
      <c r="I1491" s="2">
        <v>5326500</v>
      </c>
      <c r="J1491">
        <v>2</v>
      </c>
      <c r="L1491">
        <v>0</v>
      </c>
      <c r="M1491" t="str">
        <f t="shared" si="23"/>
        <v>After 2020</v>
      </c>
    </row>
    <row r="1492" spans="1:13">
      <c r="A1492" t="s">
        <v>2241</v>
      </c>
      <c r="B1492" t="s">
        <v>127</v>
      </c>
      <c r="C1492" s="1">
        <v>43796</v>
      </c>
      <c r="D1492" s="2">
        <v>975754682</v>
      </c>
      <c r="E1492" s="2">
        <v>137196</v>
      </c>
      <c r="F1492">
        <v>73</v>
      </c>
      <c r="G1492" s="2">
        <v>222977264</v>
      </c>
      <c r="H1492" s="2">
        <v>2542926</v>
      </c>
      <c r="I1492" s="2">
        <v>210080661</v>
      </c>
      <c r="J1492">
        <v>99</v>
      </c>
      <c r="K1492">
        <v>155</v>
      </c>
      <c r="L1492">
        <v>1</v>
      </c>
      <c r="M1492" t="str">
        <f t="shared" si="23"/>
        <v>2010-2020</v>
      </c>
    </row>
    <row r="1493" spans="1:13" hidden="1">
      <c r="A1493" t="s">
        <v>2242</v>
      </c>
      <c r="B1493" t="s">
        <v>2243</v>
      </c>
      <c r="C1493" s="1">
        <v>41821</v>
      </c>
      <c r="D1493" s="2">
        <v>13615330</v>
      </c>
      <c r="E1493" s="2">
        <v>1140</v>
      </c>
      <c r="F1493">
        <v>49</v>
      </c>
      <c r="G1493" s="2">
        <v>3024886279</v>
      </c>
      <c r="H1493" s="2">
        <v>7956355</v>
      </c>
      <c r="I1493" s="2">
        <v>112054234</v>
      </c>
      <c r="L1493">
        <v>0</v>
      </c>
      <c r="M1493" t="str">
        <f t="shared" si="23"/>
        <v>2010-2020</v>
      </c>
    </row>
    <row r="1494" spans="1:13" hidden="1">
      <c r="A1494" t="s">
        <v>2244</v>
      </c>
      <c r="B1494" t="s">
        <v>2245</v>
      </c>
      <c r="C1494" s="1">
        <v>45454</v>
      </c>
      <c r="E1494">
        <v>31</v>
      </c>
      <c r="F1494">
        <v>39</v>
      </c>
      <c r="G1494" s="2">
        <v>3657483</v>
      </c>
      <c r="H1494" s="2">
        <v>57391</v>
      </c>
      <c r="J1494">
        <v>2</v>
      </c>
      <c r="L1494">
        <v>0</v>
      </c>
      <c r="M1494" t="str">
        <f t="shared" si="23"/>
        <v>After 2020</v>
      </c>
    </row>
    <row r="1495" spans="1:13">
      <c r="A1495" t="s">
        <v>2246</v>
      </c>
      <c r="B1495" t="s">
        <v>338</v>
      </c>
      <c r="C1495" s="1">
        <v>41275</v>
      </c>
      <c r="D1495" s="2">
        <v>1047154254</v>
      </c>
      <c r="E1495" s="2">
        <v>168622</v>
      </c>
      <c r="F1495">
        <v>74</v>
      </c>
      <c r="G1495" s="2">
        <v>1401802614</v>
      </c>
      <c r="H1495" s="2">
        <v>7138440</v>
      </c>
      <c r="I1495" s="2">
        <v>2060063173</v>
      </c>
      <c r="J1495">
        <v>106</v>
      </c>
      <c r="K1495">
        <v>69</v>
      </c>
      <c r="L1495">
        <v>0</v>
      </c>
      <c r="M1495" t="str">
        <f t="shared" si="23"/>
        <v>2010-2020</v>
      </c>
    </row>
    <row r="1496" spans="1:13">
      <c r="A1496" t="s">
        <v>2247</v>
      </c>
      <c r="B1496" t="s">
        <v>2248</v>
      </c>
      <c r="C1496" s="1">
        <v>43101</v>
      </c>
      <c r="D1496" s="2">
        <v>1034272727</v>
      </c>
      <c r="E1496" s="2">
        <v>201381</v>
      </c>
      <c r="F1496">
        <v>77</v>
      </c>
      <c r="G1496" s="2">
        <v>235190444</v>
      </c>
      <c r="H1496" s="2">
        <v>4584548</v>
      </c>
      <c r="I1496" s="2">
        <v>2226783393</v>
      </c>
      <c r="J1496">
        <v>37</v>
      </c>
      <c r="K1496">
        <v>51</v>
      </c>
      <c r="L1496">
        <v>0</v>
      </c>
      <c r="M1496" t="str">
        <f t="shared" si="23"/>
        <v>2010-2020</v>
      </c>
    </row>
    <row r="1497" spans="1:13">
      <c r="A1497" t="s">
        <v>2249</v>
      </c>
      <c r="B1497" t="s">
        <v>2250</v>
      </c>
      <c r="C1497" s="1">
        <v>42927</v>
      </c>
      <c r="D1497" s="2">
        <v>1156601592</v>
      </c>
      <c r="E1497" s="2">
        <v>78398</v>
      </c>
      <c r="F1497">
        <v>67</v>
      </c>
      <c r="G1497" s="2">
        <v>782935937</v>
      </c>
      <c r="H1497" s="2">
        <v>6789404</v>
      </c>
      <c r="I1497" s="2">
        <v>278587450</v>
      </c>
      <c r="J1497">
        <v>60</v>
      </c>
      <c r="K1497">
        <v>306</v>
      </c>
      <c r="L1497">
        <v>1</v>
      </c>
      <c r="M1497" t="str">
        <f t="shared" si="23"/>
        <v>2010-2020</v>
      </c>
    </row>
    <row r="1498" spans="1:13" hidden="1">
      <c r="A1498" t="s">
        <v>2251</v>
      </c>
      <c r="B1498" t="s">
        <v>238</v>
      </c>
      <c r="C1498" s="1">
        <v>45148</v>
      </c>
      <c r="D1498" s="2">
        <v>124155654</v>
      </c>
      <c r="E1498" s="2">
        <v>18514</v>
      </c>
      <c r="F1498">
        <v>66</v>
      </c>
      <c r="G1498" s="2">
        <v>172727223</v>
      </c>
      <c r="H1498" s="2">
        <v>201753</v>
      </c>
      <c r="J1498">
        <v>3</v>
      </c>
      <c r="L1498">
        <v>1</v>
      </c>
      <c r="M1498" t="str">
        <f t="shared" si="23"/>
        <v>After 2020</v>
      </c>
    </row>
    <row r="1499" spans="1:13">
      <c r="A1499" t="s">
        <v>2252</v>
      </c>
      <c r="B1499" t="s">
        <v>2253</v>
      </c>
      <c r="C1499" s="1">
        <v>44587</v>
      </c>
      <c r="D1499" s="2">
        <v>389547230</v>
      </c>
      <c r="E1499" s="2">
        <v>65208</v>
      </c>
      <c r="F1499">
        <v>70</v>
      </c>
      <c r="G1499" s="2">
        <v>50898391</v>
      </c>
      <c r="H1499" s="2">
        <v>293996</v>
      </c>
      <c r="I1499" s="2">
        <v>124607839</v>
      </c>
      <c r="J1499">
        <v>114</v>
      </c>
      <c r="K1499">
        <v>255</v>
      </c>
      <c r="L1499">
        <v>0</v>
      </c>
      <c r="M1499" t="str">
        <f t="shared" si="23"/>
        <v>After 2020</v>
      </c>
    </row>
    <row r="1500" spans="1:13">
      <c r="A1500" t="s">
        <v>2254</v>
      </c>
      <c r="B1500" t="s">
        <v>305</v>
      </c>
      <c r="C1500" s="1">
        <v>40456</v>
      </c>
      <c r="D1500" s="2">
        <v>950810060</v>
      </c>
      <c r="E1500" s="2">
        <v>151801</v>
      </c>
      <c r="F1500">
        <v>72</v>
      </c>
      <c r="G1500" s="2">
        <v>2903165526</v>
      </c>
      <c r="H1500" s="2">
        <v>16099406</v>
      </c>
      <c r="I1500" s="2">
        <v>852185637</v>
      </c>
      <c r="J1500">
        <v>66</v>
      </c>
      <c r="K1500">
        <v>51</v>
      </c>
      <c r="L1500">
        <v>0</v>
      </c>
      <c r="M1500" t="str">
        <f t="shared" si="23"/>
        <v>2010-2020</v>
      </c>
    </row>
    <row r="1501" spans="1:13">
      <c r="A1501" t="s">
        <v>2255</v>
      </c>
      <c r="B1501" t="s">
        <v>471</v>
      </c>
      <c r="C1501" s="1">
        <v>43749</v>
      </c>
      <c r="D1501" s="2">
        <v>413974601</v>
      </c>
      <c r="E1501" s="2">
        <v>110016</v>
      </c>
      <c r="F1501">
        <v>69</v>
      </c>
      <c r="G1501" s="2">
        <v>157947172</v>
      </c>
      <c r="H1501" s="2">
        <v>1678467</v>
      </c>
      <c r="I1501" s="2">
        <v>438050984</v>
      </c>
      <c r="J1501">
        <v>9</v>
      </c>
      <c r="K1501">
        <v>2</v>
      </c>
      <c r="L1501">
        <v>1</v>
      </c>
      <c r="M1501" t="str">
        <f t="shared" si="23"/>
        <v>2010-2020</v>
      </c>
    </row>
    <row r="1502" spans="1:13">
      <c r="A1502" t="s">
        <v>2256</v>
      </c>
      <c r="B1502" t="s">
        <v>141</v>
      </c>
      <c r="C1502" s="1">
        <v>44687</v>
      </c>
      <c r="D1502" s="2">
        <v>542751537</v>
      </c>
      <c r="E1502" s="2">
        <v>67763</v>
      </c>
      <c r="F1502">
        <v>71</v>
      </c>
      <c r="G1502" s="2">
        <v>195610806</v>
      </c>
      <c r="H1502" s="2">
        <v>1623280</v>
      </c>
      <c r="I1502" s="2">
        <v>803525888</v>
      </c>
      <c r="J1502">
        <v>28</v>
      </c>
      <c r="K1502">
        <v>129</v>
      </c>
      <c r="L1502">
        <v>0</v>
      </c>
      <c r="M1502" t="str">
        <f t="shared" si="23"/>
        <v>After 2020</v>
      </c>
    </row>
    <row r="1503" spans="1:13">
      <c r="A1503" t="s">
        <v>2257</v>
      </c>
      <c r="B1503" t="s">
        <v>2258</v>
      </c>
      <c r="C1503" s="1">
        <v>44879</v>
      </c>
      <c r="D1503" s="2">
        <v>108133711</v>
      </c>
      <c r="E1503" s="2">
        <v>34390</v>
      </c>
      <c r="F1503">
        <v>18</v>
      </c>
      <c r="G1503" s="2">
        <v>122293855</v>
      </c>
      <c r="H1503" s="2">
        <v>619448</v>
      </c>
      <c r="I1503" s="2">
        <v>173486714</v>
      </c>
      <c r="J1503">
        <v>35</v>
      </c>
      <c r="K1503">
        <v>22</v>
      </c>
      <c r="L1503">
        <v>1</v>
      </c>
      <c r="M1503" t="str">
        <f t="shared" si="23"/>
        <v>After 2020</v>
      </c>
    </row>
    <row r="1504" spans="1:13">
      <c r="A1504" t="s">
        <v>2259</v>
      </c>
      <c r="B1504" t="s">
        <v>295</v>
      </c>
      <c r="C1504" s="1">
        <v>44729</v>
      </c>
      <c r="D1504" s="2">
        <v>253177498</v>
      </c>
      <c r="E1504" s="2">
        <v>83779</v>
      </c>
      <c r="F1504">
        <v>66</v>
      </c>
      <c r="G1504" s="2">
        <v>79370407</v>
      </c>
      <c r="H1504" s="2">
        <v>913062</v>
      </c>
      <c r="I1504" s="2">
        <v>612598555</v>
      </c>
      <c r="J1504">
        <v>40</v>
      </c>
      <c r="K1504">
        <v>826</v>
      </c>
      <c r="L1504">
        <v>1</v>
      </c>
      <c r="M1504" t="str">
        <f t="shared" si="23"/>
        <v>After 2020</v>
      </c>
    </row>
    <row r="1505" spans="1:13" hidden="1">
      <c r="A1505" t="s">
        <v>2260</v>
      </c>
      <c r="B1505" t="s">
        <v>2261</v>
      </c>
      <c r="C1505" s="1">
        <v>45134</v>
      </c>
      <c r="D1505" s="2">
        <v>1843453</v>
      </c>
      <c r="E1505">
        <v>311</v>
      </c>
      <c r="F1505">
        <v>35</v>
      </c>
      <c r="G1505" s="2">
        <v>1914601</v>
      </c>
      <c r="H1505" s="2">
        <v>25616</v>
      </c>
      <c r="I1505" s="2">
        <v>236654614</v>
      </c>
      <c r="L1505">
        <v>0</v>
      </c>
      <c r="M1505" t="str">
        <f t="shared" si="23"/>
        <v>After 2020</v>
      </c>
    </row>
    <row r="1506" spans="1:13" hidden="1">
      <c r="A1506" t="s">
        <v>2262</v>
      </c>
      <c r="B1506" t="s">
        <v>2263</v>
      </c>
      <c r="C1506" s="1">
        <v>45448</v>
      </c>
      <c r="D1506" s="2">
        <v>1010608</v>
      </c>
      <c r="E1506">
        <v>109</v>
      </c>
      <c r="G1506" s="2">
        <v>8768054</v>
      </c>
      <c r="H1506" s="2">
        <v>138917</v>
      </c>
      <c r="J1506">
        <v>10</v>
      </c>
      <c r="L1506">
        <v>0</v>
      </c>
      <c r="M1506" t="str">
        <f t="shared" si="23"/>
        <v>After 2020</v>
      </c>
    </row>
    <row r="1507" spans="1:13">
      <c r="A1507" t="s">
        <v>2264</v>
      </c>
      <c r="B1507" t="s">
        <v>2265</v>
      </c>
      <c r="C1507" s="1">
        <v>41891</v>
      </c>
      <c r="D1507" s="2">
        <v>1184571362</v>
      </c>
      <c r="E1507" s="2">
        <v>180715</v>
      </c>
      <c r="F1507">
        <v>75</v>
      </c>
      <c r="G1507" s="2">
        <v>829829470</v>
      </c>
      <c r="H1507" s="2">
        <v>7984888</v>
      </c>
      <c r="I1507" s="2">
        <v>254037168</v>
      </c>
      <c r="J1507">
        <v>71</v>
      </c>
      <c r="K1507">
        <v>205</v>
      </c>
      <c r="L1507">
        <v>0</v>
      </c>
      <c r="M1507" t="str">
        <f t="shared" si="23"/>
        <v>2010-2020</v>
      </c>
    </row>
    <row r="1508" spans="1:13">
      <c r="A1508" t="s">
        <v>2266</v>
      </c>
      <c r="B1508" t="s">
        <v>2267</v>
      </c>
      <c r="C1508" s="1">
        <v>40544</v>
      </c>
      <c r="D1508" s="2">
        <v>1265397717</v>
      </c>
      <c r="E1508" s="2">
        <v>175809</v>
      </c>
      <c r="F1508">
        <v>80</v>
      </c>
      <c r="G1508" s="2">
        <v>1864674236</v>
      </c>
      <c r="H1508" s="2">
        <v>16322948</v>
      </c>
      <c r="I1508" s="2">
        <v>437246025</v>
      </c>
      <c r="J1508">
        <v>132</v>
      </c>
      <c r="K1508">
        <v>244</v>
      </c>
      <c r="L1508">
        <v>0</v>
      </c>
      <c r="M1508" t="str">
        <f t="shared" si="23"/>
        <v>2010-2020</v>
      </c>
    </row>
    <row r="1509" spans="1:13">
      <c r="A1509" t="s">
        <v>2268</v>
      </c>
      <c r="B1509" t="s">
        <v>860</v>
      </c>
      <c r="C1509" s="1">
        <v>44631</v>
      </c>
      <c r="D1509" s="2">
        <v>359563711</v>
      </c>
      <c r="E1509" s="2">
        <v>50913</v>
      </c>
      <c r="F1509">
        <v>64</v>
      </c>
      <c r="G1509" s="2">
        <v>129735943</v>
      </c>
      <c r="H1509" s="2">
        <v>1701169</v>
      </c>
      <c r="I1509" s="2">
        <v>35564746</v>
      </c>
      <c r="J1509">
        <v>51</v>
      </c>
      <c r="K1509" s="2">
        <v>1460</v>
      </c>
      <c r="L1509">
        <v>1</v>
      </c>
      <c r="M1509" t="str">
        <f t="shared" si="23"/>
        <v>After 2020</v>
      </c>
    </row>
    <row r="1510" spans="1:13">
      <c r="A1510" t="s">
        <v>2269</v>
      </c>
      <c r="B1510" t="s">
        <v>2270</v>
      </c>
      <c r="C1510" s="1">
        <v>42608</v>
      </c>
      <c r="D1510" s="2">
        <v>738438810</v>
      </c>
      <c r="E1510" s="2">
        <v>65613</v>
      </c>
      <c r="F1510">
        <v>67</v>
      </c>
      <c r="G1510" s="2">
        <v>1897769481</v>
      </c>
      <c r="H1510" s="2">
        <v>7650997</v>
      </c>
      <c r="I1510" s="2">
        <v>149891612</v>
      </c>
      <c r="J1510">
        <v>64</v>
      </c>
      <c r="K1510">
        <v>78</v>
      </c>
      <c r="L1510">
        <v>0</v>
      </c>
      <c r="M1510" t="str">
        <f t="shared" si="23"/>
        <v>2010-2020</v>
      </c>
    </row>
    <row r="1511" spans="1:13" hidden="1">
      <c r="A1511" t="s">
        <v>2271</v>
      </c>
      <c r="B1511" t="s">
        <v>2272</v>
      </c>
      <c r="C1511" s="1">
        <v>45133</v>
      </c>
      <c r="D1511" s="2">
        <v>199444237</v>
      </c>
      <c r="E1511" s="2">
        <v>31285</v>
      </c>
      <c r="F1511">
        <v>72</v>
      </c>
      <c r="G1511" s="2">
        <v>26054503</v>
      </c>
      <c r="H1511" s="2">
        <v>411659</v>
      </c>
      <c r="I1511" s="2">
        <v>178981870</v>
      </c>
      <c r="J1511">
        <v>1</v>
      </c>
      <c r="L1511">
        <v>1</v>
      </c>
      <c r="M1511" t="str">
        <f t="shared" si="23"/>
        <v>After 2020</v>
      </c>
    </row>
    <row r="1512" spans="1:13" hidden="1">
      <c r="A1512" t="s">
        <v>2273</v>
      </c>
      <c r="B1512" t="s">
        <v>236</v>
      </c>
      <c r="C1512" s="1">
        <v>45135</v>
      </c>
      <c r="D1512" s="2">
        <v>97901897</v>
      </c>
      <c r="E1512" s="2">
        <v>49313</v>
      </c>
      <c r="F1512">
        <v>66</v>
      </c>
      <c r="G1512" s="2">
        <v>12456826</v>
      </c>
      <c r="H1512" s="2">
        <v>187457</v>
      </c>
      <c r="I1512" s="2">
        <v>540963</v>
      </c>
      <c r="J1512">
        <v>6</v>
      </c>
      <c r="L1512">
        <v>1</v>
      </c>
      <c r="M1512" t="str">
        <f t="shared" si="23"/>
        <v>After 2020</v>
      </c>
    </row>
    <row r="1513" spans="1:13" hidden="1">
      <c r="A1513" t="s">
        <v>2274</v>
      </c>
      <c r="B1513" t="s">
        <v>155</v>
      </c>
      <c r="C1513" s="1">
        <v>45345</v>
      </c>
      <c r="D1513" s="2">
        <v>27605207</v>
      </c>
      <c r="E1513" s="2">
        <v>4232</v>
      </c>
      <c r="F1513">
        <v>8</v>
      </c>
      <c r="G1513" s="2">
        <v>9695623</v>
      </c>
      <c r="H1513" s="2">
        <v>443958</v>
      </c>
      <c r="J1513">
        <v>16</v>
      </c>
      <c r="K1513">
        <v>97</v>
      </c>
      <c r="L1513">
        <v>0</v>
      </c>
      <c r="M1513" t="str">
        <f t="shared" si="23"/>
        <v>After 2020</v>
      </c>
    </row>
    <row r="1514" spans="1:13">
      <c r="A1514" t="s">
        <v>2275</v>
      </c>
      <c r="B1514" t="s">
        <v>332</v>
      </c>
      <c r="C1514" s="1">
        <v>45037</v>
      </c>
      <c r="D1514" s="2">
        <v>237741410</v>
      </c>
      <c r="E1514" s="2">
        <v>39503</v>
      </c>
      <c r="F1514">
        <v>61</v>
      </c>
      <c r="G1514" s="2">
        <v>86652111</v>
      </c>
      <c r="H1514" s="2">
        <v>676137</v>
      </c>
      <c r="I1514" s="2">
        <v>411538350</v>
      </c>
      <c r="J1514">
        <v>37</v>
      </c>
      <c r="K1514">
        <v>130</v>
      </c>
      <c r="L1514">
        <v>0</v>
      </c>
      <c r="M1514" t="str">
        <f t="shared" si="23"/>
        <v>After 2020</v>
      </c>
    </row>
    <row r="1515" spans="1:13">
      <c r="A1515" t="s">
        <v>2276</v>
      </c>
      <c r="B1515" t="s">
        <v>343</v>
      </c>
      <c r="C1515" s="1">
        <v>45086</v>
      </c>
      <c r="D1515" s="2">
        <v>96289114</v>
      </c>
      <c r="E1515" s="2">
        <v>24566</v>
      </c>
      <c r="F1515">
        <v>67</v>
      </c>
      <c r="G1515" s="2">
        <v>33861736</v>
      </c>
      <c r="H1515" s="2">
        <v>296191</v>
      </c>
      <c r="I1515" s="2">
        <v>1094402576</v>
      </c>
      <c r="J1515">
        <v>21</v>
      </c>
      <c r="K1515">
        <v>884</v>
      </c>
      <c r="L1515">
        <v>1</v>
      </c>
      <c r="M1515" t="str">
        <f t="shared" si="23"/>
        <v>After 2020</v>
      </c>
    </row>
    <row r="1516" spans="1:13" hidden="1">
      <c r="A1516" t="s">
        <v>2277</v>
      </c>
      <c r="B1516" t="s">
        <v>2278</v>
      </c>
      <c r="C1516" s="1">
        <v>43588</v>
      </c>
      <c r="D1516" s="2">
        <v>346783267</v>
      </c>
      <c r="E1516" s="2">
        <v>70080</v>
      </c>
      <c r="F1516">
        <v>61</v>
      </c>
      <c r="G1516" s="2">
        <v>418672564</v>
      </c>
      <c r="H1516" s="2">
        <v>3547763</v>
      </c>
      <c r="I1516" s="2">
        <v>2139750734</v>
      </c>
      <c r="K1516">
        <v>55</v>
      </c>
      <c r="L1516">
        <v>0</v>
      </c>
      <c r="M1516" t="str">
        <f t="shared" si="23"/>
        <v>2010-2020</v>
      </c>
    </row>
    <row r="1517" spans="1:13">
      <c r="A1517" t="s">
        <v>2279</v>
      </c>
      <c r="B1517" t="s">
        <v>221</v>
      </c>
      <c r="C1517" s="1">
        <v>43224</v>
      </c>
      <c r="D1517" s="2">
        <v>828103564</v>
      </c>
      <c r="E1517" s="2">
        <v>83834</v>
      </c>
      <c r="F1517">
        <v>77</v>
      </c>
      <c r="G1517" s="2">
        <v>594679967</v>
      </c>
      <c r="H1517" s="2">
        <v>2844786</v>
      </c>
      <c r="I1517" s="2">
        <v>122040522</v>
      </c>
      <c r="J1517">
        <v>54</v>
      </c>
      <c r="K1517">
        <v>33</v>
      </c>
      <c r="L1517">
        <v>0</v>
      </c>
      <c r="M1517" t="str">
        <f t="shared" si="23"/>
        <v>2010-2020</v>
      </c>
    </row>
    <row r="1518" spans="1:13" hidden="1">
      <c r="A1518" t="s">
        <v>2280</v>
      </c>
      <c r="B1518" t="s">
        <v>129</v>
      </c>
      <c r="C1518" s="1">
        <v>45079</v>
      </c>
      <c r="D1518" s="2">
        <v>199846893</v>
      </c>
      <c r="E1518" s="2">
        <v>53777</v>
      </c>
      <c r="F1518">
        <v>69</v>
      </c>
      <c r="G1518" s="2">
        <v>44694805</v>
      </c>
      <c r="H1518" s="2">
        <v>569158</v>
      </c>
      <c r="J1518">
        <v>46</v>
      </c>
      <c r="L1518">
        <v>0</v>
      </c>
      <c r="M1518" t="str">
        <f t="shared" si="23"/>
        <v>After 2020</v>
      </c>
    </row>
    <row r="1519" spans="1:13">
      <c r="A1519" t="s">
        <v>2281</v>
      </c>
      <c r="B1519" t="s">
        <v>61</v>
      </c>
      <c r="C1519" s="1">
        <v>43693</v>
      </c>
      <c r="D1519" s="2">
        <v>1413268808</v>
      </c>
      <c r="E1519" s="2">
        <v>104435</v>
      </c>
      <c r="F1519">
        <v>81</v>
      </c>
      <c r="G1519" s="2">
        <v>492503095</v>
      </c>
      <c r="H1519" s="2">
        <v>6305357</v>
      </c>
      <c r="I1519" s="2">
        <v>921980357</v>
      </c>
      <c r="J1519">
        <v>201</v>
      </c>
      <c r="K1519">
        <v>33</v>
      </c>
      <c r="L1519">
        <v>0</v>
      </c>
      <c r="M1519" t="str">
        <f t="shared" si="23"/>
        <v>2010-2020</v>
      </c>
    </row>
    <row r="1520" spans="1:13">
      <c r="A1520" t="s">
        <v>2282</v>
      </c>
      <c r="B1520" t="s">
        <v>2283</v>
      </c>
      <c r="C1520" s="1">
        <v>45385</v>
      </c>
      <c r="D1520" s="2">
        <v>50824333</v>
      </c>
      <c r="E1520" s="2">
        <v>2846</v>
      </c>
      <c r="F1520">
        <v>75</v>
      </c>
      <c r="G1520" s="2">
        <v>42516402</v>
      </c>
      <c r="H1520" s="2">
        <v>906687</v>
      </c>
      <c r="I1520" s="2">
        <v>10253705</v>
      </c>
      <c r="J1520">
        <v>14</v>
      </c>
      <c r="K1520">
        <v>70</v>
      </c>
      <c r="L1520">
        <v>0</v>
      </c>
      <c r="M1520" t="str">
        <f t="shared" si="23"/>
        <v>After 2020</v>
      </c>
    </row>
    <row r="1521" spans="1:13">
      <c r="A1521" t="s">
        <v>2284</v>
      </c>
      <c r="B1521" t="s">
        <v>233</v>
      </c>
      <c r="C1521" s="1">
        <v>44267</v>
      </c>
      <c r="D1521" s="2">
        <v>412887321</v>
      </c>
      <c r="E1521" s="2">
        <v>69959</v>
      </c>
      <c r="F1521">
        <v>65</v>
      </c>
      <c r="G1521" s="2">
        <v>186582105</v>
      </c>
      <c r="H1521" s="2">
        <v>2209078</v>
      </c>
      <c r="I1521" s="2">
        <v>155388095</v>
      </c>
      <c r="J1521">
        <v>101</v>
      </c>
      <c r="K1521">
        <v>441</v>
      </c>
      <c r="L1521">
        <v>0</v>
      </c>
      <c r="M1521" t="str">
        <f t="shared" si="23"/>
        <v>After 2020</v>
      </c>
    </row>
    <row r="1522" spans="1:13" hidden="1">
      <c r="A1522" t="s">
        <v>2285</v>
      </c>
      <c r="B1522" t="s">
        <v>2286</v>
      </c>
      <c r="C1522" s="1">
        <v>44714</v>
      </c>
      <c r="D1522" s="2">
        <v>13219831</v>
      </c>
      <c r="E1522" s="2">
        <v>3136</v>
      </c>
      <c r="F1522">
        <v>45</v>
      </c>
      <c r="G1522" s="2">
        <v>58017693</v>
      </c>
      <c r="H1522" s="2">
        <v>793077</v>
      </c>
      <c r="I1522" s="2">
        <v>3165914733</v>
      </c>
      <c r="L1522">
        <v>0</v>
      </c>
      <c r="M1522" t="str">
        <f t="shared" si="23"/>
        <v>After 2020</v>
      </c>
    </row>
    <row r="1523" spans="1:13" hidden="1">
      <c r="A1523" t="s">
        <v>2287</v>
      </c>
      <c r="B1523" t="s">
        <v>200</v>
      </c>
      <c r="C1523" s="1">
        <v>44358</v>
      </c>
      <c r="D1523" s="2">
        <v>541105655</v>
      </c>
      <c r="E1523" s="2">
        <v>34793</v>
      </c>
      <c r="F1523">
        <v>43</v>
      </c>
      <c r="G1523" s="2">
        <v>580242662</v>
      </c>
      <c r="H1523" s="2">
        <v>3118669</v>
      </c>
      <c r="I1523" s="2">
        <v>616205518</v>
      </c>
      <c r="J1523">
        <v>26</v>
      </c>
      <c r="L1523">
        <v>0</v>
      </c>
      <c r="M1523" t="str">
        <f t="shared" si="23"/>
        <v>After 2020</v>
      </c>
    </row>
    <row r="1524" spans="1:13">
      <c r="A1524" t="s">
        <v>2288</v>
      </c>
      <c r="B1524" t="s">
        <v>2289</v>
      </c>
      <c r="C1524" s="1">
        <v>42767</v>
      </c>
      <c r="D1524" s="2">
        <v>874864898</v>
      </c>
      <c r="E1524" s="2">
        <v>78015</v>
      </c>
      <c r="F1524">
        <v>66</v>
      </c>
      <c r="G1524" s="2">
        <v>340287969</v>
      </c>
      <c r="H1524" s="2">
        <v>1528388</v>
      </c>
      <c r="I1524" s="2">
        <v>12493072</v>
      </c>
      <c r="J1524">
        <v>103</v>
      </c>
      <c r="K1524">
        <v>444</v>
      </c>
      <c r="L1524">
        <v>0</v>
      </c>
      <c r="M1524" t="str">
        <f t="shared" si="23"/>
        <v>2010-2020</v>
      </c>
    </row>
    <row r="1525" spans="1:13">
      <c r="A1525" t="s">
        <v>2290</v>
      </c>
      <c r="B1525" t="s">
        <v>2291</v>
      </c>
      <c r="C1525" s="1">
        <v>42972</v>
      </c>
      <c r="D1525" s="2">
        <v>1362614026</v>
      </c>
      <c r="E1525" s="2">
        <v>183645</v>
      </c>
      <c r="F1525">
        <v>79</v>
      </c>
      <c r="G1525" s="2">
        <v>198079219</v>
      </c>
      <c r="H1525" s="2">
        <v>2252308</v>
      </c>
      <c r="I1525" s="2">
        <v>854742783</v>
      </c>
      <c r="J1525">
        <v>198</v>
      </c>
      <c r="K1525">
        <v>112</v>
      </c>
      <c r="L1525">
        <v>0</v>
      </c>
      <c r="M1525" t="str">
        <f t="shared" si="23"/>
        <v>2010-2020</v>
      </c>
    </row>
    <row r="1526" spans="1:13" hidden="1">
      <c r="A1526" t="s">
        <v>2292</v>
      </c>
      <c r="B1526" t="s">
        <v>2293</v>
      </c>
      <c r="C1526" s="1">
        <v>45371</v>
      </c>
      <c r="D1526" s="2">
        <v>39157273</v>
      </c>
      <c r="E1526" s="2">
        <v>2886</v>
      </c>
      <c r="F1526">
        <v>73</v>
      </c>
      <c r="G1526" s="2">
        <v>55389635</v>
      </c>
      <c r="H1526" s="2">
        <v>396508</v>
      </c>
      <c r="L1526">
        <v>1</v>
      </c>
      <c r="M1526" t="str">
        <f t="shared" si="23"/>
        <v>After 2020</v>
      </c>
    </row>
    <row r="1527" spans="1:13" hidden="1">
      <c r="A1527" t="s">
        <v>2294</v>
      </c>
      <c r="B1527" t="s">
        <v>2295</v>
      </c>
      <c r="C1527" s="1">
        <v>45187</v>
      </c>
      <c r="D1527" s="2">
        <v>456034</v>
      </c>
      <c r="E1527">
        <v>14</v>
      </c>
      <c r="G1527" s="2">
        <v>247148544</v>
      </c>
      <c r="H1527" s="2">
        <v>892208</v>
      </c>
      <c r="L1527">
        <v>0</v>
      </c>
      <c r="M1527" t="str">
        <f t="shared" si="23"/>
        <v>After 2020</v>
      </c>
    </row>
    <row r="1528" spans="1:13" hidden="1">
      <c r="A1528" t="s">
        <v>1552</v>
      </c>
      <c r="B1528" t="s">
        <v>84</v>
      </c>
      <c r="C1528" s="1">
        <v>45223</v>
      </c>
      <c r="D1528" s="2">
        <v>1622824522</v>
      </c>
      <c r="L1528">
        <v>1</v>
      </c>
      <c r="M1528" t="str">
        <f t="shared" si="23"/>
        <v>After 2020</v>
      </c>
    </row>
    <row r="1529" spans="1:13">
      <c r="A1529" t="s">
        <v>2296</v>
      </c>
      <c r="B1529" t="s">
        <v>184</v>
      </c>
      <c r="C1529" s="1">
        <v>40544</v>
      </c>
      <c r="D1529" s="2">
        <v>1595514674</v>
      </c>
      <c r="E1529" s="2">
        <v>186319</v>
      </c>
      <c r="F1529">
        <v>77</v>
      </c>
      <c r="G1529" s="2">
        <v>959699985</v>
      </c>
      <c r="H1529" s="2">
        <v>5310150</v>
      </c>
      <c r="I1529" s="2">
        <v>3469644756</v>
      </c>
      <c r="J1529">
        <v>110</v>
      </c>
      <c r="K1529">
        <v>190</v>
      </c>
      <c r="L1529">
        <v>0</v>
      </c>
      <c r="M1529" t="str">
        <f t="shared" si="23"/>
        <v>2010-2020</v>
      </c>
    </row>
    <row r="1530" spans="1:13">
      <c r="A1530" t="s">
        <v>1750</v>
      </c>
      <c r="B1530" t="s">
        <v>871</v>
      </c>
      <c r="C1530" s="1">
        <v>41640</v>
      </c>
      <c r="D1530" s="2">
        <v>815946405</v>
      </c>
      <c r="E1530" s="2">
        <v>94852</v>
      </c>
      <c r="F1530">
        <v>67</v>
      </c>
      <c r="G1530" s="2">
        <v>2318717784</v>
      </c>
      <c r="H1530" s="2">
        <v>12459776</v>
      </c>
      <c r="I1530" s="2">
        <v>1277991912</v>
      </c>
      <c r="J1530">
        <v>163</v>
      </c>
      <c r="K1530">
        <v>223</v>
      </c>
      <c r="L1530">
        <v>0</v>
      </c>
      <c r="M1530" t="str">
        <f t="shared" si="23"/>
        <v>2010-2020</v>
      </c>
    </row>
    <row r="1531" spans="1:13" hidden="1">
      <c r="A1531" t="s">
        <v>2297</v>
      </c>
      <c r="B1531" t="s">
        <v>2298</v>
      </c>
      <c r="C1531" s="1">
        <v>44530</v>
      </c>
      <c r="D1531" s="2">
        <v>270364614</v>
      </c>
      <c r="E1531" s="2">
        <v>37002</v>
      </c>
      <c r="F1531">
        <v>56</v>
      </c>
      <c r="G1531" s="2">
        <v>392442440</v>
      </c>
      <c r="H1531" s="2">
        <v>3560319</v>
      </c>
      <c r="I1531" s="2">
        <v>2428164682</v>
      </c>
      <c r="J1531">
        <v>6</v>
      </c>
      <c r="L1531">
        <v>0</v>
      </c>
      <c r="M1531" t="str">
        <f t="shared" si="23"/>
        <v>After 2020</v>
      </c>
    </row>
    <row r="1532" spans="1:13">
      <c r="A1532" t="s">
        <v>2299</v>
      </c>
      <c r="B1532" t="s">
        <v>322</v>
      </c>
      <c r="C1532" s="1">
        <v>44757</v>
      </c>
      <c r="D1532" s="2">
        <v>335194737</v>
      </c>
      <c r="E1532" s="2">
        <v>36991</v>
      </c>
      <c r="F1532">
        <v>62</v>
      </c>
      <c r="G1532" s="2">
        <v>63109208</v>
      </c>
      <c r="H1532" s="2">
        <v>453293</v>
      </c>
      <c r="I1532" s="2">
        <v>1189348894</v>
      </c>
      <c r="J1532">
        <v>32</v>
      </c>
      <c r="K1532">
        <v>786</v>
      </c>
      <c r="L1532">
        <v>1</v>
      </c>
      <c r="M1532" t="str">
        <f t="shared" si="23"/>
        <v>After 2020</v>
      </c>
    </row>
    <row r="1533" spans="1:13">
      <c r="A1533" t="s">
        <v>2300</v>
      </c>
      <c r="B1533" t="s">
        <v>2301</v>
      </c>
      <c r="C1533" s="1">
        <v>40867</v>
      </c>
      <c r="D1533" s="2">
        <v>1690450389</v>
      </c>
      <c r="E1533" s="2">
        <v>225204</v>
      </c>
      <c r="F1533">
        <v>81</v>
      </c>
      <c r="G1533" s="2">
        <v>679433670</v>
      </c>
      <c r="H1533" s="2">
        <v>4181978</v>
      </c>
      <c r="I1533" s="2">
        <v>201004524</v>
      </c>
      <c r="J1533">
        <v>270</v>
      </c>
      <c r="K1533">
        <v>806</v>
      </c>
      <c r="L1533">
        <v>0</v>
      </c>
      <c r="M1533" t="str">
        <f t="shared" si="23"/>
        <v>2010-2020</v>
      </c>
    </row>
    <row r="1534" spans="1:13">
      <c r="A1534" t="s">
        <v>2302</v>
      </c>
      <c r="B1534" t="s">
        <v>2303</v>
      </c>
      <c r="C1534" s="1">
        <v>44068</v>
      </c>
      <c r="D1534" s="2">
        <v>364210672</v>
      </c>
      <c r="E1534" s="2">
        <v>81556</v>
      </c>
      <c r="F1534">
        <v>63</v>
      </c>
      <c r="G1534" s="2">
        <v>55994716</v>
      </c>
      <c r="H1534" s="2">
        <v>1363987</v>
      </c>
      <c r="I1534" s="2">
        <v>18762950045</v>
      </c>
      <c r="J1534">
        <v>32</v>
      </c>
      <c r="K1534">
        <v>418</v>
      </c>
      <c r="L1534">
        <v>1</v>
      </c>
      <c r="M1534" t="str">
        <f t="shared" si="23"/>
        <v>2010-2020</v>
      </c>
    </row>
    <row r="1535" spans="1:13">
      <c r="A1535" t="s">
        <v>2304</v>
      </c>
      <c r="B1535" t="s">
        <v>2305</v>
      </c>
      <c r="C1535" s="1">
        <v>40179</v>
      </c>
      <c r="D1535" s="2">
        <v>814264073</v>
      </c>
      <c r="E1535" s="2">
        <v>145349</v>
      </c>
      <c r="F1535">
        <v>68</v>
      </c>
      <c r="G1535" s="2">
        <v>878157246</v>
      </c>
      <c r="H1535" s="2">
        <v>6677962</v>
      </c>
      <c r="I1535" s="2">
        <v>3643615871</v>
      </c>
      <c r="J1535">
        <v>64</v>
      </c>
      <c r="K1535">
        <v>145</v>
      </c>
      <c r="L1535">
        <v>0</v>
      </c>
      <c r="M1535" t="str">
        <f t="shared" si="23"/>
        <v>2010-2020</v>
      </c>
    </row>
    <row r="1536" spans="1:13">
      <c r="A1536" t="s">
        <v>2306</v>
      </c>
      <c r="B1536" t="s">
        <v>2307</v>
      </c>
      <c r="C1536" s="1">
        <v>44805</v>
      </c>
      <c r="D1536" s="2">
        <v>99640817</v>
      </c>
      <c r="E1536" s="2">
        <v>9262</v>
      </c>
      <c r="F1536">
        <v>65</v>
      </c>
      <c r="G1536" s="2">
        <v>242164034</v>
      </c>
      <c r="H1536" s="2">
        <v>1185939</v>
      </c>
      <c r="I1536" s="2">
        <v>381807302</v>
      </c>
      <c r="J1536">
        <v>8</v>
      </c>
      <c r="K1536">
        <v>2</v>
      </c>
      <c r="L1536">
        <v>0</v>
      </c>
      <c r="M1536" t="str">
        <f t="shared" si="23"/>
        <v>After 2020</v>
      </c>
    </row>
    <row r="1537" spans="1:13" hidden="1">
      <c r="A1537" t="s">
        <v>446</v>
      </c>
      <c r="B1537" t="s">
        <v>447</v>
      </c>
      <c r="C1537" s="1">
        <v>42073</v>
      </c>
      <c r="D1537" s="2">
        <v>1891920348</v>
      </c>
      <c r="E1537" s="2">
        <v>75665</v>
      </c>
      <c r="F1537">
        <v>55</v>
      </c>
      <c r="G1537" s="2">
        <v>248806706</v>
      </c>
      <c r="H1537" s="2">
        <v>2297210</v>
      </c>
      <c r="J1537">
        <v>177</v>
      </c>
      <c r="K1537">
        <v>1</v>
      </c>
      <c r="L1537">
        <v>0</v>
      </c>
      <c r="M1537" t="str">
        <f t="shared" si="23"/>
        <v>2010-2020</v>
      </c>
    </row>
    <row r="1538" spans="1:13" hidden="1">
      <c r="A1538" t="s">
        <v>67</v>
      </c>
      <c r="B1538" t="s">
        <v>68</v>
      </c>
      <c r="C1538" s="1">
        <v>45247</v>
      </c>
      <c r="E1538">
        <v>4</v>
      </c>
      <c r="L1538">
        <v>0</v>
      </c>
      <c r="M1538" t="str">
        <f t="shared" si="23"/>
        <v>After 2020</v>
      </c>
    </row>
    <row r="1539" spans="1:13">
      <c r="A1539" t="s">
        <v>2308</v>
      </c>
      <c r="B1539" t="s">
        <v>583</v>
      </c>
      <c r="C1539" s="1">
        <v>45125</v>
      </c>
      <c r="D1539" s="2">
        <v>276026602</v>
      </c>
      <c r="E1539" s="2">
        <v>37445</v>
      </c>
      <c r="F1539">
        <v>79</v>
      </c>
      <c r="G1539" s="2">
        <v>2065849</v>
      </c>
      <c r="H1539" s="2">
        <v>27184</v>
      </c>
      <c r="I1539" s="2">
        <v>62794</v>
      </c>
      <c r="J1539">
        <v>20</v>
      </c>
      <c r="K1539">
        <v>69</v>
      </c>
      <c r="L1539">
        <v>1</v>
      </c>
      <c r="M1539" t="str">
        <f t="shared" ref="M1539:M1602" si="24">IF(YEAR(C1539)&lt;2010,"Before 2010",IF(YEAR(C1539)&lt;=2020,"2010-2020","After 2020"))</f>
        <v>After 2020</v>
      </c>
    </row>
    <row r="1540" spans="1:13" hidden="1">
      <c r="A1540" t="s">
        <v>38</v>
      </c>
      <c r="B1540" t="s">
        <v>39</v>
      </c>
      <c r="C1540" s="1">
        <v>44960</v>
      </c>
      <c r="D1540" s="2">
        <v>1627429837</v>
      </c>
      <c r="E1540">
        <v>1</v>
      </c>
      <c r="L1540">
        <v>1</v>
      </c>
      <c r="M1540" t="str">
        <f t="shared" si="24"/>
        <v>After 2020</v>
      </c>
    </row>
    <row r="1541" spans="1:13">
      <c r="A1541" t="s">
        <v>2309</v>
      </c>
      <c r="B1541" t="s">
        <v>1705</v>
      </c>
      <c r="C1541" s="1">
        <v>45238</v>
      </c>
      <c r="D1541" s="2">
        <v>81319633</v>
      </c>
      <c r="E1541" s="2">
        <v>7972</v>
      </c>
      <c r="F1541">
        <v>6</v>
      </c>
      <c r="G1541" s="2">
        <v>112905667</v>
      </c>
      <c r="H1541" s="2">
        <v>433853</v>
      </c>
      <c r="I1541" s="2">
        <v>177288152</v>
      </c>
      <c r="J1541">
        <v>10</v>
      </c>
      <c r="K1541">
        <v>5</v>
      </c>
      <c r="L1541">
        <v>1</v>
      </c>
      <c r="M1541" t="str">
        <f t="shared" si="24"/>
        <v>After 2020</v>
      </c>
    </row>
    <row r="1542" spans="1:13">
      <c r="A1542" t="s">
        <v>2310</v>
      </c>
      <c r="B1542" t="s">
        <v>288</v>
      </c>
      <c r="C1542" s="1">
        <v>43532</v>
      </c>
      <c r="D1542" s="2">
        <v>925747848</v>
      </c>
      <c r="E1542" s="2">
        <v>178435</v>
      </c>
      <c r="F1542">
        <v>67</v>
      </c>
      <c r="G1542" s="2">
        <v>533593108</v>
      </c>
      <c r="H1542" s="2">
        <v>4430967</v>
      </c>
      <c r="I1542" s="2">
        <v>28961155</v>
      </c>
      <c r="J1542">
        <v>61</v>
      </c>
      <c r="K1542">
        <v>88</v>
      </c>
      <c r="L1542">
        <v>1</v>
      </c>
      <c r="M1542" t="str">
        <f t="shared" si="24"/>
        <v>2010-2020</v>
      </c>
    </row>
    <row r="1543" spans="1:13">
      <c r="A1543" t="s">
        <v>2311</v>
      </c>
      <c r="B1543" t="s">
        <v>340</v>
      </c>
      <c r="C1543" s="1">
        <v>44442</v>
      </c>
      <c r="D1543" s="2">
        <v>477620800</v>
      </c>
      <c r="E1543" s="2">
        <v>108333</v>
      </c>
      <c r="F1543">
        <v>72</v>
      </c>
      <c r="G1543" s="2">
        <v>149501582</v>
      </c>
      <c r="H1543" s="2">
        <v>5261064</v>
      </c>
      <c r="I1543" s="2">
        <v>2841508008</v>
      </c>
      <c r="J1543">
        <v>21</v>
      </c>
      <c r="K1543">
        <v>805</v>
      </c>
      <c r="L1543">
        <v>0</v>
      </c>
      <c r="M1543" t="str">
        <f t="shared" si="24"/>
        <v>After 2020</v>
      </c>
    </row>
    <row r="1544" spans="1:13">
      <c r="A1544" t="s">
        <v>2312</v>
      </c>
      <c r="B1544" t="s">
        <v>123</v>
      </c>
      <c r="C1544" s="1">
        <v>42797</v>
      </c>
      <c r="D1544" s="2">
        <v>1311631709</v>
      </c>
      <c r="E1544" s="2">
        <v>121737</v>
      </c>
      <c r="F1544">
        <v>72</v>
      </c>
      <c r="G1544" s="2">
        <v>869890899</v>
      </c>
      <c r="H1544" s="2">
        <v>5960113</v>
      </c>
      <c r="I1544" s="2">
        <v>353002887</v>
      </c>
      <c r="J1544">
        <v>64</v>
      </c>
      <c r="K1544">
        <v>72</v>
      </c>
      <c r="L1544">
        <v>0</v>
      </c>
      <c r="M1544" t="str">
        <f t="shared" si="24"/>
        <v>2010-2020</v>
      </c>
    </row>
    <row r="1545" spans="1:13">
      <c r="A1545" t="s">
        <v>2313</v>
      </c>
      <c r="B1545" t="s">
        <v>479</v>
      </c>
      <c r="C1545" s="1">
        <v>40179</v>
      </c>
      <c r="D1545" s="2">
        <v>1065375074</v>
      </c>
      <c r="E1545" s="2">
        <v>164650</v>
      </c>
      <c r="F1545">
        <v>67</v>
      </c>
      <c r="G1545" s="2">
        <v>1634743568</v>
      </c>
      <c r="H1545" s="2">
        <v>9202767</v>
      </c>
      <c r="I1545" s="2">
        <v>686049802</v>
      </c>
      <c r="J1545">
        <v>218</v>
      </c>
      <c r="K1545">
        <v>273</v>
      </c>
      <c r="L1545">
        <v>0</v>
      </c>
      <c r="M1545" t="str">
        <f t="shared" si="24"/>
        <v>2010-2020</v>
      </c>
    </row>
    <row r="1546" spans="1:13" hidden="1">
      <c r="A1546" t="s">
        <v>38</v>
      </c>
      <c r="B1546" t="s">
        <v>2230</v>
      </c>
      <c r="C1546" s="1">
        <v>45206</v>
      </c>
      <c r="D1546" s="2">
        <v>1642258500</v>
      </c>
      <c r="E1546">
        <v>5</v>
      </c>
      <c r="L1546">
        <v>1</v>
      </c>
      <c r="M1546" t="str">
        <f t="shared" si="24"/>
        <v>After 2020</v>
      </c>
    </row>
    <row r="1547" spans="1:13">
      <c r="A1547" t="s">
        <v>2314</v>
      </c>
      <c r="B1547" t="s">
        <v>1639</v>
      </c>
      <c r="C1547" s="1">
        <v>44799</v>
      </c>
      <c r="D1547" s="2">
        <v>127223430</v>
      </c>
      <c r="E1547" s="2">
        <v>24922</v>
      </c>
      <c r="F1547">
        <v>63</v>
      </c>
      <c r="G1547" s="2">
        <v>91145868</v>
      </c>
      <c r="H1547" s="2">
        <v>519636</v>
      </c>
      <c r="I1547" s="2">
        <v>39170264</v>
      </c>
      <c r="J1547">
        <v>26</v>
      </c>
      <c r="K1547">
        <v>9</v>
      </c>
      <c r="L1547">
        <v>0</v>
      </c>
      <c r="M1547" t="str">
        <f t="shared" si="24"/>
        <v>After 2020</v>
      </c>
    </row>
    <row r="1548" spans="1:13">
      <c r="A1548" t="s">
        <v>2315</v>
      </c>
      <c r="B1548" t="s">
        <v>506</v>
      </c>
      <c r="C1548" s="1">
        <v>44750</v>
      </c>
      <c r="D1548" s="2">
        <v>331775657</v>
      </c>
      <c r="E1548" s="2">
        <v>17727</v>
      </c>
      <c r="F1548">
        <v>51</v>
      </c>
      <c r="G1548" s="2">
        <v>385663277</v>
      </c>
      <c r="H1548" s="2">
        <v>785773</v>
      </c>
      <c r="I1548" s="2">
        <v>45584468</v>
      </c>
      <c r="J1548">
        <v>12</v>
      </c>
      <c r="K1548">
        <v>115</v>
      </c>
      <c r="L1548">
        <v>0</v>
      </c>
      <c r="M1548" t="str">
        <f t="shared" si="24"/>
        <v>After 2020</v>
      </c>
    </row>
    <row r="1549" spans="1:13" hidden="1">
      <c r="A1549" t="s">
        <v>2316</v>
      </c>
      <c r="B1549" t="s">
        <v>2317</v>
      </c>
      <c r="C1549" s="1">
        <v>43327</v>
      </c>
      <c r="D1549" s="2">
        <v>5866282</v>
      </c>
      <c r="E1549" s="2">
        <v>3514</v>
      </c>
      <c r="F1549">
        <v>39</v>
      </c>
      <c r="G1549" s="2">
        <v>11793478</v>
      </c>
      <c r="H1549" s="2">
        <v>230150</v>
      </c>
      <c r="I1549" s="2">
        <v>38373644011</v>
      </c>
      <c r="L1549">
        <v>0</v>
      </c>
      <c r="M1549" t="str">
        <f t="shared" si="24"/>
        <v>2010-2020</v>
      </c>
    </row>
    <row r="1550" spans="1:13">
      <c r="A1550" t="s">
        <v>2318</v>
      </c>
      <c r="B1550" t="s">
        <v>1109</v>
      </c>
      <c r="C1550" s="1">
        <v>42314</v>
      </c>
      <c r="D1550" s="2">
        <v>1020239582</v>
      </c>
      <c r="E1550" s="2">
        <v>148456</v>
      </c>
      <c r="F1550">
        <v>76</v>
      </c>
      <c r="G1550" s="2">
        <v>1713268429</v>
      </c>
      <c r="H1550" s="2">
        <v>7658837</v>
      </c>
      <c r="I1550" s="2">
        <v>509184619</v>
      </c>
      <c r="J1550">
        <v>3</v>
      </c>
      <c r="K1550">
        <v>162</v>
      </c>
      <c r="L1550">
        <v>0</v>
      </c>
      <c r="M1550" t="str">
        <f t="shared" si="24"/>
        <v>2010-2020</v>
      </c>
    </row>
    <row r="1551" spans="1:13">
      <c r="A1551" t="s">
        <v>2319</v>
      </c>
      <c r="B1551" t="s">
        <v>295</v>
      </c>
      <c r="C1551" s="1">
        <v>43196</v>
      </c>
      <c r="D1551" s="2">
        <v>1276685592</v>
      </c>
      <c r="E1551" s="2">
        <v>192868</v>
      </c>
      <c r="F1551">
        <v>72</v>
      </c>
      <c r="G1551" s="2">
        <v>516887687</v>
      </c>
      <c r="H1551" s="2">
        <v>3647970</v>
      </c>
      <c r="I1551" s="2">
        <v>107294147</v>
      </c>
      <c r="J1551">
        <v>187</v>
      </c>
      <c r="K1551">
        <v>335</v>
      </c>
      <c r="L1551">
        <v>1</v>
      </c>
      <c r="M1551" t="str">
        <f t="shared" si="24"/>
        <v>2010-2020</v>
      </c>
    </row>
    <row r="1552" spans="1:13" hidden="1">
      <c r="A1552" t="s">
        <v>2320</v>
      </c>
      <c r="B1552" t="s">
        <v>2321</v>
      </c>
      <c r="C1552" s="1">
        <v>45380</v>
      </c>
      <c r="D1552" s="2">
        <v>44027794</v>
      </c>
      <c r="E1552" s="2">
        <v>7604</v>
      </c>
      <c r="I1552" s="2">
        <v>2600000</v>
      </c>
      <c r="J1552">
        <v>3</v>
      </c>
      <c r="L1552">
        <v>1</v>
      </c>
      <c r="M1552" t="str">
        <f t="shared" si="24"/>
        <v>After 2020</v>
      </c>
    </row>
    <row r="1553" spans="1:13" hidden="1">
      <c r="A1553" t="s">
        <v>2322</v>
      </c>
      <c r="B1553" t="s">
        <v>2323</v>
      </c>
      <c r="C1553" s="1">
        <v>43561</v>
      </c>
      <c r="D1553" s="2">
        <v>126921341</v>
      </c>
      <c r="E1553" s="2">
        <v>13291</v>
      </c>
      <c r="F1553">
        <v>60</v>
      </c>
      <c r="G1553" s="2">
        <v>1598106066</v>
      </c>
      <c r="H1553" s="2">
        <v>13195302</v>
      </c>
      <c r="I1553" s="2">
        <v>48358536</v>
      </c>
      <c r="J1553">
        <v>5</v>
      </c>
      <c r="L1553">
        <v>0</v>
      </c>
      <c r="M1553" t="str">
        <f t="shared" si="24"/>
        <v>2010-2020</v>
      </c>
    </row>
    <row r="1554" spans="1:13" hidden="1">
      <c r="A1554" t="s">
        <v>2324</v>
      </c>
      <c r="B1554" t="s">
        <v>1396</v>
      </c>
      <c r="C1554" s="1">
        <v>45428</v>
      </c>
      <c r="D1554" s="2">
        <v>27120441</v>
      </c>
      <c r="E1554" s="2">
        <v>1557</v>
      </c>
      <c r="F1554">
        <v>77</v>
      </c>
      <c r="G1554" s="2">
        <v>16048541</v>
      </c>
      <c r="H1554" s="2">
        <v>164441</v>
      </c>
      <c r="J1554">
        <v>3</v>
      </c>
      <c r="L1554">
        <v>0</v>
      </c>
      <c r="M1554" t="str">
        <f t="shared" si="24"/>
        <v>After 2020</v>
      </c>
    </row>
    <row r="1555" spans="1:13">
      <c r="A1555" t="s">
        <v>2325</v>
      </c>
      <c r="B1555" t="s">
        <v>777</v>
      </c>
      <c r="C1555" s="1">
        <v>44736</v>
      </c>
      <c r="D1555" s="2">
        <v>947763871</v>
      </c>
      <c r="E1555" s="2">
        <v>59942</v>
      </c>
      <c r="F1555">
        <v>72</v>
      </c>
      <c r="G1555" s="2">
        <v>65306295</v>
      </c>
      <c r="H1555" s="2">
        <v>1305561</v>
      </c>
      <c r="I1555" s="2">
        <v>20119789</v>
      </c>
      <c r="J1555">
        <v>24</v>
      </c>
      <c r="K1555" s="2">
        <v>1282</v>
      </c>
      <c r="L1555">
        <v>0</v>
      </c>
      <c r="M1555" t="str">
        <f t="shared" si="24"/>
        <v>After 2020</v>
      </c>
    </row>
    <row r="1556" spans="1:13">
      <c r="A1556" t="s">
        <v>2326</v>
      </c>
      <c r="B1556" t="s">
        <v>43</v>
      </c>
      <c r="C1556" s="1">
        <v>44449</v>
      </c>
      <c r="D1556" s="2">
        <v>336889834</v>
      </c>
      <c r="E1556" s="2">
        <v>130841</v>
      </c>
      <c r="F1556">
        <v>64</v>
      </c>
      <c r="G1556" s="2">
        <v>173074934</v>
      </c>
      <c r="H1556" s="2">
        <v>2233120</v>
      </c>
      <c r="I1556" s="2">
        <v>1082794692</v>
      </c>
      <c r="J1556">
        <v>35</v>
      </c>
      <c r="K1556">
        <v>160</v>
      </c>
      <c r="L1556">
        <v>1</v>
      </c>
      <c r="M1556" t="str">
        <f t="shared" si="24"/>
        <v>After 2020</v>
      </c>
    </row>
    <row r="1557" spans="1:13">
      <c r="A1557" t="s">
        <v>2327</v>
      </c>
      <c r="B1557" t="s">
        <v>2328</v>
      </c>
      <c r="C1557" s="1">
        <v>43873</v>
      </c>
      <c r="D1557" s="2">
        <v>426425213</v>
      </c>
      <c r="E1557" s="2">
        <v>79159</v>
      </c>
      <c r="F1557">
        <v>56</v>
      </c>
      <c r="G1557" s="2">
        <v>140168452</v>
      </c>
      <c r="H1557" s="2">
        <v>1822530</v>
      </c>
      <c r="I1557" s="2">
        <v>344434215</v>
      </c>
      <c r="J1557">
        <v>58</v>
      </c>
      <c r="K1557">
        <v>455</v>
      </c>
      <c r="L1557">
        <v>0</v>
      </c>
      <c r="M1557" t="str">
        <f t="shared" si="24"/>
        <v>2010-2020</v>
      </c>
    </row>
    <row r="1558" spans="1:13" hidden="1">
      <c r="A1558" t="s">
        <v>2329</v>
      </c>
      <c r="B1558" t="s">
        <v>61</v>
      </c>
      <c r="C1558" s="1">
        <v>45225</v>
      </c>
      <c r="D1558" s="2">
        <v>211462881</v>
      </c>
      <c r="E1558" s="2">
        <v>15136</v>
      </c>
      <c r="G1558" s="2">
        <v>19719217</v>
      </c>
      <c r="H1558" s="2">
        <v>318628</v>
      </c>
      <c r="I1558" s="2">
        <v>315337428</v>
      </c>
      <c r="J1558">
        <v>46</v>
      </c>
      <c r="L1558">
        <v>0</v>
      </c>
      <c r="M1558" t="str">
        <f t="shared" si="24"/>
        <v>After 2020</v>
      </c>
    </row>
    <row r="1559" spans="1:13">
      <c r="A1559" t="s">
        <v>48</v>
      </c>
      <c r="B1559" t="s">
        <v>49</v>
      </c>
      <c r="C1559" s="1">
        <v>45184</v>
      </c>
      <c r="D1559" s="2">
        <v>111155129</v>
      </c>
      <c r="E1559" s="2">
        <v>8444</v>
      </c>
      <c r="F1559">
        <v>80</v>
      </c>
      <c r="G1559" s="2">
        <v>37550792</v>
      </c>
      <c r="H1559" s="2">
        <v>381020</v>
      </c>
      <c r="I1559" s="2">
        <v>5248242</v>
      </c>
      <c r="J1559">
        <v>61</v>
      </c>
      <c r="K1559">
        <v>35</v>
      </c>
      <c r="L1559">
        <v>0</v>
      </c>
      <c r="M1559" t="str">
        <f t="shared" si="24"/>
        <v>After 2020</v>
      </c>
    </row>
    <row r="1560" spans="1:13">
      <c r="A1560" t="s">
        <v>2330</v>
      </c>
      <c r="B1560" t="s">
        <v>2331</v>
      </c>
      <c r="C1560" s="1">
        <v>44917</v>
      </c>
      <c r="D1560" s="2">
        <v>427842597</v>
      </c>
      <c r="E1560" s="2">
        <v>59365</v>
      </c>
      <c r="F1560">
        <v>66</v>
      </c>
      <c r="G1560" s="2">
        <v>103306657</v>
      </c>
      <c r="H1560" s="2">
        <v>870677</v>
      </c>
      <c r="I1560" s="2">
        <v>92071601</v>
      </c>
      <c r="J1560">
        <v>27</v>
      </c>
      <c r="K1560">
        <v>11</v>
      </c>
      <c r="L1560">
        <v>1</v>
      </c>
      <c r="M1560" t="str">
        <f t="shared" si="24"/>
        <v>After 2020</v>
      </c>
    </row>
    <row r="1561" spans="1:13">
      <c r="A1561" t="s">
        <v>2332</v>
      </c>
      <c r="B1561" t="s">
        <v>619</v>
      </c>
      <c r="C1561" s="1">
        <v>44077</v>
      </c>
      <c r="D1561" s="2">
        <v>420652971</v>
      </c>
      <c r="E1561" s="2">
        <v>51117</v>
      </c>
      <c r="F1561">
        <v>63</v>
      </c>
      <c r="G1561" s="2">
        <v>680176045</v>
      </c>
      <c r="H1561" s="2">
        <v>2865108</v>
      </c>
      <c r="I1561" s="2">
        <v>490896378</v>
      </c>
      <c r="J1561">
        <v>67</v>
      </c>
      <c r="K1561">
        <v>8</v>
      </c>
      <c r="L1561">
        <v>0</v>
      </c>
      <c r="M1561" t="str">
        <f t="shared" si="24"/>
        <v>2010-2020</v>
      </c>
    </row>
    <row r="1562" spans="1:13">
      <c r="A1562" t="s">
        <v>2333</v>
      </c>
      <c r="B1562" t="s">
        <v>182</v>
      </c>
      <c r="C1562" s="1">
        <v>44106</v>
      </c>
      <c r="D1562" s="2">
        <v>653352641</v>
      </c>
      <c r="E1562" s="2">
        <v>181583</v>
      </c>
      <c r="F1562">
        <v>77</v>
      </c>
      <c r="G1562" s="2">
        <v>155865473</v>
      </c>
      <c r="H1562" s="2">
        <v>1851789</v>
      </c>
      <c r="I1562" s="2">
        <v>81321613</v>
      </c>
      <c r="J1562">
        <v>47</v>
      </c>
      <c r="K1562">
        <v>1</v>
      </c>
      <c r="L1562">
        <v>1</v>
      </c>
      <c r="M1562" t="str">
        <f t="shared" si="24"/>
        <v>2010-2020</v>
      </c>
    </row>
    <row r="1563" spans="1:13" hidden="1">
      <c r="A1563" t="s">
        <v>2334</v>
      </c>
      <c r="C1563" s="1">
        <v>45453</v>
      </c>
      <c r="L1563">
        <v>0</v>
      </c>
      <c r="M1563" t="str">
        <f t="shared" si="24"/>
        <v>After 2020</v>
      </c>
    </row>
    <row r="1564" spans="1:13">
      <c r="A1564" t="s">
        <v>2335</v>
      </c>
      <c r="B1564" t="s">
        <v>318</v>
      </c>
      <c r="C1564" s="1">
        <v>45162</v>
      </c>
      <c r="D1564" s="2">
        <v>221575551</v>
      </c>
      <c r="E1564" s="2">
        <v>30798</v>
      </c>
      <c r="F1564">
        <v>78</v>
      </c>
      <c r="G1564" s="2">
        <v>18831939</v>
      </c>
      <c r="H1564" s="2">
        <v>103053</v>
      </c>
      <c r="I1564" s="2">
        <v>55929921</v>
      </c>
      <c r="J1564">
        <v>27</v>
      </c>
      <c r="K1564">
        <v>1</v>
      </c>
      <c r="L1564">
        <v>0</v>
      </c>
      <c r="M1564" t="str">
        <f t="shared" si="24"/>
        <v>After 2020</v>
      </c>
    </row>
    <row r="1565" spans="1:13" hidden="1">
      <c r="A1565" t="s">
        <v>2336</v>
      </c>
      <c r="B1565" t="s">
        <v>2337</v>
      </c>
      <c r="C1565" s="1">
        <v>45435</v>
      </c>
      <c r="D1565" s="2">
        <v>31366703</v>
      </c>
      <c r="E1565" s="2">
        <v>1732</v>
      </c>
      <c r="F1565">
        <v>78</v>
      </c>
      <c r="G1565" s="2">
        <v>7898813</v>
      </c>
      <c r="H1565" s="2">
        <v>183210</v>
      </c>
      <c r="J1565">
        <v>40</v>
      </c>
      <c r="L1565">
        <v>1</v>
      </c>
      <c r="M1565" t="str">
        <f t="shared" si="24"/>
        <v>After 2020</v>
      </c>
    </row>
    <row r="1566" spans="1:13" hidden="1">
      <c r="A1566" t="s">
        <v>2338</v>
      </c>
      <c r="B1566" t="s">
        <v>170</v>
      </c>
      <c r="C1566" s="1">
        <v>45148</v>
      </c>
      <c r="D1566" s="2">
        <v>221406245</v>
      </c>
      <c r="E1566" s="2">
        <v>13588</v>
      </c>
      <c r="F1566">
        <v>72</v>
      </c>
      <c r="G1566" s="2">
        <v>104090438</v>
      </c>
      <c r="H1566" s="2">
        <v>446840</v>
      </c>
      <c r="I1566" s="2">
        <v>622671381</v>
      </c>
      <c r="J1566">
        <v>9</v>
      </c>
      <c r="L1566">
        <v>1</v>
      </c>
      <c r="M1566" t="str">
        <f t="shared" si="24"/>
        <v>After 2020</v>
      </c>
    </row>
    <row r="1567" spans="1:13">
      <c r="A1567" t="s">
        <v>2339</v>
      </c>
      <c r="B1567" t="s">
        <v>1953</v>
      </c>
      <c r="C1567" s="1">
        <v>44099</v>
      </c>
      <c r="D1567" s="2">
        <v>155772691</v>
      </c>
      <c r="E1567" s="2">
        <v>49453</v>
      </c>
      <c r="F1567">
        <v>67</v>
      </c>
      <c r="G1567" s="2">
        <v>148979688</v>
      </c>
      <c r="H1567" s="2">
        <v>1059852</v>
      </c>
      <c r="I1567" s="2">
        <v>793660172</v>
      </c>
      <c r="J1567">
        <v>90</v>
      </c>
      <c r="K1567">
        <v>145</v>
      </c>
      <c r="L1567">
        <v>0</v>
      </c>
      <c r="M1567" t="str">
        <f t="shared" si="24"/>
        <v>2010-2020</v>
      </c>
    </row>
    <row r="1568" spans="1:13">
      <c r="A1568" t="s">
        <v>1121</v>
      </c>
      <c r="B1568" t="s">
        <v>112</v>
      </c>
      <c r="C1568" s="1">
        <v>42005</v>
      </c>
      <c r="D1568" s="2">
        <v>2098443322</v>
      </c>
      <c r="E1568" s="2">
        <v>158842</v>
      </c>
      <c r="F1568">
        <v>75</v>
      </c>
      <c r="G1568" s="2">
        <v>465005054</v>
      </c>
      <c r="H1568" s="2">
        <v>3549062</v>
      </c>
      <c r="I1568" s="2">
        <v>1171223563</v>
      </c>
      <c r="J1568">
        <v>387</v>
      </c>
      <c r="K1568">
        <v>369</v>
      </c>
      <c r="L1568">
        <v>0</v>
      </c>
      <c r="M1568" t="str">
        <f t="shared" si="24"/>
        <v>2010-2020</v>
      </c>
    </row>
    <row r="1569" spans="1:13">
      <c r="A1569" t="s">
        <v>2340</v>
      </c>
      <c r="B1569" t="s">
        <v>266</v>
      </c>
      <c r="C1569" s="1">
        <v>44337</v>
      </c>
      <c r="D1569" s="2">
        <v>1058390692</v>
      </c>
      <c r="E1569" s="2">
        <v>110900</v>
      </c>
      <c r="F1569">
        <v>79</v>
      </c>
      <c r="G1569" s="2">
        <v>168012952</v>
      </c>
      <c r="H1569" s="2">
        <v>2303100</v>
      </c>
      <c r="I1569" s="2">
        <v>1391309287</v>
      </c>
      <c r="J1569">
        <v>50</v>
      </c>
      <c r="K1569">
        <v>190</v>
      </c>
      <c r="L1569">
        <v>0</v>
      </c>
      <c r="M1569" t="str">
        <f t="shared" si="24"/>
        <v>After 2020</v>
      </c>
    </row>
    <row r="1570" spans="1:13" hidden="1">
      <c r="A1570" t="s">
        <v>2341</v>
      </c>
      <c r="B1570" t="s">
        <v>2342</v>
      </c>
      <c r="C1570" s="1">
        <v>43316</v>
      </c>
      <c r="D1570" s="2">
        <v>541468772</v>
      </c>
      <c r="E1570" s="2">
        <v>85006</v>
      </c>
      <c r="F1570">
        <v>67</v>
      </c>
      <c r="G1570" s="2">
        <v>1216222199</v>
      </c>
      <c r="H1570" s="2">
        <v>4076269</v>
      </c>
      <c r="I1570" s="2">
        <v>269813115</v>
      </c>
      <c r="J1570">
        <v>9</v>
      </c>
      <c r="L1570">
        <v>0</v>
      </c>
      <c r="M1570" t="str">
        <f t="shared" si="24"/>
        <v>2010-2020</v>
      </c>
    </row>
    <row r="1571" spans="1:13">
      <c r="A1571" t="s">
        <v>2343</v>
      </c>
      <c r="B1571" t="s">
        <v>311</v>
      </c>
      <c r="C1571" s="1">
        <v>44651</v>
      </c>
      <c r="D1571" s="2">
        <v>323292046</v>
      </c>
      <c r="E1571" s="2">
        <v>40626</v>
      </c>
      <c r="F1571">
        <v>71</v>
      </c>
      <c r="G1571" s="2">
        <v>65239480</v>
      </c>
      <c r="H1571" s="2">
        <v>885533</v>
      </c>
      <c r="I1571" s="2">
        <v>190197488</v>
      </c>
      <c r="J1571">
        <v>52</v>
      </c>
      <c r="K1571">
        <v>799</v>
      </c>
      <c r="L1571">
        <v>0</v>
      </c>
      <c r="M1571" t="str">
        <f t="shared" si="24"/>
        <v>After 2020</v>
      </c>
    </row>
    <row r="1572" spans="1:13" hidden="1">
      <c r="A1572" t="s">
        <v>2344</v>
      </c>
      <c r="B1572" t="s">
        <v>2345</v>
      </c>
      <c r="C1572" s="1">
        <v>45450</v>
      </c>
      <c r="D1572" s="2">
        <v>6120999</v>
      </c>
      <c r="E1572">
        <v>855</v>
      </c>
      <c r="F1572">
        <v>67</v>
      </c>
      <c r="G1572" s="2">
        <v>669384</v>
      </c>
      <c r="H1572" s="2">
        <v>23157</v>
      </c>
      <c r="I1572" s="2">
        <v>6300900</v>
      </c>
      <c r="J1572">
        <v>33</v>
      </c>
      <c r="L1572">
        <v>1</v>
      </c>
      <c r="M1572" t="str">
        <f t="shared" si="24"/>
        <v>After 2020</v>
      </c>
    </row>
    <row r="1573" spans="1:13">
      <c r="A1573" t="s">
        <v>2346</v>
      </c>
      <c r="B1573" t="s">
        <v>860</v>
      </c>
      <c r="C1573" s="1">
        <v>43896</v>
      </c>
      <c r="D1573" s="2">
        <v>427275743</v>
      </c>
      <c r="E1573" s="2">
        <v>63715</v>
      </c>
      <c r="F1573">
        <v>61</v>
      </c>
      <c r="G1573" s="2">
        <v>340951703</v>
      </c>
      <c r="H1573" s="2">
        <v>3460872</v>
      </c>
      <c r="I1573" s="2">
        <v>419613742</v>
      </c>
      <c r="J1573">
        <v>72</v>
      </c>
      <c r="K1573" s="2">
        <v>1050</v>
      </c>
      <c r="L1573">
        <v>1</v>
      </c>
      <c r="M1573" t="str">
        <f t="shared" si="24"/>
        <v>2010-2020</v>
      </c>
    </row>
    <row r="1574" spans="1:13">
      <c r="A1574" t="s">
        <v>2347</v>
      </c>
      <c r="B1574" t="s">
        <v>1210</v>
      </c>
      <c r="C1574" s="1">
        <v>45079</v>
      </c>
      <c r="D1574" s="2">
        <v>60082145</v>
      </c>
      <c r="E1574" s="2">
        <v>11423</v>
      </c>
      <c r="F1574">
        <v>60</v>
      </c>
      <c r="G1574" s="2">
        <v>118897128</v>
      </c>
      <c r="H1574" s="2">
        <v>814796</v>
      </c>
      <c r="I1574" s="2">
        <v>48946625</v>
      </c>
      <c r="J1574">
        <v>45</v>
      </c>
      <c r="K1574">
        <v>313</v>
      </c>
      <c r="L1574">
        <v>1</v>
      </c>
      <c r="M1574" t="str">
        <f t="shared" si="24"/>
        <v>After 2020</v>
      </c>
    </row>
    <row r="1575" spans="1:13">
      <c r="A1575" t="s">
        <v>2348</v>
      </c>
      <c r="B1575" t="s">
        <v>1071</v>
      </c>
      <c r="C1575" s="1">
        <v>44148</v>
      </c>
      <c r="D1575" s="2">
        <v>427605317</v>
      </c>
      <c r="E1575" s="2">
        <v>56215</v>
      </c>
      <c r="F1575">
        <v>77</v>
      </c>
      <c r="G1575" s="2">
        <v>116140773</v>
      </c>
      <c r="H1575" s="2">
        <v>657247</v>
      </c>
      <c r="I1575" s="2">
        <v>85185999</v>
      </c>
      <c r="J1575">
        <v>29</v>
      </c>
      <c r="K1575">
        <v>80</v>
      </c>
      <c r="L1575">
        <v>0</v>
      </c>
      <c r="M1575" t="str">
        <f t="shared" si="24"/>
        <v>2010-2020</v>
      </c>
    </row>
    <row r="1576" spans="1:13" hidden="1">
      <c r="A1576" t="s">
        <v>2349</v>
      </c>
      <c r="B1576" t="s">
        <v>2350</v>
      </c>
      <c r="C1576" s="1">
        <v>42042</v>
      </c>
      <c r="D1576" s="2">
        <v>884816583</v>
      </c>
      <c r="E1576" s="2">
        <v>204318</v>
      </c>
      <c r="F1576">
        <v>70</v>
      </c>
      <c r="G1576" s="2">
        <v>959919759</v>
      </c>
      <c r="H1576" s="2">
        <v>18300103</v>
      </c>
      <c r="I1576" s="2">
        <v>6276979194</v>
      </c>
      <c r="J1576">
        <v>100</v>
      </c>
      <c r="L1576">
        <v>0</v>
      </c>
      <c r="M1576" t="str">
        <f t="shared" si="24"/>
        <v>2010-2020</v>
      </c>
    </row>
    <row r="1577" spans="1:13">
      <c r="A1577" t="s">
        <v>2351</v>
      </c>
      <c r="B1577" t="s">
        <v>139</v>
      </c>
      <c r="C1577" s="1">
        <v>45054</v>
      </c>
      <c r="D1577" s="2">
        <v>133536914</v>
      </c>
      <c r="E1577" s="2">
        <v>12910</v>
      </c>
      <c r="F1577">
        <v>63</v>
      </c>
      <c r="G1577" s="2">
        <v>259267584</v>
      </c>
      <c r="H1577" s="2">
        <v>1817066</v>
      </c>
      <c r="I1577" s="2">
        <v>236752341</v>
      </c>
      <c r="J1577">
        <v>29</v>
      </c>
      <c r="K1577">
        <v>12</v>
      </c>
      <c r="L1577">
        <v>0</v>
      </c>
      <c r="M1577" t="str">
        <f t="shared" si="24"/>
        <v>After 2020</v>
      </c>
    </row>
    <row r="1578" spans="1:13" hidden="1">
      <c r="A1578" t="s">
        <v>2352</v>
      </c>
      <c r="B1578" t="s">
        <v>2353</v>
      </c>
      <c r="C1578" s="1">
        <v>45189</v>
      </c>
      <c r="D1578" s="2">
        <v>9736339</v>
      </c>
      <c r="E1578" s="2">
        <v>2164</v>
      </c>
      <c r="G1578" s="2">
        <v>172936554</v>
      </c>
      <c r="H1578" s="2">
        <v>1148187</v>
      </c>
      <c r="I1578" s="2">
        <v>377386323</v>
      </c>
      <c r="J1578">
        <v>4</v>
      </c>
      <c r="L1578">
        <v>0</v>
      </c>
      <c r="M1578" t="str">
        <f t="shared" si="24"/>
        <v>After 2020</v>
      </c>
    </row>
    <row r="1579" spans="1:13">
      <c r="A1579" t="s">
        <v>2144</v>
      </c>
      <c r="B1579" t="s">
        <v>127</v>
      </c>
      <c r="C1579" s="1">
        <v>42699</v>
      </c>
      <c r="D1579" s="2">
        <v>2265551950</v>
      </c>
      <c r="E1579" s="2">
        <v>185803</v>
      </c>
      <c r="F1579">
        <v>74</v>
      </c>
      <c r="G1579" s="2">
        <v>117456314</v>
      </c>
      <c r="H1579" s="2">
        <v>1132990</v>
      </c>
      <c r="I1579" s="2">
        <v>879722331</v>
      </c>
      <c r="J1579">
        <v>131</v>
      </c>
      <c r="K1579">
        <v>128</v>
      </c>
      <c r="L1579">
        <v>0</v>
      </c>
      <c r="M1579" t="str">
        <f t="shared" si="24"/>
        <v>2010-2020</v>
      </c>
    </row>
    <row r="1580" spans="1:13">
      <c r="A1580" t="s">
        <v>2354</v>
      </c>
      <c r="B1580" t="s">
        <v>2004</v>
      </c>
      <c r="C1580" s="1">
        <v>43973</v>
      </c>
      <c r="D1580" s="2">
        <v>328017675</v>
      </c>
      <c r="E1580" s="2">
        <v>115095</v>
      </c>
      <c r="F1580">
        <v>67</v>
      </c>
      <c r="G1580" s="2">
        <v>160730418</v>
      </c>
      <c r="H1580" s="2">
        <v>2090732</v>
      </c>
      <c r="I1580" s="2">
        <v>74601136</v>
      </c>
      <c r="J1580">
        <v>31</v>
      </c>
      <c r="K1580">
        <v>17</v>
      </c>
      <c r="L1580">
        <v>1</v>
      </c>
      <c r="M1580" t="str">
        <f t="shared" si="24"/>
        <v>2010-2020</v>
      </c>
    </row>
    <row r="1581" spans="1:13">
      <c r="A1581" t="s">
        <v>2355</v>
      </c>
      <c r="B1581" t="s">
        <v>81</v>
      </c>
      <c r="C1581" s="1">
        <v>42461</v>
      </c>
      <c r="D1581" s="2">
        <v>1368497471</v>
      </c>
      <c r="E1581" s="2">
        <v>112014</v>
      </c>
      <c r="F1581">
        <v>72</v>
      </c>
      <c r="G1581" s="2">
        <v>1149519353</v>
      </c>
      <c r="H1581" s="2">
        <v>6578172</v>
      </c>
      <c r="I1581" s="2">
        <v>340034199</v>
      </c>
      <c r="J1581">
        <v>110</v>
      </c>
      <c r="K1581">
        <v>117</v>
      </c>
      <c r="L1581">
        <v>0</v>
      </c>
      <c r="M1581" t="str">
        <f t="shared" si="24"/>
        <v>2010-2020</v>
      </c>
    </row>
    <row r="1582" spans="1:13" hidden="1">
      <c r="A1582" t="s">
        <v>2356</v>
      </c>
      <c r="B1582" t="s">
        <v>355</v>
      </c>
      <c r="C1582" s="1">
        <v>43868</v>
      </c>
      <c r="D1582" s="2">
        <v>549824221</v>
      </c>
      <c r="E1582" s="2">
        <v>173912</v>
      </c>
      <c r="F1582">
        <v>70</v>
      </c>
      <c r="G1582" s="2">
        <v>192954440</v>
      </c>
      <c r="H1582" s="2">
        <v>1879700</v>
      </c>
      <c r="I1582" s="2">
        <v>2215721495</v>
      </c>
      <c r="J1582">
        <v>21</v>
      </c>
      <c r="L1582">
        <v>1</v>
      </c>
      <c r="M1582" t="str">
        <f t="shared" si="24"/>
        <v>2010-2020</v>
      </c>
    </row>
    <row r="1583" spans="1:13" hidden="1">
      <c r="A1583" t="s">
        <v>2357</v>
      </c>
      <c r="B1583" t="s">
        <v>2358</v>
      </c>
      <c r="C1583" s="1">
        <v>45142</v>
      </c>
      <c r="D1583" s="2">
        <v>84141101</v>
      </c>
      <c r="E1583" s="2">
        <v>23465</v>
      </c>
      <c r="F1583">
        <v>62</v>
      </c>
      <c r="G1583" s="2">
        <v>1453321</v>
      </c>
      <c r="H1583" s="2">
        <v>28558</v>
      </c>
      <c r="I1583" s="2">
        <v>2320937018</v>
      </c>
      <c r="J1583">
        <v>2</v>
      </c>
      <c r="L1583">
        <v>0</v>
      </c>
      <c r="M1583" t="str">
        <f t="shared" si="24"/>
        <v>After 2020</v>
      </c>
    </row>
    <row r="1584" spans="1:13" hidden="1">
      <c r="A1584" t="s">
        <v>2359</v>
      </c>
      <c r="B1584" t="s">
        <v>2360</v>
      </c>
      <c r="C1584" s="1">
        <v>45365</v>
      </c>
      <c r="D1584" s="2">
        <v>39026522</v>
      </c>
      <c r="E1584" s="2">
        <v>4463</v>
      </c>
      <c r="F1584">
        <v>72</v>
      </c>
      <c r="G1584" s="2">
        <v>52315903</v>
      </c>
      <c r="H1584" s="2">
        <v>279494</v>
      </c>
      <c r="J1584">
        <v>1</v>
      </c>
      <c r="L1584">
        <v>0</v>
      </c>
      <c r="M1584" t="str">
        <f t="shared" si="24"/>
        <v>After 2020</v>
      </c>
    </row>
    <row r="1585" spans="1:13">
      <c r="A1585" t="s">
        <v>2361</v>
      </c>
      <c r="B1585" t="s">
        <v>2362</v>
      </c>
      <c r="C1585" s="1">
        <v>44610</v>
      </c>
      <c r="D1585" s="2">
        <v>469278591</v>
      </c>
      <c r="E1585" s="2">
        <v>30545</v>
      </c>
      <c r="F1585">
        <v>76</v>
      </c>
      <c r="G1585" s="2">
        <v>386430123</v>
      </c>
      <c r="H1585" s="2">
        <v>2100967</v>
      </c>
      <c r="I1585" s="2">
        <v>572889929</v>
      </c>
      <c r="J1585">
        <v>28</v>
      </c>
      <c r="K1585">
        <v>281</v>
      </c>
      <c r="L1585">
        <v>0</v>
      </c>
      <c r="M1585" t="str">
        <f t="shared" si="24"/>
        <v>After 2020</v>
      </c>
    </row>
    <row r="1586" spans="1:13" hidden="1">
      <c r="A1586" t="s">
        <v>2363</v>
      </c>
      <c r="B1586" t="s">
        <v>2364</v>
      </c>
      <c r="C1586" s="1">
        <v>45275</v>
      </c>
      <c r="D1586" s="2">
        <v>67224922</v>
      </c>
      <c r="E1586" s="2">
        <v>4356</v>
      </c>
      <c r="G1586" s="2">
        <v>74438945</v>
      </c>
      <c r="H1586" s="2">
        <v>466819</v>
      </c>
      <c r="I1586" s="2">
        <v>554979736</v>
      </c>
      <c r="J1586">
        <v>13</v>
      </c>
      <c r="L1586">
        <v>0</v>
      </c>
      <c r="M1586" t="str">
        <f t="shared" si="24"/>
        <v>After 2020</v>
      </c>
    </row>
    <row r="1587" spans="1:13" hidden="1">
      <c r="A1587" t="s">
        <v>2365</v>
      </c>
      <c r="B1587" t="s">
        <v>2366</v>
      </c>
      <c r="C1587" s="1">
        <v>45296</v>
      </c>
      <c r="D1587" s="2">
        <v>1094052047</v>
      </c>
      <c r="E1587">
        <v>1</v>
      </c>
      <c r="L1587">
        <v>0</v>
      </c>
      <c r="M1587" t="str">
        <f t="shared" si="24"/>
        <v>After 2020</v>
      </c>
    </row>
    <row r="1588" spans="1:13" hidden="1">
      <c r="A1588" t="s">
        <v>2367</v>
      </c>
      <c r="B1588" t="s">
        <v>2368</v>
      </c>
      <c r="C1588" s="1">
        <v>43872</v>
      </c>
      <c r="D1588" s="2">
        <v>33384757</v>
      </c>
      <c r="E1588" s="2">
        <v>3507</v>
      </c>
      <c r="F1588">
        <v>48</v>
      </c>
      <c r="G1588" s="2">
        <v>547206302</v>
      </c>
      <c r="H1588" s="2">
        <v>3673228</v>
      </c>
      <c r="I1588" s="2">
        <v>2180222501</v>
      </c>
      <c r="J1588">
        <v>2</v>
      </c>
      <c r="L1588">
        <v>0</v>
      </c>
      <c r="M1588" t="str">
        <f t="shared" si="24"/>
        <v>2010-2020</v>
      </c>
    </row>
    <row r="1589" spans="1:13">
      <c r="A1589" t="s">
        <v>2369</v>
      </c>
      <c r="B1589" t="s">
        <v>233</v>
      </c>
      <c r="C1589" s="1">
        <v>44736</v>
      </c>
      <c r="D1589" s="2">
        <v>283572432</v>
      </c>
      <c r="E1589" s="2">
        <v>48772</v>
      </c>
      <c r="F1589">
        <v>65</v>
      </c>
      <c r="G1589" s="2">
        <v>194184325</v>
      </c>
      <c r="H1589" s="2">
        <v>1695485</v>
      </c>
      <c r="I1589" s="2">
        <v>57932068</v>
      </c>
      <c r="J1589">
        <v>19</v>
      </c>
      <c r="K1589">
        <v>2</v>
      </c>
      <c r="L1589">
        <v>0</v>
      </c>
      <c r="M1589" t="str">
        <f t="shared" si="24"/>
        <v>After 2020</v>
      </c>
    </row>
    <row r="1590" spans="1:13" hidden="1">
      <c r="A1590" t="s">
        <v>2370</v>
      </c>
      <c r="B1590" t="s">
        <v>2371</v>
      </c>
      <c r="C1590" s="1">
        <v>44714</v>
      </c>
      <c r="D1590" s="2">
        <v>170404957</v>
      </c>
      <c r="E1590" s="2">
        <v>31472</v>
      </c>
      <c r="F1590">
        <v>64</v>
      </c>
      <c r="G1590" s="2">
        <v>35509290</v>
      </c>
      <c r="H1590" s="2">
        <v>602329</v>
      </c>
      <c r="I1590" s="2">
        <v>960222096</v>
      </c>
      <c r="J1590">
        <v>1</v>
      </c>
      <c r="L1590">
        <v>0</v>
      </c>
      <c r="M1590" t="str">
        <f t="shared" si="24"/>
        <v>After 2020</v>
      </c>
    </row>
    <row r="1591" spans="1:13" hidden="1">
      <c r="A1591" t="s">
        <v>2372</v>
      </c>
      <c r="B1591" t="s">
        <v>522</v>
      </c>
      <c r="C1591" s="1">
        <v>44925</v>
      </c>
      <c r="D1591" s="2">
        <v>316447060</v>
      </c>
      <c r="E1591" s="2">
        <v>27766</v>
      </c>
      <c r="F1591">
        <v>72</v>
      </c>
      <c r="G1591" s="2">
        <v>254781747</v>
      </c>
      <c r="H1591" s="2">
        <v>1096192</v>
      </c>
      <c r="J1591">
        <v>27</v>
      </c>
      <c r="L1591">
        <v>1</v>
      </c>
      <c r="M1591" t="str">
        <f t="shared" si="24"/>
        <v>After 2020</v>
      </c>
    </row>
    <row r="1592" spans="1:13" hidden="1">
      <c r="A1592" t="s">
        <v>372</v>
      </c>
      <c r="B1592" t="s">
        <v>2373</v>
      </c>
      <c r="C1592" s="1">
        <v>44323</v>
      </c>
      <c r="D1592" s="2">
        <v>551090518</v>
      </c>
      <c r="E1592" s="2">
        <v>146088</v>
      </c>
      <c r="F1592">
        <v>75</v>
      </c>
      <c r="G1592" s="2">
        <v>159774916</v>
      </c>
      <c r="H1592" s="2">
        <v>1105668</v>
      </c>
      <c r="I1592" s="2">
        <v>361365</v>
      </c>
      <c r="J1592">
        <v>47</v>
      </c>
      <c r="L1592">
        <v>0</v>
      </c>
      <c r="M1592" t="str">
        <f t="shared" si="24"/>
        <v>After 2020</v>
      </c>
    </row>
    <row r="1593" spans="1:13">
      <c r="A1593" t="s">
        <v>2374</v>
      </c>
      <c r="B1593" t="s">
        <v>77</v>
      </c>
      <c r="C1593" s="1">
        <v>44673</v>
      </c>
      <c r="D1593" s="2">
        <v>299159279</v>
      </c>
      <c r="E1593" s="2">
        <v>65016</v>
      </c>
      <c r="F1593">
        <v>65</v>
      </c>
      <c r="G1593" s="2">
        <v>77821012</v>
      </c>
      <c r="H1593" s="2">
        <v>905318</v>
      </c>
      <c r="I1593" s="2">
        <v>393771352</v>
      </c>
      <c r="J1593">
        <v>50</v>
      </c>
      <c r="K1593">
        <v>921</v>
      </c>
      <c r="L1593">
        <v>1</v>
      </c>
      <c r="M1593" t="str">
        <f t="shared" si="24"/>
        <v>After 2020</v>
      </c>
    </row>
    <row r="1594" spans="1:13">
      <c r="A1594" t="s">
        <v>2375</v>
      </c>
      <c r="B1594" t="s">
        <v>1913</v>
      </c>
      <c r="C1594" s="1">
        <v>44778</v>
      </c>
      <c r="D1594" s="2">
        <v>204471704</v>
      </c>
      <c r="E1594" s="2">
        <v>72788</v>
      </c>
      <c r="F1594">
        <v>55</v>
      </c>
      <c r="G1594" s="2">
        <v>53474695</v>
      </c>
      <c r="H1594" s="2">
        <v>805089</v>
      </c>
      <c r="I1594" s="2">
        <v>154240769</v>
      </c>
      <c r="J1594">
        <v>41</v>
      </c>
      <c r="K1594" s="2">
        <v>2223</v>
      </c>
      <c r="L1594">
        <v>1</v>
      </c>
      <c r="M1594" t="str">
        <f t="shared" si="24"/>
        <v>After 2020</v>
      </c>
    </row>
    <row r="1595" spans="1:13" hidden="1">
      <c r="A1595" t="s">
        <v>2376</v>
      </c>
      <c r="B1595" t="s">
        <v>2377</v>
      </c>
      <c r="C1595" s="1">
        <v>43909</v>
      </c>
      <c r="D1595" s="2">
        <v>565296902</v>
      </c>
      <c r="E1595" s="2">
        <v>139124</v>
      </c>
      <c r="F1595">
        <v>68</v>
      </c>
      <c r="G1595" s="2">
        <v>382444699</v>
      </c>
      <c r="H1595" s="2">
        <v>3526955</v>
      </c>
      <c r="I1595" s="2">
        <v>244428689</v>
      </c>
      <c r="J1595">
        <v>48</v>
      </c>
      <c r="L1595">
        <v>1</v>
      </c>
      <c r="M1595" t="str">
        <f t="shared" si="24"/>
        <v>2010-2020</v>
      </c>
    </row>
    <row r="1596" spans="1:13" hidden="1">
      <c r="A1596" t="s">
        <v>2378</v>
      </c>
      <c r="B1596" t="s">
        <v>1107</v>
      </c>
      <c r="C1596" s="1">
        <v>43708</v>
      </c>
      <c r="D1596" s="2">
        <v>240571166</v>
      </c>
      <c r="E1596" s="2">
        <v>23561</v>
      </c>
      <c r="F1596">
        <v>65</v>
      </c>
      <c r="G1596" s="2">
        <v>1362890151</v>
      </c>
      <c r="H1596" s="2">
        <v>10543675</v>
      </c>
      <c r="I1596" s="2">
        <v>617708</v>
      </c>
      <c r="J1596">
        <v>3</v>
      </c>
      <c r="L1596">
        <v>0</v>
      </c>
      <c r="M1596" t="str">
        <f t="shared" si="24"/>
        <v>2010-2020</v>
      </c>
    </row>
    <row r="1597" spans="1:13" hidden="1">
      <c r="A1597" t="s">
        <v>2379</v>
      </c>
      <c r="B1597" t="s">
        <v>357</v>
      </c>
      <c r="C1597" s="1">
        <v>40179</v>
      </c>
      <c r="D1597" s="2">
        <v>1461578587</v>
      </c>
      <c r="E1597" s="2">
        <v>216137</v>
      </c>
      <c r="F1597">
        <v>76</v>
      </c>
      <c r="G1597" s="2">
        <v>808548795</v>
      </c>
      <c r="H1597" s="2">
        <v>3748427</v>
      </c>
      <c r="I1597" s="2">
        <v>284400429</v>
      </c>
      <c r="J1597">
        <v>198</v>
      </c>
      <c r="L1597">
        <v>0</v>
      </c>
      <c r="M1597" t="str">
        <f t="shared" si="24"/>
        <v>2010-2020</v>
      </c>
    </row>
    <row r="1598" spans="1:13">
      <c r="A1598" t="s">
        <v>2380</v>
      </c>
      <c r="B1598" t="s">
        <v>805</v>
      </c>
      <c r="C1598" s="1">
        <v>44980</v>
      </c>
      <c r="D1598" s="2">
        <v>242528711</v>
      </c>
      <c r="E1598" s="2">
        <v>57228</v>
      </c>
      <c r="F1598">
        <v>72</v>
      </c>
      <c r="G1598" s="2">
        <v>31286296</v>
      </c>
      <c r="H1598" s="2">
        <v>367511</v>
      </c>
      <c r="I1598" s="2">
        <v>115624415</v>
      </c>
      <c r="J1598">
        <v>18</v>
      </c>
      <c r="K1598">
        <v>198</v>
      </c>
      <c r="L1598">
        <v>1</v>
      </c>
      <c r="M1598" t="str">
        <f t="shared" si="24"/>
        <v>After 2020</v>
      </c>
    </row>
    <row r="1599" spans="1:13">
      <c r="A1599" t="s">
        <v>2381</v>
      </c>
      <c r="B1599" t="s">
        <v>1568</v>
      </c>
      <c r="C1599" s="1">
        <v>45121</v>
      </c>
      <c r="D1599" s="2">
        <v>70868414</v>
      </c>
      <c r="E1599" s="2">
        <v>32989</v>
      </c>
      <c r="F1599">
        <v>57</v>
      </c>
      <c r="G1599" s="2">
        <v>44841616</v>
      </c>
      <c r="H1599" s="2">
        <v>419069</v>
      </c>
      <c r="I1599" s="2">
        <v>48989328</v>
      </c>
      <c r="J1599">
        <v>21</v>
      </c>
      <c r="K1599">
        <v>25</v>
      </c>
      <c r="L1599">
        <v>1</v>
      </c>
      <c r="M1599" t="str">
        <f t="shared" si="24"/>
        <v>After 2020</v>
      </c>
    </row>
    <row r="1600" spans="1:13">
      <c r="A1600" t="s">
        <v>2382</v>
      </c>
      <c r="B1600" t="s">
        <v>295</v>
      </c>
      <c r="C1600" s="1">
        <v>42216</v>
      </c>
      <c r="D1600" s="2">
        <v>1335494972</v>
      </c>
      <c r="E1600" s="2">
        <v>205003</v>
      </c>
      <c r="F1600">
        <v>72</v>
      </c>
      <c r="G1600" s="2">
        <v>165545575</v>
      </c>
      <c r="H1600" s="2">
        <v>1446742</v>
      </c>
      <c r="I1600" s="2">
        <v>284269402</v>
      </c>
      <c r="J1600">
        <v>376</v>
      </c>
      <c r="K1600">
        <v>123</v>
      </c>
      <c r="L1600">
        <v>0</v>
      </c>
      <c r="M1600" t="str">
        <f t="shared" si="24"/>
        <v>2010-2020</v>
      </c>
    </row>
    <row r="1601" spans="1:13" hidden="1">
      <c r="A1601" t="s">
        <v>2383</v>
      </c>
      <c r="B1601" t="s">
        <v>216</v>
      </c>
      <c r="C1601" s="1">
        <v>43406</v>
      </c>
      <c r="D1601" s="2">
        <v>394772670</v>
      </c>
      <c r="E1601" s="2">
        <v>120605</v>
      </c>
      <c r="F1601">
        <v>66</v>
      </c>
      <c r="G1601" s="2">
        <v>521443401</v>
      </c>
      <c r="H1601" s="2">
        <v>4326249</v>
      </c>
      <c r="I1601" s="2">
        <v>41728771</v>
      </c>
      <c r="K1601">
        <v>22</v>
      </c>
      <c r="L1601">
        <v>1</v>
      </c>
      <c r="M1601" t="str">
        <f t="shared" si="24"/>
        <v>2010-2020</v>
      </c>
    </row>
    <row r="1602" spans="1:13" hidden="1">
      <c r="A1602" t="s">
        <v>2384</v>
      </c>
      <c r="B1602" t="s">
        <v>2385</v>
      </c>
      <c r="C1602" s="1">
        <v>45163</v>
      </c>
      <c r="D1602" s="2">
        <v>126216271</v>
      </c>
      <c r="E1602" s="2">
        <v>8260</v>
      </c>
      <c r="F1602">
        <v>61</v>
      </c>
      <c r="G1602" s="2">
        <v>144392606</v>
      </c>
      <c r="H1602" s="2">
        <v>1240106</v>
      </c>
      <c r="I1602" s="2">
        <v>2031974901</v>
      </c>
      <c r="J1602">
        <v>4</v>
      </c>
      <c r="L1602">
        <v>0</v>
      </c>
      <c r="M1602" t="str">
        <f t="shared" si="24"/>
        <v>After 2020</v>
      </c>
    </row>
    <row r="1603" spans="1:13">
      <c r="A1603" t="s">
        <v>2386</v>
      </c>
      <c r="B1603" t="s">
        <v>457</v>
      </c>
      <c r="C1603" s="1">
        <v>44533</v>
      </c>
      <c r="D1603" s="2">
        <v>223634694</v>
      </c>
      <c r="E1603" s="2">
        <v>85051</v>
      </c>
      <c r="F1603">
        <v>62</v>
      </c>
      <c r="G1603" s="2">
        <v>172919874</v>
      </c>
      <c r="H1603" s="2">
        <v>1244703</v>
      </c>
      <c r="I1603" s="2">
        <v>968182145</v>
      </c>
      <c r="J1603">
        <v>80</v>
      </c>
      <c r="K1603">
        <v>75</v>
      </c>
      <c r="L1603">
        <v>0</v>
      </c>
      <c r="M1603" t="str">
        <f t="shared" ref="M1603:M1666" si="25">IF(YEAR(C1603)&lt;2010,"Before 2010",IF(YEAR(C1603)&lt;=2020,"2010-2020","After 2020"))</f>
        <v>After 2020</v>
      </c>
    </row>
    <row r="1604" spans="1:13" hidden="1">
      <c r="A1604" t="s">
        <v>2387</v>
      </c>
      <c r="B1604" t="s">
        <v>2388</v>
      </c>
      <c r="C1604" s="1">
        <v>44372</v>
      </c>
      <c r="D1604" s="2">
        <v>3052742</v>
      </c>
      <c r="E1604">
        <v>31</v>
      </c>
      <c r="F1604">
        <v>10</v>
      </c>
      <c r="G1604" s="2">
        <v>542279</v>
      </c>
      <c r="H1604" s="2">
        <v>8653</v>
      </c>
      <c r="I1604" s="2">
        <v>367663104</v>
      </c>
      <c r="L1604">
        <v>0</v>
      </c>
      <c r="M1604" t="str">
        <f t="shared" si="25"/>
        <v>After 2020</v>
      </c>
    </row>
    <row r="1605" spans="1:13" hidden="1">
      <c r="A1605" t="s">
        <v>709</v>
      </c>
      <c r="B1605" t="s">
        <v>252</v>
      </c>
      <c r="C1605" s="1">
        <v>44155</v>
      </c>
      <c r="D1605" s="2">
        <v>717715448</v>
      </c>
      <c r="E1605" s="2">
        <v>43805</v>
      </c>
      <c r="F1605">
        <v>70</v>
      </c>
      <c r="G1605" s="2">
        <v>640225413</v>
      </c>
      <c r="H1605" s="2">
        <v>19718272</v>
      </c>
      <c r="I1605" s="2">
        <v>1177171729</v>
      </c>
      <c r="J1605">
        <v>55</v>
      </c>
      <c r="L1605">
        <v>0</v>
      </c>
      <c r="M1605" t="str">
        <f t="shared" si="25"/>
        <v>2010-2020</v>
      </c>
    </row>
    <row r="1606" spans="1:13" hidden="1">
      <c r="A1606" t="s">
        <v>2389</v>
      </c>
      <c r="B1606" t="s">
        <v>2390</v>
      </c>
      <c r="C1606" s="1">
        <v>44750</v>
      </c>
      <c r="D1606" s="2">
        <v>240482615</v>
      </c>
      <c r="E1606" s="2">
        <v>97818</v>
      </c>
      <c r="F1606">
        <v>62</v>
      </c>
      <c r="I1606" s="2">
        <v>31265399</v>
      </c>
      <c r="J1606">
        <v>29</v>
      </c>
      <c r="L1606">
        <v>0</v>
      </c>
      <c r="M1606" t="str">
        <f t="shared" si="25"/>
        <v>After 2020</v>
      </c>
    </row>
    <row r="1607" spans="1:13">
      <c r="A1607" t="s">
        <v>2391</v>
      </c>
      <c r="B1607" t="s">
        <v>32</v>
      </c>
      <c r="C1607" s="1">
        <v>45387</v>
      </c>
      <c r="D1607" s="2">
        <v>72952792</v>
      </c>
      <c r="E1607" s="2">
        <v>5724</v>
      </c>
      <c r="F1607">
        <v>18</v>
      </c>
      <c r="G1607" s="2">
        <v>9235207</v>
      </c>
      <c r="H1607" s="2">
        <v>107668</v>
      </c>
      <c r="I1607" s="2">
        <v>45173400</v>
      </c>
      <c r="J1607">
        <v>26</v>
      </c>
      <c r="K1607">
        <v>38</v>
      </c>
      <c r="L1607">
        <v>0</v>
      </c>
      <c r="M1607" t="str">
        <f t="shared" si="25"/>
        <v>After 2020</v>
      </c>
    </row>
    <row r="1608" spans="1:13">
      <c r="A1608" s="4">
        <v>0.95833333333333337</v>
      </c>
      <c r="B1608" t="s">
        <v>336</v>
      </c>
      <c r="C1608" s="1">
        <v>43602</v>
      </c>
      <c r="D1608" s="2">
        <v>719602988</v>
      </c>
      <c r="E1608" s="2">
        <v>64741</v>
      </c>
      <c r="F1608">
        <v>67</v>
      </c>
      <c r="G1608" s="2">
        <v>1040666593</v>
      </c>
      <c r="H1608" s="2">
        <v>3868761</v>
      </c>
      <c r="I1608" s="2">
        <v>29561419</v>
      </c>
      <c r="J1608">
        <v>71</v>
      </c>
      <c r="K1608">
        <v>240</v>
      </c>
      <c r="L1608">
        <v>0</v>
      </c>
      <c r="M1608" t="str">
        <f t="shared" si="25"/>
        <v>2010-2020</v>
      </c>
    </row>
    <row r="1609" spans="1:13">
      <c r="A1609" t="s">
        <v>2392</v>
      </c>
      <c r="B1609" t="s">
        <v>777</v>
      </c>
      <c r="C1609" s="1">
        <v>42237</v>
      </c>
      <c r="D1609" s="2">
        <v>833094374</v>
      </c>
      <c r="E1609" s="2">
        <v>74711</v>
      </c>
      <c r="F1609">
        <v>69</v>
      </c>
      <c r="G1609" s="2">
        <v>975631232</v>
      </c>
      <c r="H1609" s="2">
        <v>6042733</v>
      </c>
      <c r="I1609" s="2">
        <v>730041228</v>
      </c>
      <c r="J1609">
        <v>9</v>
      </c>
      <c r="K1609">
        <v>169</v>
      </c>
      <c r="L1609">
        <v>0</v>
      </c>
      <c r="M1609" t="str">
        <f t="shared" si="25"/>
        <v>2010-2020</v>
      </c>
    </row>
    <row r="1610" spans="1:13" hidden="1">
      <c r="A1610" t="s">
        <v>2393</v>
      </c>
      <c r="B1610" t="s">
        <v>2394</v>
      </c>
      <c r="C1610" s="1">
        <v>45058</v>
      </c>
      <c r="D1610" s="2">
        <v>46368950</v>
      </c>
      <c r="E1610" s="2">
        <v>20691</v>
      </c>
      <c r="F1610">
        <v>60</v>
      </c>
      <c r="G1610" s="2">
        <v>69966850</v>
      </c>
      <c r="H1610" s="2">
        <v>590978</v>
      </c>
      <c r="I1610" s="2">
        <v>48621537</v>
      </c>
      <c r="J1610">
        <v>6</v>
      </c>
      <c r="L1610">
        <v>1</v>
      </c>
      <c r="M1610" t="str">
        <f t="shared" si="25"/>
        <v>After 2020</v>
      </c>
    </row>
    <row r="1611" spans="1:13" hidden="1">
      <c r="A1611" t="s">
        <v>2395</v>
      </c>
      <c r="B1611" t="s">
        <v>867</v>
      </c>
      <c r="C1611" s="1">
        <v>45455</v>
      </c>
      <c r="D1611" s="2">
        <v>4522</v>
      </c>
      <c r="E1611">
        <v>63</v>
      </c>
      <c r="G1611" s="2">
        <v>252324</v>
      </c>
      <c r="H1611" s="2">
        <v>19441</v>
      </c>
      <c r="J1611">
        <v>10</v>
      </c>
      <c r="L1611">
        <v>0</v>
      </c>
      <c r="M1611" t="str">
        <f t="shared" si="25"/>
        <v>After 2020</v>
      </c>
    </row>
    <row r="1612" spans="1:13">
      <c r="A1612" t="s">
        <v>2396</v>
      </c>
      <c r="B1612" t="s">
        <v>2397</v>
      </c>
      <c r="C1612" s="1">
        <v>44498</v>
      </c>
      <c r="D1612" s="2">
        <v>366000029</v>
      </c>
      <c r="E1612" s="2">
        <v>116490</v>
      </c>
      <c r="F1612">
        <v>71</v>
      </c>
      <c r="G1612" s="2">
        <v>91180099</v>
      </c>
      <c r="H1612" s="2">
        <v>918683</v>
      </c>
      <c r="I1612" s="2">
        <v>1275662545</v>
      </c>
      <c r="J1612">
        <v>78</v>
      </c>
      <c r="K1612">
        <v>288</v>
      </c>
      <c r="L1612">
        <v>0</v>
      </c>
      <c r="M1612" t="str">
        <f t="shared" si="25"/>
        <v>After 2020</v>
      </c>
    </row>
    <row r="1613" spans="1:13" hidden="1">
      <c r="A1613" t="s">
        <v>2398</v>
      </c>
      <c r="B1613" t="s">
        <v>912</v>
      </c>
      <c r="C1613" s="1">
        <v>40909</v>
      </c>
      <c r="D1613" s="2">
        <v>1313274600</v>
      </c>
      <c r="E1613" s="2">
        <v>140970</v>
      </c>
      <c r="F1613">
        <v>69</v>
      </c>
      <c r="G1613" s="2">
        <v>1350480491</v>
      </c>
      <c r="H1613" s="2">
        <v>6778043</v>
      </c>
      <c r="I1613" s="2">
        <v>721480</v>
      </c>
      <c r="J1613">
        <v>149</v>
      </c>
      <c r="L1613">
        <v>0</v>
      </c>
      <c r="M1613" t="str">
        <f t="shared" si="25"/>
        <v>2010-2020</v>
      </c>
    </row>
    <row r="1614" spans="1:13" hidden="1">
      <c r="A1614" t="s">
        <v>2399</v>
      </c>
      <c r="B1614" t="s">
        <v>2400</v>
      </c>
      <c r="C1614" s="1">
        <v>43434</v>
      </c>
      <c r="D1614" s="2">
        <v>571258899</v>
      </c>
      <c r="E1614" s="2">
        <v>121284</v>
      </c>
      <c r="F1614">
        <v>66</v>
      </c>
      <c r="G1614" s="2">
        <v>180999094</v>
      </c>
      <c r="H1614" s="2">
        <v>2026987</v>
      </c>
      <c r="I1614" s="2">
        <v>142353962</v>
      </c>
      <c r="J1614">
        <v>21</v>
      </c>
      <c r="L1614">
        <v>1</v>
      </c>
      <c r="M1614" t="str">
        <f t="shared" si="25"/>
        <v>2010-2020</v>
      </c>
    </row>
    <row r="1615" spans="1:13">
      <c r="A1615" t="s">
        <v>2401</v>
      </c>
      <c r="B1615" t="s">
        <v>2402</v>
      </c>
      <c r="C1615" s="1">
        <v>40179</v>
      </c>
      <c r="D1615" s="2">
        <v>1656974409</v>
      </c>
      <c r="E1615" s="2">
        <v>266408</v>
      </c>
      <c r="F1615">
        <v>76</v>
      </c>
      <c r="G1615" s="2">
        <v>597309937</v>
      </c>
      <c r="H1615" s="2">
        <v>3662324</v>
      </c>
      <c r="I1615" s="2">
        <v>191397624</v>
      </c>
      <c r="J1615">
        <v>104</v>
      </c>
      <c r="K1615">
        <v>129</v>
      </c>
      <c r="L1615">
        <v>0</v>
      </c>
      <c r="M1615" t="str">
        <f t="shared" si="25"/>
        <v>2010-2020</v>
      </c>
    </row>
    <row r="1616" spans="1:13" hidden="1">
      <c r="A1616" t="s">
        <v>2403</v>
      </c>
      <c r="B1616" t="s">
        <v>1051</v>
      </c>
      <c r="C1616" s="1">
        <v>44614</v>
      </c>
      <c r="D1616" s="2">
        <v>159676691</v>
      </c>
      <c r="E1616" s="2">
        <v>53444</v>
      </c>
      <c r="F1616">
        <v>59</v>
      </c>
      <c r="G1616" s="2">
        <v>328647215</v>
      </c>
      <c r="H1616" s="2">
        <v>2027788</v>
      </c>
      <c r="I1616" s="2">
        <v>535066055</v>
      </c>
      <c r="J1616">
        <v>35</v>
      </c>
      <c r="L1616">
        <v>0</v>
      </c>
      <c r="M1616" t="str">
        <f t="shared" si="25"/>
        <v>After 2020</v>
      </c>
    </row>
    <row r="1617" spans="1:13">
      <c r="A1617" t="s">
        <v>2404</v>
      </c>
      <c r="B1617" t="s">
        <v>305</v>
      </c>
      <c r="C1617" s="1">
        <v>40909</v>
      </c>
      <c r="D1617" s="2">
        <v>2004657631</v>
      </c>
      <c r="E1617" s="2">
        <v>277766</v>
      </c>
      <c r="F1617">
        <v>83</v>
      </c>
      <c r="G1617" s="2">
        <v>1400581749</v>
      </c>
      <c r="H1617" s="2">
        <v>9714447</v>
      </c>
      <c r="I1617" s="2">
        <v>91255671</v>
      </c>
      <c r="J1617">
        <v>150</v>
      </c>
      <c r="K1617">
        <v>291</v>
      </c>
      <c r="L1617">
        <v>0</v>
      </c>
      <c r="M1617" t="str">
        <f t="shared" si="25"/>
        <v>2010-2020</v>
      </c>
    </row>
    <row r="1618" spans="1:13">
      <c r="A1618" t="s">
        <v>2405</v>
      </c>
      <c r="B1618" t="s">
        <v>1357</v>
      </c>
      <c r="C1618" s="1">
        <v>40544</v>
      </c>
      <c r="D1618" s="2">
        <v>717233625</v>
      </c>
      <c r="E1618" s="2">
        <v>190770</v>
      </c>
      <c r="F1618">
        <v>68</v>
      </c>
      <c r="G1618" s="2">
        <v>2681563789</v>
      </c>
      <c r="H1618" s="2">
        <v>13879113</v>
      </c>
      <c r="I1618" s="2">
        <v>474207854</v>
      </c>
      <c r="J1618">
        <v>148</v>
      </c>
      <c r="K1618">
        <v>235</v>
      </c>
      <c r="L1618">
        <v>0</v>
      </c>
      <c r="M1618" t="str">
        <f t="shared" si="25"/>
        <v>2010-2020</v>
      </c>
    </row>
    <row r="1619" spans="1:13">
      <c r="A1619" t="s">
        <v>2406</v>
      </c>
      <c r="B1619" t="s">
        <v>2407</v>
      </c>
      <c r="C1619" s="1">
        <v>43805</v>
      </c>
      <c r="D1619" s="2">
        <v>789418331</v>
      </c>
      <c r="E1619" s="2">
        <v>170553</v>
      </c>
      <c r="F1619">
        <v>78</v>
      </c>
      <c r="G1619" s="2">
        <v>100552408</v>
      </c>
      <c r="H1619" s="2">
        <v>2069625</v>
      </c>
      <c r="I1619" s="2">
        <v>1315165820</v>
      </c>
      <c r="J1619">
        <v>9</v>
      </c>
      <c r="K1619">
        <v>54</v>
      </c>
      <c r="L1619">
        <v>0</v>
      </c>
      <c r="M1619" t="str">
        <f t="shared" si="25"/>
        <v>2010-2020</v>
      </c>
    </row>
    <row r="1620" spans="1:13" hidden="1">
      <c r="A1620" t="s">
        <v>2408</v>
      </c>
      <c r="B1620" t="s">
        <v>2409</v>
      </c>
      <c r="C1620" s="1">
        <v>42209</v>
      </c>
      <c r="D1620" s="2">
        <v>1532640437</v>
      </c>
      <c r="E1620">
        <v>238</v>
      </c>
      <c r="F1620">
        <v>6</v>
      </c>
      <c r="G1620" s="2">
        <v>2536191191</v>
      </c>
      <c r="H1620" s="2">
        <v>15112588</v>
      </c>
      <c r="J1620">
        <v>1</v>
      </c>
      <c r="L1620">
        <v>0</v>
      </c>
      <c r="M1620" t="str">
        <f t="shared" si="25"/>
        <v>2010-2020</v>
      </c>
    </row>
    <row r="1621" spans="1:13" hidden="1">
      <c r="A1621" t="s">
        <v>2410</v>
      </c>
      <c r="B1621" t="s">
        <v>2411</v>
      </c>
      <c r="C1621" s="1">
        <v>43707</v>
      </c>
      <c r="D1621" s="2">
        <v>596326288</v>
      </c>
      <c r="E1621" s="2">
        <v>132469</v>
      </c>
      <c r="F1621">
        <v>66</v>
      </c>
      <c r="G1621" s="2">
        <v>486500564</v>
      </c>
      <c r="H1621" s="2">
        <v>5645146</v>
      </c>
      <c r="I1621" s="2">
        <v>928083</v>
      </c>
      <c r="J1621">
        <v>59</v>
      </c>
      <c r="L1621">
        <v>0</v>
      </c>
      <c r="M1621" t="str">
        <f t="shared" si="25"/>
        <v>2010-2020</v>
      </c>
    </row>
    <row r="1622" spans="1:13" hidden="1">
      <c r="A1622" t="s">
        <v>2412</v>
      </c>
      <c r="B1622" t="s">
        <v>2413</v>
      </c>
      <c r="C1622" s="1">
        <v>44900</v>
      </c>
      <c r="E1622">
        <v>1</v>
      </c>
      <c r="G1622" s="2">
        <v>506047842</v>
      </c>
      <c r="H1622" s="2">
        <v>4334974</v>
      </c>
      <c r="L1622">
        <v>0</v>
      </c>
      <c r="M1622" t="str">
        <f t="shared" si="25"/>
        <v>After 2020</v>
      </c>
    </row>
    <row r="1623" spans="1:13">
      <c r="A1623" t="s">
        <v>2414</v>
      </c>
      <c r="B1623" t="s">
        <v>2415</v>
      </c>
      <c r="C1623" s="1">
        <v>44742</v>
      </c>
      <c r="D1623" s="2">
        <v>161267092</v>
      </c>
      <c r="E1623" s="2">
        <v>28607</v>
      </c>
      <c r="F1623">
        <v>62</v>
      </c>
      <c r="G1623" s="2">
        <v>60783794</v>
      </c>
      <c r="H1623" s="2">
        <v>1205587</v>
      </c>
      <c r="I1623" s="2">
        <v>667522423</v>
      </c>
      <c r="J1623">
        <v>9</v>
      </c>
      <c r="K1623" s="2">
        <v>1543</v>
      </c>
      <c r="L1623">
        <v>1</v>
      </c>
      <c r="M1623" t="str">
        <f t="shared" si="25"/>
        <v>After 2020</v>
      </c>
    </row>
    <row r="1624" spans="1:13" hidden="1">
      <c r="A1624" t="s">
        <v>2416</v>
      </c>
      <c r="B1624" t="s">
        <v>2416</v>
      </c>
      <c r="C1624" s="1">
        <v>43945</v>
      </c>
      <c r="D1624" s="2">
        <v>789962731</v>
      </c>
      <c r="E1624" s="2">
        <v>176635</v>
      </c>
      <c r="F1624">
        <v>68</v>
      </c>
      <c r="I1624" s="2">
        <v>1077919359</v>
      </c>
      <c r="J1624">
        <v>92</v>
      </c>
      <c r="L1624">
        <v>1</v>
      </c>
      <c r="M1624" t="str">
        <f t="shared" si="25"/>
        <v>2010-2020</v>
      </c>
    </row>
    <row r="1625" spans="1:13" hidden="1">
      <c r="A1625" t="s">
        <v>2417</v>
      </c>
      <c r="B1625" t="s">
        <v>299</v>
      </c>
      <c r="C1625" s="1">
        <v>43987</v>
      </c>
      <c r="D1625" s="2">
        <v>188249146</v>
      </c>
      <c r="E1625" s="2">
        <v>18003</v>
      </c>
      <c r="F1625">
        <v>72</v>
      </c>
      <c r="G1625" s="2">
        <v>47301413</v>
      </c>
      <c r="H1625" s="2">
        <v>809460</v>
      </c>
      <c r="J1625">
        <v>3</v>
      </c>
      <c r="L1625">
        <v>0</v>
      </c>
      <c r="M1625" t="str">
        <f t="shared" si="25"/>
        <v>2010-2020</v>
      </c>
    </row>
    <row r="1626" spans="1:13" hidden="1">
      <c r="A1626" t="s">
        <v>2418</v>
      </c>
      <c r="B1626" t="s">
        <v>502</v>
      </c>
      <c r="C1626" s="1">
        <v>45239</v>
      </c>
      <c r="D1626" s="2">
        <v>139929615</v>
      </c>
      <c r="E1626" s="2">
        <v>11011</v>
      </c>
      <c r="F1626">
        <v>77</v>
      </c>
      <c r="G1626" s="2">
        <v>109357722</v>
      </c>
      <c r="H1626" s="2">
        <v>468447</v>
      </c>
      <c r="J1626">
        <v>8</v>
      </c>
      <c r="L1626">
        <v>1</v>
      </c>
      <c r="M1626" t="str">
        <f t="shared" si="25"/>
        <v>After 2020</v>
      </c>
    </row>
    <row r="1627" spans="1:13">
      <c r="A1627" t="s">
        <v>2419</v>
      </c>
      <c r="B1627" t="s">
        <v>28</v>
      </c>
      <c r="C1627" s="1">
        <v>40301</v>
      </c>
      <c r="D1627" s="2">
        <v>1012914789</v>
      </c>
      <c r="E1627" s="2">
        <v>168108</v>
      </c>
      <c r="F1627">
        <v>74</v>
      </c>
      <c r="G1627" s="2">
        <v>2040135706</v>
      </c>
      <c r="H1627" s="2">
        <v>14876226</v>
      </c>
      <c r="I1627" s="2">
        <v>1528287223</v>
      </c>
      <c r="J1627">
        <v>53</v>
      </c>
      <c r="K1627">
        <v>8</v>
      </c>
      <c r="L1627">
        <v>1</v>
      </c>
      <c r="M1627" t="str">
        <f t="shared" si="25"/>
        <v>2010-2020</v>
      </c>
    </row>
    <row r="1628" spans="1:13" hidden="1">
      <c r="A1628" t="s">
        <v>2420</v>
      </c>
      <c r="B1628" t="s">
        <v>2421</v>
      </c>
      <c r="C1628" s="1">
        <v>45203</v>
      </c>
      <c r="D1628" s="2">
        <v>147487181</v>
      </c>
      <c r="E1628" s="2">
        <v>22912</v>
      </c>
      <c r="G1628" s="2">
        <v>87715392</v>
      </c>
      <c r="H1628" s="2">
        <v>1215752</v>
      </c>
      <c r="J1628">
        <v>3</v>
      </c>
      <c r="L1628">
        <v>0</v>
      </c>
      <c r="M1628" t="str">
        <f t="shared" si="25"/>
        <v>After 2020</v>
      </c>
    </row>
    <row r="1629" spans="1:13" hidden="1">
      <c r="A1629" t="s">
        <v>2422</v>
      </c>
      <c r="B1629" t="s">
        <v>487</v>
      </c>
      <c r="C1629" s="1">
        <v>45373</v>
      </c>
      <c r="D1629" s="2">
        <v>66283950</v>
      </c>
      <c r="E1629">
        <v>13</v>
      </c>
      <c r="J1629">
        <v>1</v>
      </c>
      <c r="L1629">
        <v>0</v>
      </c>
      <c r="M1629" t="str">
        <f t="shared" si="25"/>
        <v>After 2020</v>
      </c>
    </row>
    <row r="1630" spans="1:13">
      <c r="A1630" t="s">
        <v>2423</v>
      </c>
      <c r="B1630" t="s">
        <v>371</v>
      </c>
      <c r="C1630" s="1">
        <v>39814</v>
      </c>
      <c r="D1630" s="2">
        <v>1229109018</v>
      </c>
      <c r="E1630" s="2">
        <v>166904</v>
      </c>
      <c r="F1630">
        <v>77</v>
      </c>
      <c r="G1630" s="2">
        <v>2049116263</v>
      </c>
      <c r="H1630" s="2">
        <v>11229749</v>
      </c>
      <c r="I1630" s="2">
        <v>687368332</v>
      </c>
      <c r="J1630">
        <v>153</v>
      </c>
      <c r="K1630">
        <v>290</v>
      </c>
      <c r="L1630">
        <v>1</v>
      </c>
      <c r="M1630" t="str">
        <f t="shared" si="25"/>
        <v>Before 2010</v>
      </c>
    </row>
    <row r="1631" spans="1:13" hidden="1">
      <c r="A1631" t="s">
        <v>2424</v>
      </c>
      <c r="B1631" t="s">
        <v>626</v>
      </c>
      <c r="C1631" s="1">
        <v>45086</v>
      </c>
      <c r="D1631" s="2">
        <v>130424397</v>
      </c>
      <c r="E1631" s="2">
        <v>22830</v>
      </c>
      <c r="F1631">
        <v>66</v>
      </c>
      <c r="G1631" s="2">
        <v>22399278</v>
      </c>
      <c r="H1631" s="2">
        <v>197819</v>
      </c>
      <c r="I1631" s="2">
        <v>15548348</v>
      </c>
      <c r="J1631">
        <v>37</v>
      </c>
      <c r="L1631">
        <v>0</v>
      </c>
      <c r="M1631" t="str">
        <f t="shared" si="25"/>
        <v>After 2020</v>
      </c>
    </row>
    <row r="1632" spans="1:13" hidden="1">
      <c r="A1632" t="s">
        <v>23</v>
      </c>
      <c r="B1632" t="s">
        <v>24</v>
      </c>
      <c r="C1632" s="1">
        <v>45135</v>
      </c>
      <c r="D1632" s="2">
        <v>2010422639</v>
      </c>
      <c r="E1632">
        <v>7</v>
      </c>
      <c r="L1632">
        <v>0</v>
      </c>
      <c r="M1632" t="str">
        <f t="shared" si="25"/>
        <v>After 2020</v>
      </c>
    </row>
    <row r="1633" spans="1:13" hidden="1">
      <c r="A1633" t="s">
        <v>331</v>
      </c>
      <c r="B1633" t="s">
        <v>200</v>
      </c>
      <c r="C1633" s="1">
        <v>45099</v>
      </c>
      <c r="D1633" s="2">
        <v>266623831</v>
      </c>
      <c r="E1633" s="2">
        <v>21962</v>
      </c>
      <c r="F1633">
        <v>73</v>
      </c>
      <c r="G1633" s="2">
        <v>113286216</v>
      </c>
      <c r="H1633" s="2">
        <v>645754</v>
      </c>
      <c r="I1633" s="2">
        <v>206748849</v>
      </c>
      <c r="J1633">
        <v>26</v>
      </c>
      <c r="L1633">
        <v>1</v>
      </c>
      <c r="M1633" t="str">
        <f t="shared" si="25"/>
        <v>After 2020</v>
      </c>
    </row>
    <row r="1634" spans="1:13" hidden="1">
      <c r="A1634" t="s">
        <v>2425</v>
      </c>
      <c r="B1634" t="s">
        <v>2426</v>
      </c>
      <c r="C1634" s="1">
        <v>44164</v>
      </c>
      <c r="L1634">
        <v>0</v>
      </c>
      <c r="M1634" t="str">
        <f t="shared" si="25"/>
        <v>2010-2020</v>
      </c>
    </row>
    <row r="1635" spans="1:13">
      <c r="A1635" t="s">
        <v>2427</v>
      </c>
      <c r="B1635" t="s">
        <v>849</v>
      </c>
      <c r="C1635" s="1">
        <v>41166</v>
      </c>
      <c r="D1635" s="2">
        <v>1301573727</v>
      </c>
      <c r="E1635" s="2">
        <v>145608</v>
      </c>
      <c r="F1635">
        <v>78</v>
      </c>
      <c r="G1635" s="2">
        <v>1898440657</v>
      </c>
      <c r="H1635" s="2">
        <v>8070655</v>
      </c>
      <c r="I1635" s="2">
        <v>496883852</v>
      </c>
      <c r="J1635">
        <v>135</v>
      </c>
      <c r="K1635">
        <v>203</v>
      </c>
      <c r="L1635">
        <v>0</v>
      </c>
      <c r="M1635" t="str">
        <f t="shared" si="25"/>
        <v>2010-2020</v>
      </c>
    </row>
    <row r="1636" spans="1:13">
      <c r="A1636" t="s">
        <v>2428</v>
      </c>
      <c r="B1636" t="s">
        <v>459</v>
      </c>
      <c r="C1636" s="1">
        <v>44036</v>
      </c>
      <c r="D1636" s="2">
        <v>828608384</v>
      </c>
      <c r="E1636" s="2">
        <v>93376</v>
      </c>
      <c r="F1636">
        <v>64</v>
      </c>
      <c r="G1636" s="2">
        <v>459178965</v>
      </c>
      <c r="H1636" s="2">
        <v>3337302</v>
      </c>
      <c r="I1636" s="2">
        <v>54201520</v>
      </c>
      <c r="J1636">
        <v>179</v>
      </c>
      <c r="K1636">
        <v>2</v>
      </c>
      <c r="L1636">
        <v>0</v>
      </c>
      <c r="M1636" t="str">
        <f t="shared" si="25"/>
        <v>2010-2020</v>
      </c>
    </row>
    <row r="1637" spans="1:13">
      <c r="A1637" t="s">
        <v>2429</v>
      </c>
      <c r="B1637" t="s">
        <v>2430</v>
      </c>
      <c r="C1637" s="1">
        <v>41640</v>
      </c>
      <c r="D1637" s="2">
        <v>724486951</v>
      </c>
      <c r="E1637" s="2">
        <v>89470</v>
      </c>
      <c r="F1637">
        <v>61</v>
      </c>
      <c r="G1637" s="2">
        <v>1253153682</v>
      </c>
      <c r="H1637" s="2">
        <v>6766774</v>
      </c>
      <c r="I1637" s="2">
        <v>155148335</v>
      </c>
      <c r="J1637">
        <v>132</v>
      </c>
      <c r="K1637">
        <v>250</v>
      </c>
      <c r="L1637">
        <v>1</v>
      </c>
      <c r="M1637" t="str">
        <f t="shared" si="25"/>
        <v>2010-2020</v>
      </c>
    </row>
    <row r="1638" spans="1:13">
      <c r="A1638" t="s">
        <v>2431</v>
      </c>
      <c r="B1638" t="s">
        <v>2432</v>
      </c>
      <c r="C1638" s="1">
        <v>42815</v>
      </c>
      <c r="D1638" s="2">
        <v>1305189811</v>
      </c>
      <c r="E1638" s="2">
        <v>259761</v>
      </c>
      <c r="F1638">
        <v>82</v>
      </c>
      <c r="G1638" s="2">
        <v>237610293</v>
      </c>
      <c r="H1638" s="2">
        <v>2556677</v>
      </c>
      <c r="I1638" s="2">
        <v>435331773</v>
      </c>
      <c r="J1638">
        <v>64</v>
      </c>
      <c r="K1638">
        <v>53</v>
      </c>
      <c r="L1638">
        <v>1</v>
      </c>
      <c r="M1638" t="str">
        <f t="shared" si="25"/>
        <v>2010-2020</v>
      </c>
    </row>
    <row r="1639" spans="1:13" hidden="1">
      <c r="A1639" t="s">
        <v>122</v>
      </c>
      <c r="B1639" t="s">
        <v>2433</v>
      </c>
      <c r="C1639" s="1">
        <v>44247</v>
      </c>
      <c r="D1639" s="2">
        <v>3888356417</v>
      </c>
      <c r="L1639">
        <v>0</v>
      </c>
      <c r="M1639" t="str">
        <f t="shared" si="25"/>
        <v>After 2020</v>
      </c>
    </row>
    <row r="1640" spans="1:13" hidden="1">
      <c r="A1640" t="s">
        <v>1467</v>
      </c>
      <c r="B1640" t="s">
        <v>983</v>
      </c>
      <c r="C1640" s="1">
        <v>43022</v>
      </c>
      <c r="D1640" s="2">
        <v>1055558326</v>
      </c>
      <c r="E1640" s="2">
        <v>2893</v>
      </c>
      <c r="L1640">
        <v>0</v>
      </c>
      <c r="M1640" t="str">
        <f t="shared" si="25"/>
        <v>2010-2020</v>
      </c>
    </row>
    <row r="1641" spans="1:13" hidden="1">
      <c r="A1641" t="s">
        <v>2434</v>
      </c>
      <c r="B1641" t="s">
        <v>602</v>
      </c>
      <c r="C1641" s="1">
        <v>45047</v>
      </c>
      <c r="D1641" s="2">
        <v>199378491</v>
      </c>
      <c r="E1641" s="2">
        <v>20550</v>
      </c>
      <c r="F1641">
        <v>66</v>
      </c>
      <c r="G1641" s="2">
        <v>206543945</v>
      </c>
      <c r="H1641" s="2">
        <v>1044649</v>
      </c>
      <c r="I1641" s="2">
        <v>58160087</v>
      </c>
      <c r="J1641">
        <v>14</v>
      </c>
      <c r="L1641">
        <v>1</v>
      </c>
      <c r="M1641" t="str">
        <f t="shared" si="25"/>
        <v>After 2020</v>
      </c>
    </row>
    <row r="1642" spans="1:13" hidden="1">
      <c r="A1642" t="s">
        <v>2435</v>
      </c>
      <c r="B1642" t="s">
        <v>157</v>
      </c>
      <c r="C1642" s="1">
        <v>44720</v>
      </c>
      <c r="D1642" s="2">
        <v>305438624</v>
      </c>
      <c r="E1642" s="2">
        <v>54393</v>
      </c>
      <c r="F1642">
        <v>65</v>
      </c>
      <c r="G1642" s="2">
        <v>320765258</v>
      </c>
      <c r="H1642" s="2">
        <v>3672582</v>
      </c>
      <c r="J1642">
        <v>27</v>
      </c>
      <c r="K1642">
        <v>239</v>
      </c>
      <c r="L1642">
        <v>1</v>
      </c>
      <c r="M1642" t="str">
        <f t="shared" si="25"/>
        <v>After 2020</v>
      </c>
    </row>
    <row r="1643" spans="1:13">
      <c r="A1643" t="s">
        <v>2436</v>
      </c>
      <c r="B1643" t="s">
        <v>2184</v>
      </c>
      <c r="C1643" s="1">
        <v>44232</v>
      </c>
      <c r="D1643" s="2">
        <v>435614687</v>
      </c>
      <c r="E1643" s="2">
        <v>40685</v>
      </c>
      <c r="F1643">
        <v>67</v>
      </c>
      <c r="G1643" s="2">
        <v>611062174</v>
      </c>
      <c r="H1643" s="2">
        <v>2855683</v>
      </c>
      <c r="I1643" s="2">
        <v>823863869</v>
      </c>
      <c r="J1643">
        <v>28</v>
      </c>
      <c r="K1643">
        <v>285</v>
      </c>
      <c r="L1643">
        <v>0</v>
      </c>
      <c r="M1643" t="str">
        <f t="shared" si="25"/>
        <v>After 2020</v>
      </c>
    </row>
    <row r="1644" spans="1:13">
      <c r="A1644" t="s">
        <v>2437</v>
      </c>
      <c r="B1644" t="s">
        <v>123</v>
      </c>
      <c r="C1644" s="1">
        <v>42741</v>
      </c>
      <c r="D1644" s="2">
        <v>1340305216</v>
      </c>
      <c r="E1644" s="2">
        <v>128114</v>
      </c>
      <c r="F1644">
        <v>73</v>
      </c>
      <c r="G1644" s="2">
        <v>1019821605</v>
      </c>
      <c r="H1644" s="2">
        <v>5831559</v>
      </c>
      <c r="I1644" s="2">
        <v>545871218</v>
      </c>
      <c r="J1644">
        <v>157</v>
      </c>
      <c r="K1644">
        <v>38</v>
      </c>
      <c r="L1644">
        <v>0</v>
      </c>
      <c r="M1644" t="str">
        <f t="shared" si="25"/>
        <v>2010-2020</v>
      </c>
    </row>
    <row r="1645" spans="1:13" hidden="1">
      <c r="A1645" t="s">
        <v>2438</v>
      </c>
      <c r="B1645" t="s">
        <v>2439</v>
      </c>
      <c r="C1645" s="1">
        <v>45065</v>
      </c>
      <c r="D1645" s="2">
        <v>44345269</v>
      </c>
      <c r="E1645" s="2">
        <v>4379</v>
      </c>
      <c r="F1645">
        <v>58</v>
      </c>
      <c r="G1645" s="2">
        <v>48432004</v>
      </c>
      <c r="H1645" s="2">
        <v>731621</v>
      </c>
      <c r="I1645" s="2">
        <v>1940568487</v>
      </c>
      <c r="J1645">
        <v>6</v>
      </c>
      <c r="L1645">
        <v>0</v>
      </c>
      <c r="M1645" t="str">
        <f t="shared" si="25"/>
        <v>After 2020</v>
      </c>
    </row>
    <row r="1646" spans="1:13" hidden="1">
      <c r="A1646" t="s">
        <v>2440</v>
      </c>
      <c r="B1646" t="s">
        <v>619</v>
      </c>
      <c r="C1646" s="1">
        <v>42907</v>
      </c>
      <c r="D1646" s="2">
        <v>133601746</v>
      </c>
      <c r="E1646" s="2">
        <v>12341</v>
      </c>
      <c r="G1646" s="2">
        <v>2051112014</v>
      </c>
      <c r="H1646" s="2">
        <v>11775388</v>
      </c>
      <c r="I1646" s="2">
        <v>54075721</v>
      </c>
      <c r="L1646">
        <v>0</v>
      </c>
      <c r="M1646" t="str">
        <f t="shared" si="25"/>
        <v>2010-2020</v>
      </c>
    </row>
    <row r="1647" spans="1:13" hidden="1">
      <c r="A1647" t="s">
        <v>2441</v>
      </c>
      <c r="B1647" t="s">
        <v>598</v>
      </c>
      <c r="C1647" s="1">
        <v>45198</v>
      </c>
      <c r="D1647" s="2">
        <v>84848838</v>
      </c>
      <c r="E1647" s="2">
        <v>10799</v>
      </c>
      <c r="F1647">
        <v>71</v>
      </c>
      <c r="G1647" s="2">
        <v>154044793</v>
      </c>
      <c r="H1647" s="2">
        <v>1201477</v>
      </c>
      <c r="I1647" s="2">
        <v>13039709</v>
      </c>
      <c r="J1647">
        <v>9</v>
      </c>
      <c r="L1647">
        <v>0</v>
      </c>
      <c r="M1647" t="str">
        <f t="shared" si="25"/>
        <v>After 2020</v>
      </c>
    </row>
    <row r="1648" spans="1:13">
      <c r="A1648" t="s">
        <v>2442</v>
      </c>
      <c r="B1648" t="s">
        <v>1217</v>
      </c>
      <c r="C1648" s="1">
        <v>44482</v>
      </c>
      <c r="D1648" s="2">
        <v>270580897</v>
      </c>
      <c r="E1648" s="2">
        <v>31024</v>
      </c>
      <c r="F1648">
        <v>60</v>
      </c>
      <c r="G1648" s="2">
        <v>222946420</v>
      </c>
      <c r="H1648" s="2">
        <v>3345792</v>
      </c>
      <c r="I1648" s="2">
        <v>2850944965</v>
      </c>
      <c r="J1648">
        <v>49</v>
      </c>
      <c r="K1648">
        <v>456</v>
      </c>
      <c r="L1648">
        <v>0</v>
      </c>
      <c r="M1648" t="str">
        <f t="shared" si="25"/>
        <v>After 2020</v>
      </c>
    </row>
    <row r="1649" spans="1:13" hidden="1">
      <c r="A1649" t="s">
        <v>2443</v>
      </c>
      <c r="B1649" t="s">
        <v>2444</v>
      </c>
      <c r="C1649" s="1">
        <v>44791</v>
      </c>
      <c r="D1649" s="2">
        <v>187646063</v>
      </c>
      <c r="E1649" s="2">
        <v>31155</v>
      </c>
      <c r="F1649">
        <v>58</v>
      </c>
      <c r="G1649" s="2">
        <v>45203843</v>
      </c>
      <c r="H1649" s="2">
        <v>375214</v>
      </c>
      <c r="I1649" s="2">
        <v>5157109090</v>
      </c>
      <c r="J1649">
        <v>13</v>
      </c>
      <c r="L1649">
        <v>1</v>
      </c>
      <c r="M1649" t="str">
        <f t="shared" si="25"/>
        <v>After 2020</v>
      </c>
    </row>
    <row r="1650" spans="1:13" hidden="1">
      <c r="A1650" t="s">
        <v>2445</v>
      </c>
      <c r="B1650" t="s">
        <v>2446</v>
      </c>
      <c r="C1650" s="1">
        <v>45450</v>
      </c>
      <c r="I1650" s="2">
        <v>53345786</v>
      </c>
      <c r="L1650">
        <v>0</v>
      </c>
      <c r="M1650" t="str">
        <f t="shared" si="25"/>
        <v>After 2020</v>
      </c>
    </row>
    <row r="1651" spans="1:13">
      <c r="A1651" t="s">
        <v>2447</v>
      </c>
      <c r="B1651" t="s">
        <v>2448</v>
      </c>
      <c r="C1651" s="1">
        <v>42202</v>
      </c>
      <c r="D1651" s="2">
        <v>1644031037</v>
      </c>
      <c r="E1651" s="2">
        <v>368350</v>
      </c>
      <c r="F1651">
        <v>79</v>
      </c>
      <c r="G1651" s="2">
        <v>339312309</v>
      </c>
      <c r="H1651" s="2">
        <v>3947876</v>
      </c>
      <c r="I1651" s="2">
        <v>947781800</v>
      </c>
      <c r="J1651">
        <v>244</v>
      </c>
      <c r="K1651">
        <v>98</v>
      </c>
      <c r="L1651">
        <v>1</v>
      </c>
      <c r="M1651" t="str">
        <f t="shared" si="25"/>
        <v>2010-2020</v>
      </c>
    </row>
    <row r="1652" spans="1:13">
      <c r="A1652" t="s">
        <v>2449</v>
      </c>
      <c r="B1652" t="s">
        <v>1036</v>
      </c>
      <c r="C1652" s="1">
        <v>44728</v>
      </c>
      <c r="D1652" s="2">
        <v>340527913</v>
      </c>
      <c r="E1652" s="2">
        <v>50714</v>
      </c>
      <c r="F1652">
        <v>67</v>
      </c>
      <c r="G1652" s="2">
        <v>317404552</v>
      </c>
      <c r="H1652" s="2">
        <v>2187888</v>
      </c>
      <c r="I1652" s="2">
        <v>24715</v>
      </c>
      <c r="J1652">
        <v>30</v>
      </c>
      <c r="K1652">
        <v>172</v>
      </c>
      <c r="L1652">
        <v>0</v>
      </c>
      <c r="M1652" t="str">
        <f t="shared" si="25"/>
        <v>After 2020</v>
      </c>
    </row>
    <row r="1653" spans="1:13">
      <c r="A1653" t="s">
        <v>2450</v>
      </c>
      <c r="B1653" t="s">
        <v>2451</v>
      </c>
      <c r="C1653" s="1">
        <v>44785</v>
      </c>
      <c r="D1653" s="2">
        <v>233212999</v>
      </c>
      <c r="E1653" s="2">
        <v>26694</v>
      </c>
      <c r="F1653">
        <v>71</v>
      </c>
      <c r="G1653" s="2">
        <v>8294089</v>
      </c>
      <c r="H1653" s="2">
        <v>77421</v>
      </c>
      <c r="I1653" s="2">
        <v>228973807</v>
      </c>
      <c r="J1653">
        <v>29</v>
      </c>
      <c r="K1653">
        <v>332</v>
      </c>
      <c r="L1653">
        <v>0</v>
      </c>
      <c r="M1653" t="str">
        <f t="shared" si="25"/>
        <v>After 2020</v>
      </c>
    </row>
    <row r="1654" spans="1:13" hidden="1">
      <c r="A1654" t="s">
        <v>2452</v>
      </c>
      <c r="B1654" t="s">
        <v>2453</v>
      </c>
      <c r="C1654" s="1">
        <v>45350</v>
      </c>
      <c r="D1654" s="2">
        <v>45351290</v>
      </c>
      <c r="E1654" s="2">
        <v>6008</v>
      </c>
      <c r="F1654">
        <v>68</v>
      </c>
      <c r="G1654" s="2">
        <v>28519638</v>
      </c>
      <c r="H1654" s="2">
        <v>657396</v>
      </c>
      <c r="I1654" s="2">
        <v>53668207</v>
      </c>
      <c r="J1654">
        <v>1</v>
      </c>
      <c r="L1654">
        <v>1</v>
      </c>
      <c r="M1654" t="str">
        <f t="shared" si="25"/>
        <v>After 2020</v>
      </c>
    </row>
    <row r="1655" spans="1:13">
      <c r="A1655" t="s">
        <v>2454</v>
      </c>
      <c r="B1655" t="s">
        <v>291</v>
      </c>
      <c r="C1655" s="1">
        <v>45176</v>
      </c>
      <c r="D1655" s="2">
        <v>97991117</v>
      </c>
      <c r="E1655" s="2">
        <v>14129</v>
      </c>
      <c r="F1655">
        <v>1</v>
      </c>
      <c r="G1655" s="2">
        <v>58751482</v>
      </c>
      <c r="H1655" s="2">
        <v>828387</v>
      </c>
      <c r="I1655" s="2">
        <v>956028339</v>
      </c>
      <c r="J1655">
        <v>1</v>
      </c>
      <c r="K1655">
        <v>544</v>
      </c>
      <c r="L1655">
        <v>1</v>
      </c>
      <c r="M1655" t="str">
        <f t="shared" si="25"/>
        <v>After 2020</v>
      </c>
    </row>
    <row r="1656" spans="1:13">
      <c r="A1656" t="s">
        <v>2455</v>
      </c>
      <c r="B1656" t="s">
        <v>2456</v>
      </c>
      <c r="C1656" s="1">
        <v>44463</v>
      </c>
      <c r="D1656" s="2">
        <v>487150595</v>
      </c>
      <c r="E1656" s="2">
        <v>92690</v>
      </c>
      <c r="F1656">
        <v>67</v>
      </c>
      <c r="G1656" s="2">
        <v>59271967</v>
      </c>
      <c r="H1656" s="2">
        <v>654987</v>
      </c>
      <c r="I1656" s="2">
        <v>1449246797</v>
      </c>
      <c r="J1656">
        <v>98</v>
      </c>
      <c r="K1656" s="2">
        <v>2238</v>
      </c>
      <c r="L1656">
        <v>0</v>
      </c>
      <c r="M1656" t="str">
        <f t="shared" si="25"/>
        <v>After 2020</v>
      </c>
    </row>
    <row r="1657" spans="1:13" hidden="1">
      <c r="A1657" t="s">
        <v>2457</v>
      </c>
      <c r="B1657" t="s">
        <v>2458</v>
      </c>
      <c r="C1657" s="1">
        <v>45101</v>
      </c>
      <c r="D1657" s="2">
        <v>179452105</v>
      </c>
      <c r="E1657" s="2">
        <v>24120</v>
      </c>
      <c r="F1657">
        <v>72</v>
      </c>
      <c r="G1657" s="2">
        <v>153398992</v>
      </c>
      <c r="H1657" s="2">
        <v>769149</v>
      </c>
      <c r="I1657" s="2">
        <v>85169761</v>
      </c>
      <c r="J1657">
        <v>8</v>
      </c>
      <c r="L1657">
        <v>1</v>
      </c>
      <c r="M1657" t="str">
        <f t="shared" si="25"/>
        <v>After 2020</v>
      </c>
    </row>
    <row r="1658" spans="1:13">
      <c r="A1658" t="s">
        <v>2459</v>
      </c>
      <c r="B1658" t="s">
        <v>66</v>
      </c>
      <c r="C1658" s="1">
        <v>43812</v>
      </c>
      <c r="D1658" s="2">
        <v>912294568</v>
      </c>
      <c r="E1658" s="2">
        <v>117541</v>
      </c>
      <c r="F1658">
        <v>70</v>
      </c>
      <c r="G1658" s="2">
        <v>332759355</v>
      </c>
      <c r="H1658" s="2">
        <v>5731914</v>
      </c>
      <c r="I1658" s="2">
        <v>1255165488</v>
      </c>
      <c r="J1658">
        <v>122</v>
      </c>
      <c r="K1658">
        <v>186</v>
      </c>
      <c r="L1658">
        <v>0</v>
      </c>
      <c r="M1658" t="str">
        <f t="shared" si="25"/>
        <v>2010-2020</v>
      </c>
    </row>
    <row r="1659" spans="1:13">
      <c r="A1659" t="s">
        <v>2460</v>
      </c>
      <c r="B1659" t="s">
        <v>66</v>
      </c>
      <c r="C1659" s="1">
        <v>44701</v>
      </c>
      <c r="D1659" s="2">
        <v>408265830</v>
      </c>
      <c r="E1659" s="2">
        <v>54371</v>
      </c>
      <c r="F1659">
        <v>67</v>
      </c>
      <c r="G1659" s="2">
        <v>72040046</v>
      </c>
      <c r="H1659" s="2">
        <v>1550840</v>
      </c>
      <c r="I1659" s="2">
        <v>5701956773</v>
      </c>
      <c r="J1659">
        <v>52</v>
      </c>
      <c r="K1659">
        <v>593</v>
      </c>
      <c r="L1659">
        <v>0</v>
      </c>
      <c r="M1659" t="str">
        <f t="shared" si="25"/>
        <v>After 2020</v>
      </c>
    </row>
    <row r="1660" spans="1:13" hidden="1">
      <c r="A1660" t="s">
        <v>2461</v>
      </c>
      <c r="B1660" t="s">
        <v>2272</v>
      </c>
      <c r="C1660" s="1">
        <v>45182</v>
      </c>
      <c r="D1660" s="2">
        <v>111532358</v>
      </c>
      <c r="E1660" s="2">
        <v>18238</v>
      </c>
      <c r="G1660" s="2">
        <v>36721724</v>
      </c>
      <c r="H1660" s="2">
        <v>574669</v>
      </c>
      <c r="I1660" s="2">
        <v>509110017</v>
      </c>
      <c r="J1660">
        <v>1</v>
      </c>
      <c r="L1660">
        <v>1</v>
      </c>
      <c r="M1660" t="str">
        <f t="shared" si="25"/>
        <v>After 2020</v>
      </c>
    </row>
    <row r="1661" spans="1:13" hidden="1">
      <c r="A1661" t="s">
        <v>2462</v>
      </c>
      <c r="B1661" t="s">
        <v>2463</v>
      </c>
      <c r="C1661" s="1">
        <v>45275</v>
      </c>
      <c r="D1661" s="2">
        <v>68270779</v>
      </c>
      <c r="E1661" s="2">
        <v>10126</v>
      </c>
      <c r="G1661" s="2">
        <v>60442554</v>
      </c>
      <c r="H1661" s="2">
        <v>1288140</v>
      </c>
      <c r="K1661">
        <v>163</v>
      </c>
      <c r="L1661">
        <v>1</v>
      </c>
      <c r="M1661" t="str">
        <f t="shared" si="25"/>
        <v>After 2020</v>
      </c>
    </row>
    <row r="1662" spans="1:13">
      <c r="A1662" t="s">
        <v>2464</v>
      </c>
      <c r="B1662" t="s">
        <v>112</v>
      </c>
      <c r="C1662" s="1">
        <v>45128</v>
      </c>
      <c r="D1662" s="2">
        <v>860026452</v>
      </c>
      <c r="E1662" s="2">
        <v>19743</v>
      </c>
      <c r="F1662">
        <v>67</v>
      </c>
      <c r="G1662" s="2">
        <v>51745</v>
      </c>
      <c r="H1662">
        <v>411</v>
      </c>
      <c r="I1662" s="2">
        <v>2419873472</v>
      </c>
      <c r="J1662">
        <v>216</v>
      </c>
      <c r="K1662">
        <v>542</v>
      </c>
      <c r="L1662">
        <v>0</v>
      </c>
      <c r="M1662" t="str">
        <f t="shared" si="25"/>
        <v>After 2020</v>
      </c>
    </row>
    <row r="1663" spans="1:13" hidden="1">
      <c r="A1663" t="s">
        <v>2465</v>
      </c>
      <c r="B1663" t="s">
        <v>974</v>
      </c>
      <c r="C1663" s="1">
        <v>45351</v>
      </c>
      <c r="D1663" s="2">
        <v>62158125</v>
      </c>
      <c r="E1663" s="2">
        <v>3309</v>
      </c>
      <c r="F1663">
        <v>74</v>
      </c>
      <c r="G1663" s="2">
        <v>64349649</v>
      </c>
      <c r="H1663" s="2">
        <v>383762</v>
      </c>
      <c r="I1663" s="2">
        <v>2815102</v>
      </c>
      <c r="J1663">
        <v>26</v>
      </c>
      <c r="L1663">
        <v>1</v>
      </c>
      <c r="M1663" t="str">
        <f t="shared" si="25"/>
        <v>After 2020</v>
      </c>
    </row>
    <row r="1664" spans="1:13">
      <c r="A1664" t="s">
        <v>2466</v>
      </c>
      <c r="B1664" t="s">
        <v>2467</v>
      </c>
      <c r="C1664" s="1">
        <v>45134</v>
      </c>
      <c r="D1664" s="2">
        <v>170200281</v>
      </c>
      <c r="E1664" s="2">
        <v>40016</v>
      </c>
      <c r="F1664">
        <v>2</v>
      </c>
      <c r="G1664" s="2">
        <v>17596251</v>
      </c>
      <c r="H1664" s="2">
        <v>205907</v>
      </c>
      <c r="I1664" s="2">
        <v>55041835</v>
      </c>
      <c r="J1664">
        <v>17</v>
      </c>
      <c r="K1664">
        <v>18</v>
      </c>
      <c r="L1664">
        <v>0</v>
      </c>
      <c r="M1664" t="str">
        <f t="shared" si="25"/>
        <v>After 2020</v>
      </c>
    </row>
    <row r="1665" spans="1:13" hidden="1">
      <c r="A1665" t="s">
        <v>1786</v>
      </c>
      <c r="B1665" t="s">
        <v>2468</v>
      </c>
      <c r="C1665" s="1">
        <v>44634</v>
      </c>
      <c r="D1665" s="2">
        <v>3508819</v>
      </c>
      <c r="E1665" s="2">
        <v>1705</v>
      </c>
      <c r="F1665">
        <v>32</v>
      </c>
      <c r="G1665" s="2">
        <v>706350</v>
      </c>
      <c r="H1665" s="2">
        <v>13028</v>
      </c>
      <c r="I1665" s="2">
        <v>1851606354</v>
      </c>
      <c r="L1665">
        <v>0</v>
      </c>
      <c r="M1665" t="str">
        <f t="shared" si="25"/>
        <v>After 2020</v>
      </c>
    </row>
    <row r="1666" spans="1:13">
      <c r="A1666" t="s">
        <v>2469</v>
      </c>
      <c r="B1666" t="s">
        <v>2470</v>
      </c>
      <c r="C1666" s="1">
        <v>41348</v>
      </c>
      <c r="D1666" s="2">
        <v>919756735</v>
      </c>
      <c r="E1666" s="2">
        <v>144657</v>
      </c>
      <c r="F1666">
        <v>69</v>
      </c>
      <c r="G1666" s="2">
        <v>1690599219</v>
      </c>
      <c r="H1666" s="2">
        <v>10605192</v>
      </c>
      <c r="I1666" s="2">
        <v>685728708</v>
      </c>
      <c r="J1666">
        <v>81</v>
      </c>
      <c r="K1666">
        <v>203</v>
      </c>
      <c r="L1666">
        <v>0</v>
      </c>
      <c r="M1666" t="str">
        <f t="shared" si="25"/>
        <v>2010-2020</v>
      </c>
    </row>
    <row r="1667" spans="1:13" hidden="1">
      <c r="A1667" t="s">
        <v>2471</v>
      </c>
      <c r="B1667" t="s">
        <v>2472</v>
      </c>
      <c r="C1667" s="1">
        <v>45401</v>
      </c>
      <c r="D1667" s="2">
        <v>22216368</v>
      </c>
      <c r="E1667" s="2">
        <v>3237</v>
      </c>
      <c r="G1667" s="2">
        <v>27419109</v>
      </c>
      <c r="H1667" s="2">
        <v>295367</v>
      </c>
      <c r="J1667">
        <v>3</v>
      </c>
      <c r="L1667">
        <v>1</v>
      </c>
      <c r="M1667" t="str">
        <f t="shared" ref="M1667:M1730" si="26">IF(YEAR(C1667)&lt;2010,"Before 2010",IF(YEAR(C1667)&lt;=2020,"2010-2020","After 2020"))</f>
        <v>After 2020</v>
      </c>
    </row>
    <row r="1668" spans="1:13" hidden="1">
      <c r="A1668" t="s">
        <v>27</v>
      </c>
      <c r="B1668" t="s">
        <v>28</v>
      </c>
      <c r="C1668" s="1">
        <v>45442</v>
      </c>
      <c r="D1668" s="2">
        <v>99968146</v>
      </c>
      <c r="E1668">
        <v>193</v>
      </c>
      <c r="J1668">
        <v>159</v>
      </c>
      <c r="L1668">
        <v>0</v>
      </c>
      <c r="M1668" t="str">
        <f t="shared" si="26"/>
        <v>After 2020</v>
      </c>
    </row>
    <row r="1669" spans="1:13">
      <c r="A1669" t="s">
        <v>2473</v>
      </c>
      <c r="B1669" t="s">
        <v>2474</v>
      </c>
      <c r="C1669" s="1">
        <v>44063</v>
      </c>
      <c r="D1669" s="2">
        <v>337709342</v>
      </c>
      <c r="E1669" s="2">
        <v>124013</v>
      </c>
      <c r="F1669">
        <v>61</v>
      </c>
      <c r="G1669" s="2">
        <v>163572008</v>
      </c>
      <c r="H1669" s="2">
        <v>2101899</v>
      </c>
      <c r="I1669" s="2">
        <v>14079058</v>
      </c>
      <c r="J1669">
        <v>22</v>
      </c>
      <c r="K1669">
        <v>3</v>
      </c>
      <c r="L1669">
        <v>1</v>
      </c>
      <c r="M1669" t="str">
        <f t="shared" si="26"/>
        <v>2010-2020</v>
      </c>
    </row>
    <row r="1670" spans="1:13">
      <c r="A1670" t="s">
        <v>2475</v>
      </c>
      <c r="B1670" t="s">
        <v>1887</v>
      </c>
      <c r="C1670" s="1">
        <v>44946</v>
      </c>
      <c r="D1670" s="2">
        <v>190497384</v>
      </c>
      <c r="E1670" s="2">
        <v>30799</v>
      </c>
      <c r="F1670">
        <v>70</v>
      </c>
      <c r="G1670" s="2">
        <v>83093258</v>
      </c>
      <c r="H1670" s="2">
        <v>911630</v>
      </c>
      <c r="I1670" s="2">
        <v>1315525703</v>
      </c>
      <c r="J1670">
        <v>30</v>
      </c>
      <c r="K1670" s="2">
        <v>2669</v>
      </c>
      <c r="L1670">
        <v>1</v>
      </c>
      <c r="M1670" t="str">
        <f t="shared" si="26"/>
        <v>After 2020</v>
      </c>
    </row>
    <row r="1671" spans="1:13" hidden="1">
      <c r="A1671" t="s">
        <v>2476</v>
      </c>
      <c r="B1671" t="s">
        <v>2477</v>
      </c>
      <c r="C1671" s="1">
        <v>45002</v>
      </c>
      <c r="D1671" s="2">
        <v>24935</v>
      </c>
      <c r="E1671">
        <v>6</v>
      </c>
      <c r="F1671">
        <v>1</v>
      </c>
      <c r="G1671" s="2">
        <v>397949774</v>
      </c>
      <c r="H1671" s="2">
        <v>447609</v>
      </c>
      <c r="L1671">
        <v>0</v>
      </c>
      <c r="M1671" t="str">
        <f t="shared" si="26"/>
        <v>After 2020</v>
      </c>
    </row>
    <row r="1672" spans="1:13">
      <c r="A1672" t="s">
        <v>2478</v>
      </c>
      <c r="B1672" t="s">
        <v>2479</v>
      </c>
      <c r="C1672" s="1">
        <v>43553</v>
      </c>
      <c r="D1672" s="2">
        <v>367775924</v>
      </c>
      <c r="E1672" s="2">
        <v>62389</v>
      </c>
      <c r="F1672">
        <v>62</v>
      </c>
      <c r="G1672" s="2">
        <v>312724268</v>
      </c>
      <c r="H1672" s="2">
        <v>1989112</v>
      </c>
      <c r="I1672" s="2">
        <v>1035596168</v>
      </c>
      <c r="J1672">
        <v>44</v>
      </c>
      <c r="K1672">
        <v>154</v>
      </c>
      <c r="L1672">
        <v>0</v>
      </c>
      <c r="M1672" t="str">
        <f t="shared" si="26"/>
        <v>2010-2020</v>
      </c>
    </row>
    <row r="1673" spans="1:13" hidden="1">
      <c r="A1673" t="s">
        <v>2480</v>
      </c>
      <c r="B1673" t="s">
        <v>2481</v>
      </c>
      <c r="C1673" s="1">
        <v>45029</v>
      </c>
      <c r="D1673" s="2">
        <v>96328058</v>
      </c>
      <c r="E1673" s="2">
        <v>7107</v>
      </c>
      <c r="F1673">
        <v>63</v>
      </c>
      <c r="G1673" s="2">
        <v>293231902</v>
      </c>
      <c r="H1673" s="2">
        <v>904116</v>
      </c>
      <c r="I1673" s="2">
        <v>59451815</v>
      </c>
      <c r="J1673">
        <v>16</v>
      </c>
      <c r="L1673">
        <v>0</v>
      </c>
      <c r="M1673" t="str">
        <f t="shared" si="26"/>
        <v>After 2020</v>
      </c>
    </row>
    <row r="1674" spans="1:13" hidden="1">
      <c r="A1674" t="s">
        <v>2482</v>
      </c>
      <c r="B1674" t="s">
        <v>860</v>
      </c>
      <c r="C1674" s="1">
        <v>45421</v>
      </c>
      <c r="D1674" s="2">
        <v>21644029</v>
      </c>
      <c r="E1674" s="2">
        <v>1925</v>
      </c>
      <c r="F1674">
        <v>79</v>
      </c>
      <c r="G1674" s="2">
        <v>10463067</v>
      </c>
      <c r="H1674" s="2">
        <v>429765</v>
      </c>
      <c r="J1674">
        <v>24</v>
      </c>
      <c r="K1674">
        <v>145</v>
      </c>
      <c r="L1674">
        <v>1</v>
      </c>
      <c r="M1674" t="str">
        <f t="shared" si="26"/>
        <v>After 2020</v>
      </c>
    </row>
    <row r="1675" spans="1:13" hidden="1">
      <c r="A1675" t="s">
        <v>2483</v>
      </c>
      <c r="B1675" t="s">
        <v>2484</v>
      </c>
      <c r="C1675" s="1">
        <v>44777</v>
      </c>
      <c r="E1675">
        <v>1</v>
      </c>
      <c r="G1675" s="2">
        <v>592714623</v>
      </c>
      <c r="H1675" s="2">
        <v>1064537</v>
      </c>
      <c r="L1675">
        <v>0</v>
      </c>
      <c r="M1675" t="str">
        <f t="shared" si="26"/>
        <v>After 2020</v>
      </c>
    </row>
    <row r="1676" spans="1:13" hidden="1">
      <c r="A1676" t="s">
        <v>2485</v>
      </c>
      <c r="B1676" t="s">
        <v>2486</v>
      </c>
      <c r="C1676" s="1">
        <v>45317</v>
      </c>
      <c r="D1676" s="2">
        <v>50652672</v>
      </c>
      <c r="E1676" s="2">
        <v>5098</v>
      </c>
      <c r="F1676">
        <v>72</v>
      </c>
      <c r="G1676" s="2">
        <v>82330184</v>
      </c>
      <c r="H1676" s="2">
        <v>425441</v>
      </c>
      <c r="J1676">
        <v>3</v>
      </c>
      <c r="L1676">
        <v>1</v>
      </c>
      <c r="M1676" t="str">
        <f t="shared" si="26"/>
        <v>After 2020</v>
      </c>
    </row>
    <row r="1677" spans="1:13">
      <c r="A1677" t="s">
        <v>2487</v>
      </c>
      <c r="B1677" t="s">
        <v>2488</v>
      </c>
      <c r="C1677" s="1">
        <v>44869</v>
      </c>
      <c r="D1677" s="2">
        <v>149095636</v>
      </c>
      <c r="E1677" s="2">
        <v>85011</v>
      </c>
      <c r="F1677">
        <v>73</v>
      </c>
      <c r="G1677" s="2">
        <v>21554535</v>
      </c>
      <c r="H1677" s="2">
        <v>197879</v>
      </c>
      <c r="I1677" s="2">
        <v>120828235</v>
      </c>
      <c r="J1677">
        <v>33</v>
      </c>
      <c r="K1677">
        <v>7</v>
      </c>
      <c r="L1677">
        <v>0</v>
      </c>
      <c r="M1677" t="str">
        <f t="shared" si="26"/>
        <v>After 2020</v>
      </c>
    </row>
    <row r="1678" spans="1:13">
      <c r="A1678" t="s">
        <v>1236</v>
      </c>
      <c r="B1678" t="s">
        <v>1055</v>
      </c>
      <c r="C1678" s="1">
        <v>42370</v>
      </c>
      <c r="D1678" s="2">
        <v>738909649</v>
      </c>
      <c r="E1678" s="2">
        <v>98916</v>
      </c>
      <c r="F1678">
        <v>70</v>
      </c>
      <c r="G1678" s="2">
        <v>1695861663</v>
      </c>
      <c r="H1678" s="2">
        <v>15412305</v>
      </c>
      <c r="I1678" s="2">
        <v>388592360</v>
      </c>
      <c r="J1678">
        <v>43</v>
      </c>
      <c r="K1678">
        <v>83</v>
      </c>
      <c r="L1678">
        <v>0</v>
      </c>
      <c r="M1678" t="str">
        <f t="shared" si="26"/>
        <v>2010-2020</v>
      </c>
    </row>
    <row r="1679" spans="1:13">
      <c r="A1679" t="s">
        <v>2489</v>
      </c>
      <c r="B1679" t="s">
        <v>167</v>
      </c>
      <c r="C1679" s="1">
        <v>44623</v>
      </c>
      <c r="D1679" s="2">
        <v>300668168</v>
      </c>
      <c r="E1679" s="2">
        <v>114589</v>
      </c>
      <c r="F1679">
        <v>67</v>
      </c>
      <c r="G1679" s="2">
        <v>77123844</v>
      </c>
      <c r="H1679" s="2">
        <v>796822</v>
      </c>
      <c r="I1679" s="2">
        <v>669672487</v>
      </c>
      <c r="J1679">
        <v>31</v>
      </c>
      <c r="K1679">
        <v>67</v>
      </c>
      <c r="L1679">
        <v>1</v>
      </c>
      <c r="M1679" t="str">
        <f t="shared" si="26"/>
        <v>After 2020</v>
      </c>
    </row>
    <row r="1680" spans="1:13">
      <c r="A1680" t="s">
        <v>2490</v>
      </c>
      <c r="B1680" t="s">
        <v>252</v>
      </c>
      <c r="C1680" s="1">
        <v>43336</v>
      </c>
      <c r="D1680" s="2">
        <v>458842811</v>
      </c>
      <c r="E1680" s="2">
        <v>26775</v>
      </c>
      <c r="F1680">
        <v>65</v>
      </c>
      <c r="G1680" s="2">
        <v>1476805343</v>
      </c>
      <c r="H1680" s="2">
        <v>24898525</v>
      </c>
      <c r="I1680" s="2">
        <v>664328364</v>
      </c>
      <c r="J1680">
        <v>11</v>
      </c>
      <c r="K1680">
        <v>9</v>
      </c>
      <c r="L1680">
        <v>0</v>
      </c>
      <c r="M1680" t="str">
        <f t="shared" si="26"/>
        <v>2010-2020</v>
      </c>
    </row>
    <row r="1681" spans="1:13">
      <c r="A1681" t="s">
        <v>2491</v>
      </c>
      <c r="B1681" t="s">
        <v>141</v>
      </c>
      <c r="C1681" s="1">
        <v>42712</v>
      </c>
      <c r="D1681" s="2">
        <v>507652985</v>
      </c>
      <c r="E1681" s="2">
        <v>55811</v>
      </c>
      <c r="F1681">
        <v>67</v>
      </c>
      <c r="G1681" s="2">
        <v>1585447114</v>
      </c>
      <c r="H1681" s="2">
        <v>9703825</v>
      </c>
      <c r="I1681" s="2">
        <v>85135882</v>
      </c>
      <c r="J1681">
        <v>46</v>
      </c>
      <c r="K1681">
        <v>23</v>
      </c>
      <c r="L1681">
        <v>1</v>
      </c>
      <c r="M1681" t="str">
        <f t="shared" si="26"/>
        <v>2010-2020</v>
      </c>
    </row>
    <row r="1682" spans="1:13" hidden="1">
      <c r="A1682" t="s">
        <v>2492</v>
      </c>
      <c r="B1682" t="s">
        <v>2493</v>
      </c>
      <c r="C1682" s="1">
        <v>45429</v>
      </c>
      <c r="D1682" s="2">
        <v>8857839</v>
      </c>
      <c r="E1682" s="2">
        <v>2138</v>
      </c>
      <c r="F1682">
        <v>68</v>
      </c>
      <c r="G1682" s="2">
        <v>1031347</v>
      </c>
      <c r="H1682" s="2">
        <v>27737</v>
      </c>
      <c r="J1682">
        <v>6</v>
      </c>
      <c r="K1682">
        <v>30</v>
      </c>
      <c r="L1682">
        <v>1</v>
      </c>
      <c r="M1682" t="str">
        <f t="shared" si="26"/>
        <v>After 2020</v>
      </c>
    </row>
    <row r="1683" spans="1:13" hidden="1">
      <c r="A1683" t="s">
        <v>2494</v>
      </c>
      <c r="B1683" t="s">
        <v>2495</v>
      </c>
      <c r="C1683" s="1">
        <v>45114</v>
      </c>
      <c r="D1683" s="2">
        <v>173018759</v>
      </c>
      <c r="E1683" s="2">
        <v>22899</v>
      </c>
      <c r="F1683">
        <v>69</v>
      </c>
      <c r="G1683" s="2">
        <v>135234952</v>
      </c>
      <c r="H1683" s="2">
        <v>601338</v>
      </c>
      <c r="I1683" s="2">
        <v>471119326</v>
      </c>
      <c r="J1683">
        <v>27</v>
      </c>
      <c r="L1683">
        <v>0</v>
      </c>
      <c r="M1683" t="str">
        <f t="shared" si="26"/>
        <v>After 2020</v>
      </c>
    </row>
    <row r="1684" spans="1:13" hidden="1">
      <c r="A1684" t="s">
        <v>2496</v>
      </c>
      <c r="B1684" t="s">
        <v>2497</v>
      </c>
      <c r="C1684" s="1">
        <v>44919</v>
      </c>
      <c r="D1684" s="2">
        <v>5408464</v>
      </c>
      <c r="E1684" s="2">
        <v>2127</v>
      </c>
      <c r="F1684">
        <v>39</v>
      </c>
      <c r="G1684" s="2">
        <v>434324985</v>
      </c>
      <c r="H1684" s="2">
        <v>1056913</v>
      </c>
      <c r="I1684" s="2">
        <v>5623037</v>
      </c>
      <c r="J1684">
        <v>2</v>
      </c>
      <c r="L1684">
        <v>0</v>
      </c>
      <c r="M1684" t="str">
        <f t="shared" si="26"/>
        <v>After 2020</v>
      </c>
    </row>
    <row r="1685" spans="1:13">
      <c r="A1685" t="s">
        <v>2498</v>
      </c>
      <c r="B1685" t="s">
        <v>1913</v>
      </c>
      <c r="C1685" s="1">
        <v>44028</v>
      </c>
      <c r="D1685" s="2">
        <v>544564903</v>
      </c>
      <c r="E1685" s="2">
        <v>155782</v>
      </c>
      <c r="F1685">
        <v>63</v>
      </c>
      <c r="G1685" s="2">
        <v>96900581</v>
      </c>
      <c r="H1685" s="2">
        <v>863485</v>
      </c>
      <c r="I1685" s="2">
        <v>482158138</v>
      </c>
      <c r="J1685">
        <v>81</v>
      </c>
      <c r="K1685">
        <v>6</v>
      </c>
      <c r="L1685">
        <v>1</v>
      </c>
      <c r="M1685" t="str">
        <f t="shared" si="26"/>
        <v>2010-2020</v>
      </c>
    </row>
    <row r="1686" spans="1:13" hidden="1">
      <c r="A1686" t="s">
        <v>2499</v>
      </c>
      <c r="B1686" t="s">
        <v>2500</v>
      </c>
      <c r="C1686" s="1">
        <v>45031</v>
      </c>
      <c r="D1686" s="2">
        <v>138403252</v>
      </c>
      <c r="E1686" s="2">
        <v>46111</v>
      </c>
      <c r="F1686">
        <v>65</v>
      </c>
      <c r="G1686" s="2">
        <v>64556961</v>
      </c>
      <c r="H1686" s="2">
        <v>972951</v>
      </c>
      <c r="I1686" s="2">
        <v>1386456</v>
      </c>
      <c r="J1686">
        <v>14</v>
      </c>
      <c r="L1686">
        <v>0</v>
      </c>
      <c r="M1686" t="str">
        <f t="shared" si="26"/>
        <v>After 2020</v>
      </c>
    </row>
    <row r="1687" spans="1:13" hidden="1">
      <c r="A1687" t="s">
        <v>2501</v>
      </c>
      <c r="B1687" t="s">
        <v>2502</v>
      </c>
      <c r="C1687" s="1">
        <v>45225</v>
      </c>
      <c r="D1687" s="2">
        <v>89292592</v>
      </c>
      <c r="E1687" s="2">
        <v>13834</v>
      </c>
      <c r="G1687" s="2">
        <v>5210629</v>
      </c>
      <c r="H1687" s="2">
        <v>158479</v>
      </c>
      <c r="I1687" s="2">
        <v>2697574937</v>
      </c>
      <c r="J1687">
        <v>18</v>
      </c>
      <c r="K1687">
        <v>192</v>
      </c>
      <c r="L1687">
        <v>0</v>
      </c>
      <c r="M1687" t="str">
        <f t="shared" si="26"/>
        <v>After 2020</v>
      </c>
    </row>
    <row r="1688" spans="1:13">
      <c r="A1688" t="s">
        <v>2503</v>
      </c>
      <c r="B1688" t="s">
        <v>47</v>
      </c>
      <c r="C1688" s="1">
        <v>42713</v>
      </c>
      <c r="D1688" s="2">
        <v>1638216382</v>
      </c>
      <c r="E1688" s="2">
        <v>181604</v>
      </c>
      <c r="F1688">
        <v>72</v>
      </c>
      <c r="G1688" s="2">
        <v>560326863</v>
      </c>
      <c r="H1688" s="2">
        <v>3997742</v>
      </c>
      <c r="I1688" s="2">
        <v>103512905</v>
      </c>
      <c r="J1688">
        <v>63</v>
      </c>
      <c r="K1688">
        <v>28</v>
      </c>
      <c r="L1688">
        <v>1</v>
      </c>
      <c r="M1688" t="str">
        <f t="shared" si="26"/>
        <v>2010-2020</v>
      </c>
    </row>
    <row r="1689" spans="1:13" hidden="1">
      <c r="A1689" t="s">
        <v>2205</v>
      </c>
      <c r="B1689" t="s">
        <v>127</v>
      </c>
      <c r="C1689" s="1">
        <v>45079</v>
      </c>
      <c r="D1689" s="2">
        <v>812954133</v>
      </c>
      <c r="E1689" s="2">
        <v>8642</v>
      </c>
      <c r="F1689">
        <v>54</v>
      </c>
      <c r="G1689" s="2">
        <v>456926</v>
      </c>
      <c r="H1689" s="2">
        <v>5152</v>
      </c>
      <c r="J1689">
        <v>26</v>
      </c>
      <c r="K1689">
        <v>20</v>
      </c>
      <c r="L1689">
        <v>0</v>
      </c>
      <c r="M1689" t="str">
        <f t="shared" si="26"/>
        <v>After 2020</v>
      </c>
    </row>
    <row r="1690" spans="1:13" hidden="1">
      <c r="A1690" t="s">
        <v>2504</v>
      </c>
      <c r="B1690" t="s">
        <v>2505</v>
      </c>
      <c r="C1690" s="1">
        <v>44839</v>
      </c>
      <c r="D1690" s="2">
        <v>2035613</v>
      </c>
      <c r="E1690">
        <v>824</v>
      </c>
      <c r="F1690">
        <v>40</v>
      </c>
      <c r="G1690" s="2">
        <v>244170</v>
      </c>
      <c r="H1690" s="2">
        <v>4609</v>
      </c>
      <c r="I1690" s="2">
        <v>582307619</v>
      </c>
      <c r="L1690">
        <v>0</v>
      </c>
      <c r="M1690" t="str">
        <f t="shared" si="26"/>
        <v>After 2020</v>
      </c>
    </row>
    <row r="1691" spans="1:13">
      <c r="A1691" t="s">
        <v>2506</v>
      </c>
      <c r="B1691" t="s">
        <v>285</v>
      </c>
      <c r="C1691" s="1">
        <v>44197</v>
      </c>
      <c r="D1691" s="2">
        <v>689413808</v>
      </c>
      <c r="E1691" s="2">
        <v>86677</v>
      </c>
      <c r="F1691">
        <v>63</v>
      </c>
      <c r="G1691" s="2">
        <v>181790359</v>
      </c>
      <c r="H1691" s="2">
        <v>3269385</v>
      </c>
      <c r="I1691" s="2">
        <v>618582288</v>
      </c>
      <c r="J1691">
        <v>171</v>
      </c>
      <c r="K1691">
        <v>119</v>
      </c>
      <c r="L1691">
        <v>0</v>
      </c>
      <c r="M1691" t="str">
        <f t="shared" si="26"/>
        <v>After 2020</v>
      </c>
    </row>
    <row r="1692" spans="1:13">
      <c r="A1692" t="s">
        <v>2507</v>
      </c>
      <c r="B1692" t="s">
        <v>2508</v>
      </c>
      <c r="C1692" s="1">
        <v>44722</v>
      </c>
      <c r="D1692" s="2">
        <v>262402978</v>
      </c>
      <c r="E1692" s="2">
        <v>61547</v>
      </c>
      <c r="F1692">
        <v>59</v>
      </c>
      <c r="G1692" s="2">
        <v>68754110</v>
      </c>
      <c r="H1692" s="2">
        <v>1120053</v>
      </c>
      <c r="I1692" s="2">
        <v>2904979024</v>
      </c>
      <c r="J1692">
        <v>28</v>
      </c>
      <c r="K1692" s="2">
        <v>1480</v>
      </c>
      <c r="L1692">
        <v>0</v>
      </c>
      <c r="M1692" t="str">
        <f t="shared" si="26"/>
        <v>After 2020</v>
      </c>
    </row>
    <row r="1693" spans="1:13">
      <c r="A1693" t="s">
        <v>2509</v>
      </c>
      <c r="B1693" t="s">
        <v>978</v>
      </c>
      <c r="C1693" s="1">
        <v>44134</v>
      </c>
      <c r="D1693" s="2">
        <v>726266033</v>
      </c>
      <c r="E1693" s="2">
        <v>118990</v>
      </c>
      <c r="F1693">
        <v>64</v>
      </c>
      <c r="G1693" s="2">
        <v>133061832</v>
      </c>
      <c r="H1693" s="2">
        <v>962971</v>
      </c>
      <c r="I1693" s="2">
        <v>68206557</v>
      </c>
      <c r="J1693">
        <v>209</v>
      </c>
      <c r="K1693">
        <v>40</v>
      </c>
      <c r="L1693">
        <v>0</v>
      </c>
      <c r="M1693" t="str">
        <f t="shared" si="26"/>
        <v>2010-2020</v>
      </c>
    </row>
    <row r="1694" spans="1:13">
      <c r="A1694" t="s">
        <v>2510</v>
      </c>
      <c r="B1694" t="s">
        <v>2511</v>
      </c>
      <c r="C1694" s="1">
        <v>44897</v>
      </c>
      <c r="D1694" s="2">
        <v>137020536</v>
      </c>
      <c r="E1694" s="2">
        <v>70768</v>
      </c>
      <c r="F1694">
        <v>64</v>
      </c>
      <c r="G1694" s="2">
        <v>5945884</v>
      </c>
      <c r="H1694" s="2">
        <v>87803</v>
      </c>
      <c r="I1694" s="2">
        <v>279149939</v>
      </c>
      <c r="J1694">
        <v>26</v>
      </c>
      <c r="K1694">
        <v>674</v>
      </c>
      <c r="L1694">
        <v>0</v>
      </c>
      <c r="M1694" t="str">
        <f t="shared" si="26"/>
        <v>After 2020</v>
      </c>
    </row>
    <row r="1695" spans="1:13" hidden="1">
      <c r="A1695" t="s">
        <v>2512</v>
      </c>
      <c r="B1695" t="s">
        <v>723</v>
      </c>
      <c r="C1695" s="1">
        <v>40867</v>
      </c>
      <c r="D1695" s="2">
        <v>1780761618</v>
      </c>
      <c r="E1695" s="2">
        <v>306987</v>
      </c>
      <c r="F1695">
        <v>79</v>
      </c>
      <c r="G1695" s="2">
        <v>1147006109</v>
      </c>
      <c r="H1695" s="2">
        <v>12229051</v>
      </c>
      <c r="I1695" s="2">
        <v>3389115337</v>
      </c>
      <c r="J1695">
        <v>89</v>
      </c>
      <c r="L1695">
        <v>0</v>
      </c>
      <c r="M1695" t="str">
        <f t="shared" si="26"/>
        <v>2010-2020</v>
      </c>
    </row>
    <row r="1696" spans="1:13">
      <c r="A1696" t="s">
        <v>2513</v>
      </c>
      <c r="B1696" t="s">
        <v>245</v>
      </c>
      <c r="C1696" s="1">
        <v>44321</v>
      </c>
      <c r="D1696" s="2">
        <v>567806129</v>
      </c>
      <c r="E1696" s="2">
        <v>80089</v>
      </c>
      <c r="F1696">
        <v>70</v>
      </c>
      <c r="G1696" s="2">
        <v>99979912</v>
      </c>
      <c r="H1696" s="2">
        <v>892974</v>
      </c>
      <c r="I1696" s="2">
        <v>228981445</v>
      </c>
      <c r="J1696">
        <v>116</v>
      </c>
      <c r="K1696">
        <v>4</v>
      </c>
      <c r="L1696">
        <v>0</v>
      </c>
      <c r="M1696" t="str">
        <f t="shared" si="26"/>
        <v>After 2020</v>
      </c>
    </row>
    <row r="1697" spans="1:13" hidden="1">
      <c r="A1697" t="s">
        <v>379</v>
      </c>
      <c r="B1697" t="s">
        <v>380</v>
      </c>
      <c r="C1697" s="1">
        <v>44756</v>
      </c>
      <c r="D1697" s="2">
        <v>1087201670</v>
      </c>
      <c r="E1697" s="2">
        <v>2735</v>
      </c>
      <c r="F1697">
        <v>45</v>
      </c>
      <c r="G1697" s="2">
        <v>34379313</v>
      </c>
      <c r="H1697" s="2">
        <v>714505</v>
      </c>
      <c r="J1697">
        <v>28</v>
      </c>
      <c r="L1697">
        <v>0</v>
      </c>
      <c r="M1697" t="str">
        <f t="shared" si="26"/>
        <v>After 2020</v>
      </c>
    </row>
    <row r="1698" spans="1:13" hidden="1">
      <c r="A1698" t="s">
        <v>2514</v>
      </c>
      <c r="B1698" t="s">
        <v>2409</v>
      </c>
      <c r="C1698" s="1">
        <v>43642</v>
      </c>
      <c r="D1698" s="2">
        <v>756657781</v>
      </c>
      <c r="E1698" s="2">
        <v>127019</v>
      </c>
      <c r="F1698">
        <v>66</v>
      </c>
      <c r="G1698" s="2">
        <v>252239122</v>
      </c>
      <c r="H1698" s="2">
        <v>4118228</v>
      </c>
      <c r="I1698" s="2">
        <v>184317399</v>
      </c>
      <c r="J1698">
        <v>56</v>
      </c>
      <c r="L1698">
        <v>0</v>
      </c>
      <c r="M1698" t="str">
        <f t="shared" si="26"/>
        <v>2010-2020</v>
      </c>
    </row>
    <row r="1699" spans="1:13" hidden="1">
      <c r="A1699" t="s">
        <v>2515</v>
      </c>
      <c r="B1699" t="s">
        <v>2516</v>
      </c>
      <c r="C1699" s="1">
        <v>44217</v>
      </c>
      <c r="D1699" s="2">
        <v>443854471</v>
      </c>
      <c r="E1699" s="2">
        <v>114482</v>
      </c>
      <c r="F1699">
        <v>63</v>
      </c>
      <c r="G1699" s="2">
        <v>17782969</v>
      </c>
      <c r="H1699" s="2">
        <v>173156</v>
      </c>
      <c r="I1699" s="2">
        <v>1840016706</v>
      </c>
      <c r="J1699">
        <v>90</v>
      </c>
      <c r="L1699">
        <v>0</v>
      </c>
      <c r="M1699" t="str">
        <f t="shared" si="26"/>
        <v>After 2020</v>
      </c>
    </row>
    <row r="1700" spans="1:13">
      <c r="A1700" t="s">
        <v>2517</v>
      </c>
      <c r="B1700" t="s">
        <v>2518</v>
      </c>
      <c r="C1700" s="1">
        <v>43924</v>
      </c>
      <c r="D1700" s="2">
        <v>427998483</v>
      </c>
      <c r="E1700" s="2">
        <v>56978</v>
      </c>
      <c r="F1700">
        <v>63</v>
      </c>
      <c r="G1700" s="2">
        <v>647941340</v>
      </c>
      <c r="H1700" s="2">
        <v>3317927</v>
      </c>
      <c r="I1700" s="2">
        <v>420502302</v>
      </c>
      <c r="J1700">
        <v>37</v>
      </c>
      <c r="K1700">
        <v>7</v>
      </c>
      <c r="L1700">
        <v>0</v>
      </c>
      <c r="M1700" t="str">
        <f t="shared" si="26"/>
        <v>2010-2020</v>
      </c>
    </row>
    <row r="1701" spans="1:13" hidden="1">
      <c r="A1701" t="s">
        <v>2519</v>
      </c>
      <c r="B1701" t="s">
        <v>374</v>
      </c>
      <c r="C1701" s="1">
        <v>45323</v>
      </c>
      <c r="D1701" s="2">
        <v>48408512</v>
      </c>
      <c r="E1701" s="2">
        <v>6447</v>
      </c>
      <c r="F1701">
        <v>76</v>
      </c>
      <c r="G1701" s="2">
        <v>38402953</v>
      </c>
      <c r="H1701" s="2">
        <v>338172</v>
      </c>
      <c r="J1701">
        <v>53</v>
      </c>
      <c r="K1701">
        <v>74</v>
      </c>
      <c r="L1701">
        <v>0</v>
      </c>
      <c r="M1701" t="str">
        <f t="shared" si="26"/>
        <v>After 2020</v>
      </c>
    </row>
    <row r="1702" spans="1:13">
      <c r="A1702" t="s">
        <v>2520</v>
      </c>
      <c r="B1702" t="s">
        <v>583</v>
      </c>
      <c r="C1702" s="1">
        <v>45086</v>
      </c>
      <c r="D1702" s="2">
        <v>157881582</v>
      </c>
      <c r="E1702" s="2">
        <v>23162</v>
      </c>
      <c r="F1702">
        <v>67</v>
      </c>
      <c r="G1702" s="2">
        <v>18883499</v>
      </c>
      <c r="H1702" s="2">
        <v>172138</v>
      </c>
      <c r="I1702" s="2">
        <v>46583057</v>
      </c>
      <c r="J1702">
        <v>37</v>
      </c>
      <c r="K1702">
        <v>14</v>
      </c>
      <c r="L1702">
        <v>1</v>
      </c>
      <c r="M1702" t="str">
        <f t="shared" si="26"/>
        <v>After 2020</v>
      </c>
    </row>
    <row r="1703" spans="1:13">
      <c r="A1703" t="s">
        <v>2521</v>
      </c>
      <c r="B1703" t="s">
        <v>24</v>
      </c>
      <c r="C1703" s="1">
        <v>44162</v>
      </c>
      <c r="D1703" s="2">
        <v>940796773</v>
      </c>
      <c r="E1703" s="2">
        <v>89447</v>
      </c>
      <c r="F1703">
        <v>77</v>
      </c>
      <c r="G1703" s="2">
        <v>165497158</v>
      </c>
      <c r="H1703" s="2">
        <v>1629090</v>
      </c>
      <c r="I1703" s="2">
        <v>3248071918</v>
      </c>
      <c r="J1703">
        <v>74</v>
      </c>
      <c r="K1703">
        <v>331</v>
      </c>
      <c r="L1703">
        <v>0</v>
      </c>
      <c r="M1703" t="str">
        <f t="shared" si="26"/>
        <v>2010-2020</v>
      </c>
    </row>
    <row r="1704" spans="1:13">
      <c r="A1704" t="s">
        <v>2522</v>
      </c>
      <c r="B1704" t="s">
        <v>2362</v>
      </c>
      <c r="C1704" s="1">
        <v>44147</v>
      </c>
      <c r="D1704" s="2">
        <v>261261845</v>
      </c>
      <c r="E1704" s="2">
        <v>25570</v>
      </c>
      <c r="F1704">
        <v>65</v>
      </c>
      <c r="G1704" s="2">
        <v>818241698</v>
      </c>
      <c r="H1704" s="2">
        <v>5238973</v>
      </c>
      <c r="I1704" s="2">
        <v>333893267</v>
      </c>
      <c r="J1704">
        <v>23</v>
      </c>
      <c r="K1704">
        <v>224</v>
      </c>
      <c r="L1704">
        <v>0</v>
      </c>
      <c r="M1704" t="str">
        <f t="shared" si="26"/>
        <v>2010-2020</v>
      </c>
    </row>
    <row r="1705" spans="1:13" hidden="1">
      <c r="A1705" t="s">
        <v>366</v>
      </c>
      <c r="B1705" t="s">
        <v>28</v>
      </c>
      <c r="C1705" s="1">
        <v>42586</v>
      </c>
      <c r="D1705" s="2">
        <v>2146682342</v>
      </c>
      <c r="E1705" s="2">
        <v>7361</v>
      </c>
      <c r="G1705" s="2">
        <v>1938496621</v>
      </c>
      <c r="H1705" s="2">
        <v>13961810</v>
      </c>
      <c r="L1705">
        <v>1</v>
      </c>
      <c r="M1705" t="str">
        <f t="shared" si="26"/>
        <v>2010-2020</v>
      </c>
    </row>
    <row r="1706" spans="1:13" hidden="1">
      <c r="A1706" t="s">
        <v>2523</v>
      </c>
      <c r="B1706" t="s">
        <v>2524</v>
      </c>
      <c r="C1706" s="1">
        <v>44820</v>
      </c>
      <c r="D1706" s="2">
        <v>283002053</v>
      </c>
      <c r="E1706" s="2">
        <v>49454</v>
      </c>
      <c r="F1706">
        <v>73</v>
      </c>
      <c r="G1706" s="2">
        <v>43899935</v>
      </c>
      <c r="H1706" s="2">
        <v>223169</v>
      </c>
      <c r="J1706">
        <v>51</v>
      </c>
      <c r="L1706">
        <v>0</v>
      </c>
      <c r="M1706" t="str">
        <f t="shared" si="26"/>
        <v>After 2020</v>
      </c>
    </row>
    <row r="1707" spans="1:13">
      <c r="A1707" t="s">
        <v>2525</v>
      </c>
      <c r="B1707" t="s">
        <v>2526</v>
      </c>
      <c r="C1707" s="1">
        <v>44981</v>
      </c>
      <c r="D1707" s="2">
        <v>160163510</v>
      </c>
      <c r="E1707" s="2">
        <v>26131</v>
      </c>
      <c r="F1707">
        <v>72</v>
      </c>
      <c r="G1707" s="2">
        <v>104715948</v>
      </c>
      <c r="H1707" s="2">
        <v>1179825</v>
      </c>
      <c r="I1707" s="2">
        <v>32904652</v>
      </c>
      <c r="J1707">
        <v>7</v>
      </c>
      <c r="K1707">
        <v>26</v>
      </c>
      <c r="L1707">
        <v>1</v>
      </c>
      <c r="M1707" t="str">
        <f t="shared" si="26"/>
        <v>After 2020</v>
      </c>
    </row>
    <row r="1708" spans="1:13" hidden="1">
      <c r="A1708" t="s">
        <v>2527</v>
      </c>
      <c r="B1708" t="s">
        <v>626</v>
      </c>
      <c r="C1708" s="1">
        <v>45240</v>
      </c>
      <c r="D1708" s="2">
        <v>51812189</v>
      </c>
      <c r="E1708" s="2">
        <v>8222</v>
      </c>
      <c r="G1708" s="2">
        <v>5532480</v>
      </c>
      <c r="H1708" s="2">
        <v>53236</v>
      </c>
      <c r="J1708">
        <v>15</v>
      </c>
      <c r="L1708">
        <v>0</v>
      </c>
      <c r="M1708" t="str">
        <f t="shared" si="26"/>
        <v>After 2020</v>
      </c>
    </row>
    <row r="1709" spans="1:13">
      <c r="A1709" t="s">
        <v>2528</v>
      </c>
      <c r="B1709" t="s">
        <v>141</v>
      </c>
      <c r="C1709" s="1">
        <v>43790</v>
      </c>
      <c r="D1709" s="2">
        <v>991885224</v>
      </c>
      <c r="E1709" s="2">
        <v>101177</v>
      </c>
      <c r="F1709">
        <v>64</v>
      </c>
      <c r="G1709" s="2">
        <v>600051690</v>
      </c>
      <c r="H1709" s="2">
        <v>4073946</v>
      </c>
      <c r="I1709" s="2">
        <v>76307093</v>
      </c>
      <c r="J1709">
        <v>113</v>
      </c>
      <c r="K1709">
        <v>83</v>
      </c>
      <c r="L1709">
        <v>1</v>
      </c>
      <c r="M1709" t="str">
        <f t="shared" si="26"/>
        <v>2010-2020</v>
      </c>
    </row>
    <row r="1710" spans="1:13" hidden="1">
      <c r="A1710" t="s">
        <v>2529</v>
      </c>
      <c r="B1710" t="s">
        <v>2530</v>
      </c>
      <c r="C1710" s="1">
        <v>43238</v>
      </c>
      <c r="D1710" s="2">
        <v>183453795</v>
      </c>
      <c r="E1710" s="2">
        <v>33551</v>
      </c>
      <c r="F1710">
        <v>57</v>
      </c>
      <c r="G1710" s="2">
        <v>91105840</v>
      </c>
      <c r="H1710" s="2">
        <v>2001688</v>
      </c>
      <c r="I1710" s="2">
        <v>2179127445</v>
      </c>
      <c r="J1710">
        <v>12</v>
      </c>
      <c r="L1710">
        <v>0</v>
      </c>
      <c r="M1710" t="str">
        <f t="shared" si="26"/>
        <v>2010-2020</v>
      </c>
    </row>
    <row r="1711" spans="1:13">
      <c r="A1711" t="s">
        <v>2531</v>
      </c>
      <c r="B1711" t="s">
        <v>1639</v>
      </c>
      <c r="C1711" s="1">
        <v>44844</v>
      </c>
      <c r="D1711" s="2">
        <v>194689239</v>
      </c>
      <c r="E1711" s="2">
        <v>25411</v>
      </c>
      <c r="F1711">
        <v>73</v>
      </c>
      <c r="G1711" s="2">
        <v>46434511</v>
      </c>
      <c r="H1711" s="2">
        <v>241641</v>
      </c>
      <c r="I1711" s="2">
        <v>38821749</v>
      </c>
      <c r="J1711">
        <v>24</v>
      </c>
      <c r="K1711">
        <v>221</v>
      </c>
      <c r="L1711">
        <v>1</v>
      </c>
      <c r="M1711" t="str">
        <f t="shared" si="26"/>
        <v>After 2020</v>
      </c>
    </row>
    <row r="1712" spans="1:13">
      <c r="A1712" t="s">
        <v>2532</v>
      </c>
      <c r="B1712" t="s">
        <v>2533</v>
      </c>
      <c r="C1712" s="1">
        <v>44169</v>
      </c>
      <c r="D1712" s="2">
        <v>396135437</v>
      </c>
      <c r="E1712" s="2">
        <v>124791</v>
      </c>
      <c r="F1712">
        <v>64</v>
      </c>
      <c r="G1712" s="2">
        <v>139825996</v>
      </c>
      <c r="H1712" s="2">
        <v>1201952</v>
      </c>
      <c r="I1712" s="2">
        <v>308612495</v>
      </c>
      <c r="J1712">
        <v>66</v>
      </c>
      <c r="K1712" s="2">
        <v>1167</v>
      </c>
      <c r="L1712">
        <v>1</v>
      </c>
      <c r="M1712" t="str">
        <f t="shared" si="26"/>
        <v>2010-2020</v>
      </c>
    </row>
    <row r="1713" spans="1:13">
      <c r="A1713" t="s">
        <v>2534</v>
      </c>
      <c r="B1713" t="s">
        <v>418</v>
      </c>
      <c r="C1713" s="1">
        <v>43756</v>
      </c>
      <c r="D1713" s="2">
        <v>375589989</v>
      </c>
      <c r="E1713" s="2">
        <v>43389</v>
      </c>
      <c r="F1713">
        <v>59</v>
      </c>
      <c r="G1713" s="2">
        <v>1084403143</v>
      </c>
      <c r="H1713" s="2">
        <v>5320558</v>
      </c>
      <c r="I1713" s="2">
        <v>223724566</v>
      </c>
      <c r="J1713">
        <v>55</v>
      </c>
      <c r="K1713">
        <v>44</v>
      </c>
      <c r="L1713">
        <v>0</v>
      </c>
      <c r="M1713" t="str">
        <f t="shared" si="26"/>
        <v>2010-2020</v>
      </c>
    </row>
    <row r="1714" spans="1:13">
      <c r="A1714" t="s">
        <v>2535</v>
      </c>
      <c r="B1714" t="s">
        <v>221</v>
      </c>
      <c r="C1714" s="1">
        <v>45009</v>
      </c>
      <c r="D1714" s="2">
        <v>188142444</v>
      </c>
      <c r="E1714" s="2">
        <v>23954</v>
      </c>
      <c r="F1714">
        <v>80</v>
      </c>
      <c r="G1714" s="2">
        <v>29221855</v>
      </c>
      <c r="H1714" s="2">
        <v>114628</v>
      </c>
      <c r="I1714" s="2">
        <v>20050268</v>
      </c>
      <c r="J1714">
        <v>26</v>
      </c>
      <c r="K1714">
        <v>2</v>
      </c>
      <c r="L1714">
        <v>0</v>
      </c>
      <c r="M1714" t="str">
        <f t="shared" si="26"/>
        <v>After 2020</v>
      </c>
    </row>
    <row r="1715" spans="1:13" hidden="1">
      <c r="A1715" t="s">
        <v>2536</v>
      </c>
      <c r="B1715" t="s">
        <v>2537</v>
      </c>
      <c r="C1715" s="1">
        <v>44995</v>
      </c>
      <c r="D1715" s="2">
        <v>72880</v>
      </c>
      <c r="E1715">
        <v>3</v>
      </c>
      <c r="F1715">
        <v>6</v>
      </c>
      <c r="G1715" s="2">
        <v>392877223</v>
      </c>
      <c r="H1715" s="2">
        <v>1533010</v>
      </c>
      <c r="L1715">
        <v>0</v>
      </c>
      <c r="M1715" t="str">
        <f t="shared" si="26"/>
        <v>After 2020</v>
      </c>
    </row>
    <row r="1716" spans="1:13" hidden="1">
      <c r="A1716" t="s">
        <v>2538</v>
      </c>
      <c r="B1716" t="s">
        <v>1641</v>
      </c>
      <c r="C1716" s="1">
        <v>45166</v>
      </c>
      <c r="D1716" s="2">
        <v>187631508</v>
      </c>
      <c r="E1716" s="2">
        <v>34204</v>
      </c>
      <c r="G1716" s="2">
        <v>38229618</v>
      </c>
      <c r="H1716" s="2">
        <v>220372</v>
      </c>
      <c r="J1716">
        <v>25</v>
      </c>
      <c r="L1716">
        <v>1</v>
      </c>
      <c r="M1716" t="str">
        <f t="shared" si="26"/>
        <v>After 2020</v>
      </c>
    </row>
    <row r="1717" spans="1:13">
      <c r="A1717" t="s">
        <v>2539</v>
      </c>
      <c r="B1717" t="s">
        <v>637</v>
      </c>
      <c r="C1717" s="1">
        <v>44851</v>
      </c>
      <c r="D1717" s="2">
        <v>458713465</v>
      </c>
      <c r="E1717" s="2">
        <v>29686</v>
      </c>
      <c r="F1717">
        <v>70</v>
      </c>
      <c r="G1717" s="2">
        <v>263768312</v>
      </c>
      <c r="H1717" s="2">
        <v>4141652</v>
      </c>
      <c r="I1717" s="2">
        <v>1964836293</v>
      </c>
      <c r="J1717">
        <v>23</v>
      </c>
      <c r="K1717">
        <v>128</v>
      </c>
      <c r="L1717">
        <v>0</v>
      </c>
      <c r="M1717" t="str">
        <f t="shared" si="26"/>
        <v>After 2020</v>
      </c>
    </row>
    <row r="1718" spans="1:13">
      <c r="A1718" t="s">
        <v>2540</v>
      </c>
      <c r="B1718" t="s">
        <v>2541</v>
      </c>
      <c r="C1718" s="1">
        <v>42419</v>
      </c>
      <c r="D1718" s="2">
        <v>1121107262</v>
      </c>
      <c r="E1718" s="2">
        <v>193004</v>
      </c>
      <c r="F1718">
        <v>75</v>
      </c>
      <c r="G1718" s="2">
        <v>638330025</v>
      </c>
      <c r="H1718" s="2">
        <v>4250668</v>
      </c>
      <c r="I1718" s="2">
        <v>188481260</v>
      </c>
      <c r="J1718">
        <v>305</v>
      </c>
      <c r="K1718">
        <v>163</v>
      </c>
      <c r="L1718">
        <v>0</v>
      </c>
      <c r="M1718" t="str">
        <f t="shared" si="26"/>
        <v>2010-2020</v>
      </c>
    </row>
    <row r="1719" spans="1:13" hidden="1">
      <c r="A1719" t="s">
        <v>2542</v>
      </c>
      <c r="B1719" t="s">
        <v>520</v>
      </c>
      <c r="C1719" s="1">
        <v>45219</v>
      </c>
      <c r="D1719" s="2">
        <v>42151775</v>
      </c>
      <c r="E1719" s="2">
        <v>8420</v>
      </c>
      <c r="G1719" s="2">
        <v>2897871</v>
      </c>
      <c r="H1719" s="2">
        <v>28056</v>
      </c>
      <c r="I1719" s="2">
        <v>4725722</v>
      </c>
      <c r="J1719">
        <v>28</v>
      </c>
      <c r="K1719">
        <v>81</v>
      </c>
      <c r="L1719">
        <v>0</v>
      </c>
      <c r="M1719" t="str">
        <f t="shared" si="26"/>
        <v>After 2020</v>
      </c>
    </row>
    <row r="1720" spans="1:13" hidden="1">
      <c r="A1720" t="s">
        <v>2543</v>
      </c>
      <c r="B1720" t="s">
        <v>2544</v>
      </c>
      <c r="C1720" s="1">
        <v>44476</v>
      </c>
      <c r="D1720" s="2">
        <v>110291303</v>
      </c>
      <c r="E1720" s="2">
        <v>39905</v>
      </c>
      <c r="F1720">
        <v>52</v>
      </c>
      <c r="G1720" s="2">
        <v>32448901</v>
      </c>
      <c r="H1720" s="2">
        <v>528302</v>
      </c>
      <c r="I1720" s="2">
        <v>11216028216</v>
      </c>
      <c r="J1720">
        <v>18</v>
      </c>
      <c r="L1720">
        <v>1</v>
      </c>
      <c r="M1720" t="str">
        <f t="shared" si="26"/>
        <v>After 2020</v>
      </c>
    </row>
    <row r="1721" spans="1:13" hidden="1">
      <c r="A1721" t="s">
        <v>2545</v>
      </c>
      <c r="B1721" t="s">
        <v>295</v>
      </c>
      <c r="C1721" s="1">
        <v>44869</v>
      </c>
      <c r="D1721" s="2">
        <v>273457499</v>
      </c>
      <c r="E1721" s="2">
        <v>90842</v>
      </c>
      <c r="F1721">
        <v>67</v>
      </c>
      <c r="G1721" s="2">
        <v>13496528</v>
      </c>
      <c r="H1721" s="2">
        <v>220640</v>
      </c>
      <c r="I1721" s="2">
        <v>67251486</v>
      </c>
      <c r="J1721">
        <v>15</v>
      </c>
      <c r="L1721">
        <v>1</v>
      </c>
      <c r="M1721" t="str">
        <f t="shared" si="26"/>
        <v>After 2020</v>
      </c>
    </row>
    <row r="1722" spans="1:13" hidden="1">
      <c r="A1722" t="s">
        <v>2546</v>
      </c>
      <c r="B1722" t="s">
        <v>2547</v>
      </c>
      <c r="C1722" s="1">
        <v>45065</v>
      </c>
      <c r="D1722" s="2">
        <v>29424141</v>
      </c>
      <c r="E1722">
        <v>487</v>
      </c>
      <c r="F1722">
        <v>62</v>
      </c>
      <c r="G1722" s="2">
        <v>319210127</v>
      </c>
      <c r="H1722" s="2">
        <v>1342225</v>
      </c>
      <c r="I1722" s="2">
        <v>153512</v>
      </c>
      <c r="L1722">
        <v>0</v>
      </c>
      <c r="M1722" t="str">
        <f t="shared" si="26"/>
        <v>After 2020</v>
      </c>
    </row>
    <row r="1723" spans="1:13" hidden="1">
      <c r="A1723" t="s">
        <v>2548</v>
      </c>
      <c r="B1723" t="s">
        <v>1831</v>
      </c>
      <c r="C1723" s="1">
        <v>45331</v>
      </c>
      <c r="D1723" s="2">
        <v>32849769</v>
      </c>
      <c r="E1723" s="2">
        <v>3617</v>
      </c>
      <c r="G1723" s="2">
        <v>3599335</v>
      </c>
      <c r="H1723" s="2">
        <v>30863</v>
      </c>
      <c r="J1723">
        <v>20</v>
      </c>
      <c r="K1723">
        <v>50</v>
      </c>
      <c r="L1723">
        <v>0</v>
      </c>
      <c r="M1723" t="str">
        <f t="shared" si="26"/>
        <v>After 2020</v>
      </c>
    </row>
    <row r="1724" spans="1:13">
      <c r="A1724" t="s">
        <v>2549</v>
      </c>
      <c r="B1724" t="s">
        <v>2550</v>
      </c>
      <c r="C1724" s="1">
        <v>43490</v>
      </c>
      <c r="D1724" s="2">
        <v>399778802</v>
      </c>
      <c r="E1724" s="2">
        <v>50441</v>
      </c>
      <c r="F1724">
        <v>66</v>
      </c>
      <c r="G1724" s="2">
        <v>271330319</v>
      </c>
      <c r="H1724" s="2">
        <v>1805049</v>
      </c>
      <c r="I1724" s="2">
        <v>109246978</v>
      </c>
      <c r="J1724">
        <v>56</v>
      </c>
      <c r="K1724">
        <v>174</v>
      </c>
      <c r="L1724">
        <v>0</v>
      </c>
      <c r="M1724" t="str">
        <f t="shared" si="26"/>
        <v>2010-2020</v>
      </c>
    </row>
    <row r="1725" spans="1:13" hidden="1">
      <c r="A1725" t="s">
        <v>2551</v>
      </c>
      <c r="B1725" t="s">
        <v>2321</v>
      </c>
      <c r="C1725" s="1">
        <v>43875</v>
      </c>
      <c r="D1725" s="2">
        <v>675082623</v>
      </c>
      <c r="E1725" s="2">
        <v>167727</v>
      </c>
      <c r="F1725">
        <v>73</v>
      </c>
      <c r="G1725" s="2">
        <v>269460083</v>
      </c>
      <c r="H1725" s="2">
        <v>3292285</v>
      </c>
      <c r="I1725" s="2">
        <v>318296586</v>
      </c>
      <c r="J1725">
        <v>14</v>
      </c>
      <c r="L1725">
        <v>1</v>
      </c>
      <c r="M1725" t="str">
        <f t="shared" si="26"/>
        <v>2010-2020</v>
      </c>
    </row>
    <row r="1726" spans="1:13">
      <c r="A1726" t="s">
        <v>2552</v>
      </c>
      <c r="B1726" t="s">
        <v>2553</v>
      </c>
      <c r="C1726" s="1">
        <v>45068</v>
      </c>
      <c r="D1726" s="2">
        <v>263851286</v>
      </c>
      <c r="E1726" s="2">
        <v>17657</v>
      </c>
      <c r="F1726">
        <v>73</v>
      </c>
      <c r="G1726" s="2">
        <v>161653032</v>
      </c>
      <c r="H1726" s="2">
        <v>3135324</v>
      </c>
      <c r="I1726" s="2">
        <v>483823339</v>
      </c>
      <c r="J1726">
        <v>18</v>
      </c>
      <c r="K1726">
        <v>28</v>
      </c>
      <c r="L1726">
        <v>0</v>
      </c>
      <c r="M1726" t="str">
        <f t="shared" si="26"/>
        <v>After 2020</v>
      </c>
    </row>
    <row r="1727" spans="1:13">
      <c r="A1727" t="s">
        <v>2554</v>
      </c>
      <c r="B1727" t="s">
        <v>631</v>
      </c>
      <c r="C1727" s="1">
        <v>43329</v>
      </c>
      <c r="D1727" s="2">
        <v>1036104210</v>
      </c>
      <c r="E1727" s="2">
        <v>125480</v>
      </c>
      <c r="F1727">
        <v>69</v>
      </c>
      <c r="G1727" s="2">
        <v>656926852</v>
      </c>
      <c r="H1727" s="2">
        <v>3449298</v>
      </c>
      <c r="I1727" s="2">
        <v>27087495</v>
      </c>
      <c r="J1727">
        <v>186</v>
      </c>
      <c r="K1727">
        <v>75</v>
      </c>
      <c r="L1727">
        <v>0</v>
      </c>
      <c r="M1727" t="str">
        <f t="shared" si="26"/>
        <v>2010-2020</v>
      </c>
    </row>
    <row r="1728" spans="1:13">
      <c r="A1728" t="s">
        <v>2555</v>
      </c>
      <c r="B1728" t="s">
        <v>849</v>
      </c>
      <c r="C1728" s="1">
        <v>44239</v>
      </c>
      <c r="D1728" s="2">
        <v>439034558</v>
      </c>
      <c r="E1728" s="2">
        <v>90145</v>
      </c>
      <c r="F1728">
        <v>64</v>
      </c>
      <c r="G1728" s="2">
        <v>115408379</v>
      </c>
      <c r="H1728" s="2">
        <v>1213873</v>
      </c>
      <c r="I1728" s="2">
        <v>296160904</v>
      </c>
      <c r="J1728">
        <v>130</v>
      </c>
      <c r="K1728">
        <v>105</v>
      </c>
      <c r="L1728">
        <v>0</v>
      </c>
      <c r="M1728" t="str">
        <f t="shared" si="26"/>
        <v>After 2020</v>
      </c>
    </row>
    <row r="1729" spans="1:13">
      <c r="A1729" t="s">
        <v>2556</v>
      </c>
      <c r="B1729" t="s">
        <v>631</v>
      </c>
      <c r="C1729" s="1">
        <v>40867</v>
      </c>
      <c r="D1729" s="2">
        <v>1128783268</v>
      </c>
      <c r="E1729" s="2">
        <v>167396</v>
      </c>
      <c r="F1729">
        <v>79</v>
      </c>
      <c r="G1729" s="2">
        <v>1029118874</v>
      </c>
      <c r="H1729" s="2">
        <v>6969569</v>
      </c>
      <c r="I1729" s="2">
        <v>763486350</v>
      </c>
      <c r="J1729">
        <v>108</v>
      </c>
      <c r="K1729">
        <v>19</v>
      </c>
      <c r="L1729">
        <v>0</v>
      </c>
      <c r="M1729" t="str">
        <f t="shared" si="26"/>
        <v>2010-2020</v>
      </c>
    </row>
    <row r="1730" spans="1:13" hidden="1">
      <c r="A1730" t="s">
        <v>2557</v>
      </c>
      <c r="B1730" t="s">
        <v>2558</v>
      </c>
      <c r="C1730" s="1">
        <v>44826</v>
      </c>
      <c r="D1730" s="2">
        <v>201638049</v>
      </c>
      <c r="E1730" s="2">
        <v>82200</v>
      </c>
      <c r="F1730">
        <v>62</v>
      </c>
      <c r="G1730" s="2">
        <v>79916576</v>
      </c>
      <c r="H1730" s="2">
        <v>787609</v>
      </c>
      <c r="I1730" s="2">
        <v>128627839</v>
      </c>
      <c r="J1730">
        <v>14</v>
      </c>
      <c r="L1730">
        <v>1</v>
      </c>
      <c r="M1730" t="str">
        <f t="shared" si="26"/>
        <v>After 2020</v>
      </c>
    </row>
    <row r="1731" spans="1:13" hidden="1">
      <c r="A1731" t="s">
        <v>2559</v>
      </c>
      <c r="B1731" t="s">
        <v>2560</v>
      </c>
      <c r="C1731" s="1">
        <v>45274</v>
      </c>
      <c r="D1731" s="2">
        <v>46660424</v>
      </c>
      <c r="E1731" s="2">
        <v>4000</v>
      </c>
      <c r="F1731">
        <v>67</v>
      </c>
      <c r="G1731" s="2">
        <v>102166795</v>
      </c>
      <c r="H1731" s="2">
        <v>528710</v>
      </c>
      <c r="I1731" s="2">
        <v>132683756</v>
      </c>
      <c r="L1731">
        <v>1</v>
      </c>
      <c r="M1731" t="str">
        <f t="shared" ref="M1731:M1794" si="27">IF(YEAR(C1731)&lt;2010,"Before 2010",IF(YEAR(C1731)&lt;=2020,"2010-2020","After 2020"))</f>
        <v>After 2020</v>
      </c>
    </row>
    <row r="1732" spans="1:13" hidden="1">
      <c r="A1732" t="s">
        <v>2561</v>
      </c>
      <c r="B1732" t="s">
        <v>1905</v>
      </c>
      <c r="C1732" s="1">
        <v>44001</v>
      </c>
      <c r="D1732" s="2">
        <v>81182241</v>
      </c>
      <c r="E1732">
        <v>2</v>
      </c>
      <c r="G1732" s="2">
        <v>1138411241</v>
      </c>
      <c r="H1732" s="2">
        <v>9088368</v>
      </c>
      <c r="I1732" s="2">
        <v>408728922</v>
      </c>
      <c r="L1732">
        <v>0</v>
      </c>
      <c r="M1732" t="str">
        <f t="shared" si="27"/>
        <v>2010-2020</v>
      </c>
    </row>
    <row r="1733" spans="1:13" hidden="1">
      <c r="A1733" t="s">
        <v>2562</v>
      </c>
      <c r="B1733" t="s">
        <v>997</v>
      </c>
      <c r="C1733" s="1">
        <v>44634</v>
      </c>
      <c r="D1733" s="2">
        <v>286016224</v>
      </c>
      <c r="E1733" s="2">
        <v>26565</v>
      </c>
      <c r="F1733">
        <v>67</v>
      </c>
      <c r="G1733" s="2">
        <v>496270574</v>
      </c>
      <c r="H1733" s="2">
        <v>4490255</v>
      </c>
      <c r="I1733" s="2">
        <v>232860888</v>
      </c>
      <c r="J1733">
        <v>18</v>
      </c>
      <c r="L1733">
        <v>0</v>
      </c>
      <c r="M1733" t="str">
        <f t="shared" si="27"/>
        <v>After 2020</v>
      </c>
    </row>
    <row r="1734" spans="1:13">
      <c r="A1734" t="s">
        <v>2563</v>
      </c>
      <c r="B1734" t="s">
        <v>301</v>
      </c>
      <c r="C1734" s="1">
        <v>44957</v>
      </c>
      <c r="D1734" s="2">
        <v>173756454</v>
      </c>
      <c r="E1734" s="2">
        <v>32550</v>
      </c>
      <c r="F1734">
        <v>68</v>
      </c>
      <c r="G1734" s="2">
        <v>16950068</v>
      </c>
      <c r="H1734" s="2">
        <v>90473</v>
      </c>
      <c r="I1734" s="2">
        <v>233214006</v>
      </c>
      <c r="J1734">
        <v>18</v>
      </c>
      <c r="K1734">
        <v>32</v>
      </c>
      <c r="L1734">
        <v>0</v>
      </c>
      <c r="M1734" t="str">
        <f t="shared" si="27"/>
        <v>After 2020</v>
      </c>
    </row>
    <row r="1735" spans="1:13" hidden="1">
      <c r="A1735" t="s">
        <v>2564</v>
      </c>
      <c r="B1735" t="s">
        <v>2565</v>
      </c>
      <c r="C1735" s="1">
        <v>45116</v>
      </c>
      <c r="D1735" s="2">
        <v>2274</v>
      </c>
      <c r="G1735" s="2">
        <v>298368336</v>
      </c>
      <c r="H1735" s="2">
        <v>1953917</v>
      </c>
      <c r="L1735">
        <v>0</v>
      </c>
      <c r="M1735" t="str">
        <f t="shared" si="27"/>
        <v>After 2020</v>
      </c>
    </row>
    <row r="1736" spans="1:13">
      <c r="A1736" t="s">
        <v>2566</v>
      </c>
      <c r="B1736" t="s">
        <v>2567</v>
      </c>
      <c r="C1736" s="1">
        <v>45023</v>
      </c>
      <c r="D1736" s="2">
        <v>46431158</v>
      </c>
      <c r="E1736" s="2">
        <v>23723</v>
      </c>
      <c r="F1736">
        <v>60</v>
      </c>
      <c r="G1736" s="2">
        <v>30482110</v>
      </c>
      <c r="H1736" s="2">
        <v>207290</v>
      </c>
      <c r="I1736" s="2">
        <v>254178400</v>
      </c>
      <c r="J1736">
        <v>19</v>
      </c>
      <c r="K1736">
        <v>56</v>
      </c>
      <c r="L1736">
        <v>0</v>
      </c>
      <c r="M1736" t="str">
        <f t="shared" si="27"/>
        <v>After 2020</v>
      </c>
    </row>
    <row r="1737" spans="1:13" hidden="1">
      <c r="A1737" t="s">
        <v>2568</v>
      </c>
      <c r="B1737" t="s">
        <v>2569</v>
      </c>
      <c r="C1737" s="1">
        <v>43070</v>
      </c>
      <c r="D1737" s="2">
        <v>514888081</v>
      </c>
      <c r="E1737" s="2">
        <v>137084</v>
      </c>
      <c r="F1737">
        <v>62</v>
      </c>
      <c r="G1737" s="2">
        <v>71371266</v>
      </c>
      <c r="H1737" s="2">
        <v>619646</v>
      </c>
      <c r="I1737" s="2">
        <v>941134581</v>
      </c>
      <c r="J1737">
        <v>33</v>
      </c>
      <c r="L1737">
        <v>0</v>
      </c>
      <c r="M1737" t="str">
        <f t="shared" si="27"/>
        <v>2010-2020</v>
      </c>
    </row>
    <row r="1738" spans="1:13" hidden="1">
      <c r="A1738" t="s">
        <v>2570</v>
      </c>
      <c r="B1738" t="s">
        <v>2571</v>
      </c>
      <c r="C1738" s="1">
        <v>43931</v>
      </c>
      <c r="D1738" s="2">
        <v>382466683</v>
      </c>
      <c r="E1738" s="2">
        <v>51259</v>
      </c>
      <c r="F1738">
        <v>67</v>
      </c>
      <c r="G1738" s="2">
        <v>187677909</v>
      </c>
      <c r="H1738" s="2">
        <v>917156</v>
      </c>
      <c r="I1738" s="2">
        <v>187911533</v>
      </c>
      <c r="K1738">
        <v>182</v>
      </c>
      <c r="L1738">
        <v>0</v>
      </c>
      <c r="M1738" t="str">
        <f t="shared" si="27"/>
        <v>2010-2020</v>
      </c>
    </row>
    <row r="1739" spans="1:13">
      <c r="A1739" t="s">
        <v>2572</v>
      </c>
      <c r="B1739" t="s">
        <v>697</v>
      </c>
      <c r="C1739" s="1">
        <v>44421</v>
      </c>
      <c r="D1739" s="2">
        <v>233661226</v>
      </c>
      <c r="E1739" s="2">
        <v>44552</v>
      </c>
      <c r="F1739">
        <v>60</v>
      </c>
      <c r="G1739" s="2">
        <v>179525477</v>
      </c>
      <c r="H1739" s="2">
        <v>4809845</v>
      </c>
      <c r="I1739" s="2">
        <v>4078323042</v>
      </c>
      <c r="J1739">
        <v>13</v>
      </c>
      <c r="K1739">
        <v>152</v>
      </c>
      <c r="L1739">
        <v>0</v>
      </c>
      <c r="M1739" t="str">
        <f t="shared" si="27"/>
        <v>After 2020</v>
      </c>
    </row>
    <row r="1740" spans="1:13" hidden="1">
      <c r="A1740" t="s">
        <v>2173</v>
      </c>
      <c r="B1740" t="s">
        <v>2573</v>
      </c>
      <c r="C1740" s="1">
        <v>42769</v>
      </c>
      <c r="D1740" s="2">
        <v>847578246</v>
      </c>
      <c r="E1740" s="2">
        <v>122390</v>
      </c>
      <c r="F1740">
        <v>73</v>
      </c>
      <c r="G1740" s="2">
        <v>817730890</v>
      </c>
      <c r="H1740" s="2">
        <v>8045419</v>
      </c>
      <c r="I1740" s="2">
        <v>1343189392</v>
      </c>
      <c r="J1740">
        <v>20</v>
      </c>
      <c r="L1740">
        <v>0</v>
      </c>
      <c r="M1740" t="str">
        <f t="shared" si="27"/>
        <v>2010-2020</v>
      </c>
    </row>
    <row r="1741" spans="1:13" hidden="1">
      <c r="A1741" t="s">
        <v>2574</v>
      </c>
      <c r="B1741" t="s">
        <v>2575</v>
      </c>
      <c r="C1741" s="1">
        <v>44295</v>
      </c>
      <c r="D1741" s="2">
        <v>174403309</v>
      </c>
      <c r="E1741" s="2">
        <v>32650</v>
      </c>
      <c r="F1741">
        <v>52</v>
      </c>
      <c r="G1741" s="2">
        <v>357542893</v>
      </c>
      <c r="H1741" s="2">
        <v>3589715</v>
      </c>
      <c r="I1741" s="2">
        <v>1360596383</v>
      </c>
      <c r="J1741">
        <v>34</v>
      </c>
      <c r="L1741">
        <v>1</v>
      </c>
      <c r="M1741" t="str">
        <f t="shared" si="27"/>
        <v>After 2020</v>
      </c>
    </row>
    <row r="1742" spans="1:13">
      <c r="A1742" t="s">
        <v>2576</v>
      </c>
      <c r="B1742" t="s">
        <v>51</v>
      </c>
      <c r="C1742" s="1">
        <v>43495</v>
      </c>
      <c r="D1742" s="2">
        <v>1014870547</v>
      </c>
      <c r="E1742" s="2">
        <v>114243</v>
      </c>
      <c r="F1742">
        <v>68</v>
      </c>
      <c r="G1742" s="2">
        <v>574257361</v>
      </c>
      <c r="H1742" s="2">
        <v>9631821</v>
      </c>
      <c r="I1742" s="2">
        <v>1519293340</v>
      </c>
      <c r="J1742">
        <v>122</v>
      </c>
      <c r="K1742">
        <v>111</v>
      </c>
      <c r="L1742">
        <v>0</v>
      </c>
      <c r="M1742" t="str">
        <f t="shared" si="27"/>
        <v>2010-2020</v>
      </c>
    </row>
    <row r="1743" spans="1:13" hidden="1">
      <c r="A1743" t="s">
        <v>2577</v>
      </c>
      <c r="B1743" t="s">
        <v>2578</v>
      </c>
      <c r="C1743" s="1">
        <v>44890</v>
      </c>
      <c r="E1743">
        <v>5</v>
      </c>
      <c r="G1743" s="2">
        <v>492594923</v>
      </c>
      <c r="H1743" s="2">
        <v>1652234</v>
      </c>
      <c r="L1743">
        <v>0</v>
      </c>
      <c r="M1743" t="str">
        <f t="shared" si="27"/>
        <v>After 2020</v>
      </c>
    </row>
    <row r="1744" spans="1:13" hidden="1">
      <c r="A1744" t="s">
        <v>2579</v>
      </c>
      <c r="B1744" t="s">
        <v>1055</v>
      </c>
      <c r="C1744" s="1">
        <v>43826</v>
      </c>
      <c r="D1744" s="2">
        <v>606284550</v>
      </c>
      <c r="E1744" s="2">
        <v>81259</v>
      </c>
      <c r="F1744">
        <v>69</v>
      </c>
      <c r="G1744" s="2">
        <v>410411873</v>
      </c>
      <c r="H1744" s="2">
        <v>5873984</v>
      </c>
      <c r="I1744" s="2">
        <v>967965294</v>
      </c>
      <c r="J1744">
        <v>57</v>
      </c>
      <c r="L1744">
        <v>0</v>
      </c>
      <c r="M1744" t="str">
        <f t="shared" si="27"/>
        <v>2010-2020</v>
      </c>
    </row>
    <row r="1745" spans="1:13" hidden="1">
      <c r="A1745" t="s">
        <v>2580</v>
      </c>
      <c r="B1745" t="s">
        <v>1102</v>
      </c>
      <c r="C1745" s="1">
        <v>45023</v>
      </c>
      <c r="D1745" s="2">
        <v>257812063</v>
      </c>
      <c r="E1745" s="2">
        <v>24070</v>
      </c>
      <c r="F1745">
        <v>69</v>
      </c>
      <c r="G1745" s="2">
        <v>185512305</v>
      </c>
      <c r="H1745" s="2">
        <v>813988</v>
      </c>
      <c r="I1745" s="2">
        <v>80538339</v>
      </c>
      <c r="J1745">
        <v>18</v>
      </c>
      <c r="L1745">
        <v>1</v>
      </c>
      <c r="M1745" t="str">
        <f t="shared" si="27"/>
        <v>After 2020</v>
      </c>
    </row>
    <row r="1746" spans="1:13">
      <c r="A1746" t="s">
        <v>2581</v>
      </c>
      <c r="B1746" t="s">
        <v>2272</v>
      </c>
      <c r="C1746" s="1">
        <v>45000</v>
      </c>
      <c r="D1746" s="2">
        <v>222975417</v>
      </c>
      <c r="E1746" s="2">
        <v>36832</v>
      </c>
      <c r="F1746">
        <v>71</v>
      </c>
      <c r="G1746" s="2">
        <v>45543286</v>
      </c>
      <c r="H1746" s="2">
        <v>773400</v>
      </c>
      <c r="I1746" s="2">
        <v>664995622</v>
      </c>
      <c r="J1746">
        <v>2</v>
      </c>
      <c r="K1746">
        <v>20</v>
      </c>
      <c r="L1746">
        <v>1</v>
      </c>
      <c r="M1746" t="str">
        <f t="shared" si="27"/>
        <v>After 2020</v>
      </c>
    </row>
    <row r="1747" spans="1:13" hidden="1">
      <c r="A1747" t="s">
        <v>2582</v>
      </c>
      <c r="B1747" t="s">
        <v>2583</v>
      </c>
      <c r="C1747" s="1">
        <v>43252</v>
      </c>
      <c r="D1747" s="2">
        <v>367530155</v>
      </c>
      <c r="E1747" s="2">
        <v>32622</v>
      </c>
      <c r="F1747">
        <v>60</v>
      </c>
      <c r="G1747" s="2">
        <v>1521849468</v>
      </c>
      <c r="H1747" s="2">
        <v>5084821</v>
      </c>
      <c r="I1747" s="2">
        <v>160130753</v>
      </c>
      <c r="J1747">
        <v>46</v>
      </c>
      <c r="L1747">
        <v>0</v>
      </c>
      <c r="M1747" t="str">
        <f t="shared" si="27"/>
        <v>2010-2020</v>
      </c>
    </row>
    <row r="1748" spans="1:13" hidden="1">
      <c r="A1748" t="s">
        <v>2584</v>
      </c>
      <c r="B1748" t="s">
        <v>1260</v>
      </c>
      <c r="C1748" s="1">
        <v>45059</v>
      </c>
      <c r="D1748" s="2">
        <v>262504588</v>
      </c>
      <c r="E1748" s="2">
        <v>19709</v>
      </c>
      <c r="F1748">
        <v>72</v>
      </c>
      <c r="G1748" s="2">
        <v>149083889</v>
      </c>
      <c r="H1748" s="2">
        <v>660503</v>
      </c>
      <c r="I1748">
        <v>939</v>
      </c>
      <c r="J1748">
        <v>20</v>
      </c>
      <c r="L1748">
        <v>0</v>
      </c>
      <c r="M1748" t="str">
        <f t="shared" si="27"/>
        <v>After 2020</v>
      </c>
    </row>
    <row r="1749" spans="1:13">
      <c r="A1749" t="s">
        <v>2585</v>
      </c>
      <c r="B1749" t="s">
        <v>449</v>
      </c>
      <c r="C1749" s="1">
        <v>43070</v>
      </c>
      <c r="D1749" s="2">
        <v>706489684</v>
      </c>
      <c r="E1749" s="2">
        <v>169855</v>
      </c>
      <c r="F1749">
        <v>75</v>
      </c>
      <c r="G1749" s="2">
        <v>755884858</v>
      </c>
      <c r="H1749" s="2">
        <v>3716581</v>
      </c>
      <c r="I1749" s="2">
        <v>109113917</v>
      </c>
      <c r="J1749">
        <v>83</v>
      </c>
      <c r="K1749">
        <v>40</v>
      </c>
      <c r="L1749">
        <v>1</v>
      </c>
      <c r="M1749" t="str">
        <f t="shared" si="27"/>
        <v>2010-2020</v>
      </c>
    </row>
    <row r="1750" spans="1:13">
      <c r="A1750" t="s">
        <v>2586</v>
      </c>
      <c r="B1750" t="s">
        <v>619</v>
      </c>
      <c r="C1750" s="1">
        <v>44078</v>
      </c>
      <c r="D1750" s="2">
        <v>584776407</v>
      </c>
      <c r="E1750" s="2">
        <v>77768</v>
      </c>
      <c r="F1750">
        <v>66</v>
      </c>
      <c r="G1750" s="2">
        <v>634293431</v>
      </c>
      <c r="H1750" s="2">
        <v>2732963</v>
      </c>
      <c r="I1750" s="2">
        <v>53047506</v>
      </c>
      <c r="J1750">
        <v>91</v>
      </c>
      <c r="K1750">
        <v>26</v>
      </c>
      <c r="L1750">
        <v>0</v>
      </c>
      <c r="M1750" t="str">
        <f t="shared" si="27"/>
        <v>2010-2020</v>
      </c>
    </row>
    <row r="1751" spans="1:13">
      <c r="A1751" t="s">
        <v>2587</v>
      </c>
      <c r="B1751" t="s">
        <v>2588</v>
      </c>
      <c r="C1751" s="1">
        <v>43609</v>
      </c>
      <c r="D1751" s="2">
        <v>826685494</v>
      </c>
      <c r="E1751" s="2">
        <v>106975</v>
      </c>
      <c r="F1751">
        <v>76</v>
      </c>
      <c r="G1751" s="2">
        <v>353174602</v>
      </c>
      <c r="H1751" s="2">
        <v>2826209</v>
      </c>
      <c r="I1751" s="2">
        <v>4653743727</v>
      </c>
      <c r="J1751">
        <v>39</v>
      </c>
      <c r="K1751">
        <v>9</v>
      </c>
      <c r="L1751">
        <v>0</v>
      </c>
      <c r="M1751" t="str">
        <f t="shared" si="27"/>
        <v>2010-2020</v>
      </c>
    </row>
    <row r="1752" spans="1:13">
      <c r="A1752" t="s">
        <v>2589</v>
      </c>
      <c r="B1752" t="s">
        <v>2590</v>
      </c>
      <c r="C1752" s="1">
        <v>43315</v>
      </c>
      <c r="D1752" s="2">
        <v>502147027</v>
      </c>
      <c r="E1752" s="2">
        <v>69350</v>
      </c>
      <c r="F1752">
        <v>66</v>
      </c>
      <c r="G1752" s="2">
        <v>543883053</v>
      </c>
      <c r="H1752" s="2">
        <v>3896527</v>
      </c>
      <c r="I1752" s="2">
        <v>208386139</v>
      </c>
      <c r="J1752">
        <v>64</v>
      </c>
      <c r="K1752">
        <v>27</v>
      </c>
      <c r="L1752">
        <v>0</v>
      </c>
      <c r="M1752" t="str">
        <f t="shared" si="27"/>
        <v>2010-2020</v>
      </c>
    </row>
    <row r="1753" spans="1:13" hidden="1">
      <c r="A1753" t="s">
        <v>2591</v>
      </c>
      <c r="B1753" t="s">
        <v>2592</v>
      </c>
      <c r="C1753" s="1">
        <v>45105</v>
      </c>
      <c r="D1753" s="2">
        <v>139873877</v>
      </c>
      <c r="E1753" s="2">
        <v>17771</v>
      </c>
      <c r="F1753">
        <v>65</v>
      </c>
      <c r="G1753" s="2">
        <v>177205271</v>
      </c>
      <c r="H1753" s="2">
        <v>711929</v>
      </c>
      <c r="I1753" s="2">
        <v>28960322</v>
      </c>
      <c r="L1753">
        <v>1</v>
      </c>
      <c r="M1753" t="str">
        <f t="shared" si="27"/>
        <v>After 2020</v>
      </c>
    </row>
    <row r="1754" spans="1:13" hidden="1">
      <c r="A1754" t="s">
        <v>2593</v>
      </c>
      <c r="B1754" t="s">
        <v>2594</v>
      </c>
      <c r="C1754" s="1">
        <v>45407</v>
      </c>
      <c r="D1754" s="2">
        <v>62552825</v>
      </c>
      <c r="E1754" s="2">
        <v>3045</v>
      </c>
      <c r="F1754">
        <v>78</v>
      </c>
      <c r="G1754" s="2">
        <v>16726488</v>
      </c>
      <c r="H1754" s="2">
        <v>252529</v>
      </c>
      <c r="J1754">
        <v>4</v>
      </c>
      <c r="L1754">
        <v>0</v>
      </c>
      <c r="M1754" t="str">
        <f t="shared" si="27"/>
        <v>After 2020</v>
      </c>
    </row>
    <row r="1755" spans="1:13" hidden="1">
      <c r="A1755" t="s">
        <v>2595</v>
      </c>
      <c r="B1755" t="s">
        <v>2596</v>
      </c>
      <c r="C1755" s="1">
        <v>45379</v>
      </c>
      <c r="D1755" s="2">
        <v>81942319</v>
      </c>
      <c r="E1755" s="2">
        <v>3580</v>
      </c>
      <c r="F1755">
        <v>84</v>
      </c>
      <c r="G1755" s="2">
        <v>34566311</v>
      </c>
      <c r="H1755" s="2">
        <v>283283</v>
      </c>
      <c r="J1755">
        <v>10</v>
      </c>
      <c r="L1755">
        <v>1</v>
      </c>
      <c r="M1755" t="str">
        <f t="shared" si="27"/>
        <v>After 2020</v>
      </c>
    </row>
    <row r="1756" spans="1:13">
      <c r="A1756" t="s">
        <v>2597</v>
      </c>
      <c r="B1756" t="s">
        <v>141</v>
      </c>
      <c r="C1756" s="1">
        <v>44687</v>
      </c>
      <c r="D1756" s="2">
        <v>591704263</v>
      </c>
      <c r="E1756" s="2">
        <v>65115</v>
      </c>
      <c r="F1756">
        <v>71</v>
      </c>
      <c r="G1756" s="2">
        <v>179847217</v>
      </c>
      <c r="H1756" s="2">
        <v>1213273</v>
      </c>
      <c r="I1756" s="2">
        <v>266064027</v>
      </c>
      <c r="J1756">
        <v>12</v>
      </c>
      <c r="K1756">
        <v>6</v>
      </c>
      <c r="L1756">
        <v>1</v>
      </c>
      <c r="M1756" t="str">
        <f t="shared" si="27"/>
        <v>After 2020</v>
      </c>
    </row>
    <row r="1757" spans="1:13" hidden="1">
      <c r="A1757" t="s">
        <v>2598</v>
      </c>
      <c r="B1757" t="s">
        <v>1678</v>
      </c>
      <c r="C1757" s="1">
        <v>45085</v>
      </c>
      <c r="D1757" s="2">
        <v>238718077</v>
      </c>
      <c r="E1757" s="2">
        <v>44094</v>
      </c>
      <c r="F1757">
        <v>69</v>
      </c>
      <c r="G1757" s="2">
        <v>62158239</v>
      </c>
      <c r="H1757" s="2">
        <v>412554</v>
      </c>
      <c r="J1757">
        <v>39</v>
      </c>
      <c r="L1757">
        <v>1</v>
      </c>
      <c r="M1757" t="str">
        <f t="shared" si="27"/>
        <v>After 2020</v>
      </c>
    </row>
    <row r="1758" spans="1:13" hidden="1">
      <c r="A1758" t="s">
        <v>2599</v>
      </c>
      <c r="B1758" t="s">
        <v>2600</v>
      </c>
      <c r="C1758" s="1">
        <v>44358</v>
      </c>
      <c r="D1758" s="2">
        <v>449513936</v>
      </c>
      <c r="E1758" s="2">
        <v>160789</v>
      </c>
      <c r="F1758">
        <v>72</v>
      </c>
      <c r="G1758" s="2">
        <v>1063180</v>
      </c>
      <c r="H1758" s="2">
        <v>11919</v>
      </c>
      <c r="I1758" s="2">
        <v>1286306864</v>
      </c>
      <c r="J1758">
        <v>78</v>
      </c>
      <c r="L1758">
        <v>0</v>
      </c>
      <c r="M1758" t="str">
        <f t="shared" si="27"/>
        <v>After 2020</v>
      </c>
    </row>
    <row r="1759" spans="1:13">
      <c r="A1759" t="s">
        <v>2601</v>
      </c>
      <c r="B1759" t="s">
        <v>2602</v>
      </c>
      <c r="C1759" s="1">
        <v>44701</v>
      </c>
      <c r="D1759" s="2">
        <v>193680404</v>
      </c>
      <c r="E1759" s="2">
        <v>27754</v>
      </c>
      <c r="F1759">
        <v>65</v>
      </c>
      <c r="G1759" s="2">
        <v>893876</v>
      </c>
      <c r="H1759" s="2">
        <v>7807</v>
      </c>
      <c r="I1759" s="2">
        <v>161738459</v>
      </c>
      <c r="J1759">
        <v>18</v>
      </c>
      <c r="K1759">
        <v>155</v>
      </c>
      <c r="L1759">
        <v>0</v>
      </c>
      <c r="M1759" t="str">
        <f t="shared" si="27"/>
        <v>After 2020</v>
      </c>
    </row>
    <row r="1760" spans="1:13" hidden="1">
      <c r="A1760" t="s">
        <v>2603</v>
      </c>
      <c r="B1760" t="s">
        <v>2604</v>
      </c>
      <c r="C1760" s="1">
        <v>45169</v>
      </c>
      <c r="D1760" s="2">
        <v>28210202</v>
      </c>
      <c r="E1760" s="2">
        <v>5046</v>
      </c>
      <c r="G1760" s="2">
        <v>31452943</v>
      </c>
      <c r="H1760" s="2">
        <v>243718</v>
      </c>
      <c r="I1760" s="2">
        <v>108989284</v>
      </c>
      <c r="J1760">
        <v>1</v>
      </c>
      <c r="K1760">
        <v>5</v>
      </c>
      <c r="L1760">
        <v>0</v>
      </c>
      <c r="M1760" t="str">
        <f t="shared" si="27"/>
        <v>After 2020</v>
      </c>
    </row>
    <row r="1761" spans="1:13" hidden="1">
      <c r="A1761" t="s">
        <v>1582</v>
      </c>
      <c r="B1761" t="s">
        <v>901</v>
      </c>
      <c r="C1761" s="1">
        <v>45308</v>
      </c>
      <c r="D1761" s="2">
        <v>966112900</v>
      </c>
      <c r="E1761">
        <v>1</v>
      </c>
      <c r="L1761">
        <v>0</v>
      </c>
      <c r="M1761" t="str">
        <f t="shared" si="27"/>
        <v>After 2020</v>
      </c>
    </row>
    <row r="1762" spans="1:13">
      <c r="A1762" t="s">
        <v>2605</v>
      </c>
      <c r="B1762" t="s">
        <v>187</v>
      </c>
      <c r="C1762" s="1">
        <v>44547</v>
      </c>
      <c r="D1762" s="2">
        <v>344369903</v>
      </c>
      <c r="E1762" s="2">
        <v>66276</v>
      </c>
      <c r="F1762">
        <v>72</v>
      </c>
      <c r="G1762" s="2">
        <v>208397689</v>
      </c>
      <c r="H1762" s="2">
        <v>1732879</v>
      </c>
      <c r="I1762" s="2">
        <v>130467912</v>
      </c>
      <c r="J1762">
        <v>21</v>
      </c>
      <c r="K1762">
        <v>9</v>
      </c>
      <c r="L1762">
        <v>0</v>
      </c>
      <c r="M1762" t="str">
        <f t="shared" si="27"/>
        <v>After 2020</v>
      </c>
    </row>
    <row r="1763" spans="1:13" hidden="1">
      <c r="A1763" t="s">
        <v>2606</v>
      </c>
      <c r="B1763" t="s">
        <v>2607</v>
      </c>
      <c r="C1763" s="1">
        <v>44076</v>
      </c>
      <c r="D1763" s="2">
        <v>437956158</v>
      </c>
      <c r="E1763" s="2">
        <v>52166</v>
      </c>
      <c r="F1763">
        <v>62</v>
      </c>
      <c r="G1763" s="2">
        <v>536897289</v>
      </c>
      <c r="H1763" s="2">
        <v>3802052</v>
      </c>
      <c r="I1763" s="2">
        <v>1108855948</v>
      </c>
      <c r="J1763">
        <v>62</v>
      </c>
      <c r="L1763">
        <v>0</v>
      </c>
      <c r="M1763" t="str">
        <f t="shared" si="27"/>
        <v>2010-2020</v>
      </c>
    </row>
    <row r="1764" spans="1:13" hidden="1">
      <c r="A1764" t="s">
        <v>2608</v>
      </c>
      <c r="B1764" t="s">
        <v>2609</v>
      </c>
      <c r="C1764" s="1">
        <v>44568</v>
      </c>
      <c r="D1764" s="2">
        <v>62243984</v>
      </c>
      <c r="E1764" s="2">
        <v>26772</v>
      </c>
      <c r="F1764">
        <v>51</v>
      </c>
      <c r="G1764" s="2">
        <v>71389072</v>
      </c>
      <c r="H1764" s="2">
        <v>723554</v>
      </c>
      <c r="I1764" s="2">
        <v>8578793997</v>
      </c>
      <c r="J1764">
        <v>36</v>
      </c>
      <c r="L1764">
        <v>1</v>
      </c>
      <c r="M1764" t="str">
        <f t="shared" si="27"/>
        <v>After 2020</v>
      </c>
    </row>
    <row r="1765" spans="1:13" hidden="1">
      <c r="A1765" t="s">
        <v>2610</v>
      </c>
      <c r="B1765" t="s">
        <v>2611</v>
      </c>
      <c r="C1765" s="1">
        <v>45429</v>
      </c>
      <c r="D1765" s="2">
        <v>88934872</v>
      </c>
      <c r="E1765">
        <v>4</v>
      </c>
      <c r="L1765">
        <v>0</v>
      </c>
      <c r="M1765" t="str">
        <f t="shared" si="27"/>
        <v>After 2020</v>
      </c>
    </row>
    <row r="1766" spans="1:13" hidden="1">
      <c r="A1766" t="s">
        <v>2612</v>
      </c>
      <c r="B1766" t="s">
        <v>2613</v>
      </c>
      <c r="C1766" s="1">
        <v>44991</v>
      </c>
      <c r="E1766">
        <v>1</v>
      </c>
      <c r="F1766">
        <v>4</v>
      </c>
      <c r="G1766" s="2">
        <v>402618045</v>
      </c>
      <c r="H1766" s="2">
        <v>2927219</v>
      </c>
      <c r="L1766">
        <v>0</v>
      </c>
      <c r="M1766" t="str">
        <f t="shared" si="27"/>
        <v>After 2020</v>
      </c>
    </row>
    <row r="1767" spans="1:13" hidden="1">
      <c r="A1767" t="s">
        <v>1552</v>
      </c>
      <c r="B1767" t="s">
        <v>39</v>
      </c>
      <c r="C1767" s="1">
        <v>45204</v>
      </c>
      <c r="D1767" s="2">
        <v>1619109147</v>
      </c>
      <c r="L1767">
        <v>1</v>
      </c>
      <c r="M1767" t="str">
        <f t="shared" si="27"/>
        <v>After 2020</v>
      </c>
    </row>
    <row r="1768" spans="1:13">
      <c r="A1768" t="s">
        <v>2614</v>
      </c>
      <c r="B1768" t="s">
        <v>1062</v>
      </c>
      <c r="C1768" s="1">
        <v>43930</v>
      </c>
      <c r="D1768" s="2">
        <v>527632887</v>
      </c>
      <c r="E1768" s="2">
        <v>84301</v>
      </c>
      <c r="F1768">
        <v>58</v>
      </c>
      <c r="G1768" s="2">
        <v>395922237</v>
      </c>
      <c r="H1768" s="2">
        <v>2379259</v>
      </c>
      <c r="I1768" s="2">
        <v>479492465</v>
      </c>
      <c r="J1768">
        <v>122</v>
      </c>
      <c r="K1768">
        <v>47</v>
      </c>
      <c r="L1768">
        <v>1</v>
      </c>
      <c r="M1768" t="str">
        <f t="shared" si="27"/>
        <v>2010-2020</v>
      </c>
    </row>
    <row r="1769" spans="1:13" hidden="1">
      <c r="A1769" t="s">
        <v>2615</v>
      </c>
      <c r="B1769" t="s">
        <v>2616</v>
      </c>
      <c r="C1769" s="1">
        <v>42209</v>
      </c>
      <c r="D1769" s="2">
        <v>1949596473</v>
      </c>
      <c r="E1769" s="2">
        <v>230708</v>
      </c>
      <c r="F1769">
        <v>76</v>
      </c>
      <c r="G1769" s="2">
        <v>28931814</v>
      </c>
      <c r="H1769" s="2">
        <v>344218</v>
      </c>
      <c r="I1769" s="2">
        <v>141060421</v>
      </c>
      <c r="J1769">
        <v>232</v>
      </c>
      <c r="L1769">
        <v>1</v>
      </c>
      <c r="M1769" t="str">
        <f t="shared" si="27"/>
        <v>2010-2020</v>
      </c>
    </row>
    <row r="1770" spans="1:13" hidden="1">
      <c r="A1770" t="s">
        <v>2617</v>
      </c>
      <c r="B1770" t="s">
        <v>2618</v>
      </c>
      <c r="C1770" s="1">
        <v>44957</v>
      </c>
      <c r="D1770" s="2">
        <v>1332</v>
      </c>
      <c r="E1770">
        <v>5</v>
      </c>
      <c r="G1770" s="2">
        <v>411286256</v>
      </c>
      <c r="H1770" s="2">
        <v>1717893</v>
      </c>
      <c r="L1770">
        <v>0</v>
      </c>
      <c r="M1770" t="str">
        <f t="shared" si="27"/>
        <v>After 2020</v>
      </c>
    </row>
    <row r="1771" spans="1:13">
      <c r="A1771" t="s">
        <v>2619</v>
      </c>
      <c r="B1771" t="s">
        <v>444</v>
      </c>
      <c r="C1771" s="1">
        <v>43539</v>
      </c>
      <c r="D1771" s="2">
        <v>580054244</v>
      </c>
      <c r="E1771" s="2">
        <v>72991</v>
      </c>
      <c r="F1771">
        <v>72</v>
      </c>
      <c r="G1771" s="2">
        <v>994008600</v>
      </c>
      <c r="H1771" s="2">
        <v>4660138</v>
      </c>
      <c r="I1771" s="2">
        <v>404797553</v>
      </c>
      <c r="J1771">
        <v>26</v>
      </c>
      <c r="K1771">
        <v>20</v>
      </c>
      <c r="L1771">
        <v>0</v>
      </c>
      <c r="M1771" t="str">
        <f t="shared" si="27"/>
        <v>2010-2020</v>
      </c>
    </row>
    <row r="1772" spans="1:13">
      <c r="A1772" t="s">
        <v>2620</v>
      </c>
      <c r="B1772" t="s">
        <v>357</v>
      </c>
      <c r="C1772" s="1">
        <v>42977</v>
      </c>
      <c r="D1772" s="2">
        <v>1206495254</v>
      </c>
      <c r="E1772" s="2">
        <v>92624</v>
      </c>
      <c r="F1772">
        <v>68</v>
      </c>
      <c r="G1772" s="2">
        <v>729438090</v>
      </c>
      <c r="H1772" s="2">
        <v>3360678</v>
      </c>
      <c r="I1772" s="2">
        <v>50038733</v>
      </c>
      <c r="J1772">
        <v>131</v>
      </c>
      <c r="K1772">
        <v>130</v>
      </c>
      <c r="L1772">
        <v>0</v>
      </c>
      <c r="M1772" t="str">
        <f t="shared" si="27"/>
        <v>2010-2020</v>
      </c>
    </row>
    <row r="1773" spans="1:13" hidden="1">
      <c r="A1773" t="s">
        <v>2621</v>
      </c>
      <c r="B1773" t="s">
        <v>2622</v>
      </c>
      <c r="C1773" s="1">
        <v>45008</v>
      </c>
      <c r="D1773" s="2">
        <v>377401</v>
      </c>
      <c r="E1773">
        <v>48</v>
      </c>
      <c r="F1773">
        <v>30</v>
      </c>
      <c r="I1773" s="2">
        <v>370465516</v>
      </c>
      <c r="L1773">
        <v>0</v>
      </c>
      <c r="M1773" t="str">
        <f t="shared" si="27"/>
        <v>After 2020</v>
      </c>
    </row>
    <row r="1774" spans="1:13" hidden="1">
      <c r="A1774" t="s">
        <v>2623</v>
      </c>
      <c r="B1774" t="s">
        <v>2624</v>
      </c>
      <c r="C1774" s="1">
        <v>44903</v>
      </c>
      <c r="D1774" s="2">
        <v>182793453</v>
      </c>
      <c r="E1774" s="2">
        <v>18476</v>
      </c>
      <c r="F1774">
        <v>61</v>
      </c>
      <c r="G1774" s="2">
        <v>202826223</v>
      </c>
      <c r="H1774" s="2">
        <v>1281118</v>
      </c>
      <c r="I1774" s="2">
        <v>1821638330</v>
      </c>
      <c r="J1774">
        <v>15</v>
      </c>
      <c r="L1774">
        <v>0</v>
      </c>
      <c r="M1774" t="str">
        <f t="shared" si="27"/>
        <v>After 2020</v>
      </c>
    </row>
    <row r="1775" spans="1:13" hidden="1">
      <c r="A1775" t="s">
        <v>2625</v>
      </c>
      <c r="B1775" t="s">
        <v>494</v>
      </c>
      <c r="C1775" s="1">
        <v>45261</v>
      </c>
      <c r="D1775" s="2">
        <v>58520078</v>
      </c>
      <c r="E1775" s="2">
        <v>5454</v>
      </c>
      <c r="G1775" s="2">
        <v>123416768</v>
      </c>
      <c r="H1775" s="2">
        <v>976454</v>
      </c>
      <c r="I1775" s="2">
        <v>62979168</v>
      </c>
      <c r="J1775">
        <v>9</v>
      </c>
      <c r="K1775">
        <v>20</v>
      </c>
      <c r="L1775">
        <v>0</v>
      </c>
      <c r="M1775" t="str">
        <f t="shared" si="27"/>
        <v>After 2020</v>
      </c>
    </row>
    <row r="1776" spans="1:13" hidden="1">
      <c r="A1776" t="s">
        <v>2626</v>
      </c>
      <c r="B1776" t="s">
        <v>2627</v>
      </c>
      <c r="C1776" s="1">
        <v>45198</v>
      </c>
      <c r="D1776" s="2">
        <v>68985345</v>
      </c>
      <c r="E1776" s="2">
        <v>7062</v>
      </c>
      <c r="F1776">
        <v>67</v>
      </c>
      <c r="G1776" s="2">
        <v>158339797</v>
      </c>
      <c r="H1776" s="2">
        <v>375656</v>
      </c>
      <c r="I1776" s="2">
        <v>13290393</v>
      </c>
      <c r="J1776">
        <v>5</v>
      </c>
      <c r="L1776">
        <v>0</v>
      </c>
      <c r="M1776" t="str">
        <f t="shared" si="27"/>
        <v>After 2020</v>
      </c>
    </row>
    <row r="1777" spans="1:13" hidden="1">
      <c r="A1777" t="s">
        <v>2628</v>
      </c>
      <c r="B1777" t="s">
        <v>1645</v>
      </c>
      <c r="C1777" s="1">
        <v>45212</v>
      </c>
      <c r="D1777" s="2">
        <v>118851626</v>
      </c>
      <c r="E1777" s="2">
        <v>37413</v>
      </c>
      <c r="G1777" s="2">
        <v>9045800</v>
      </c>
      <c r="H1777" s="2">
        <v>253282</v>
      </c>
      <c r="I1777" s="2">
        <v>5441741</v>
      </c>
      <c r="J1777">
        <v>23</v>
      </c>
      <c r="K1777">
        <v>43</v>
      </c>
      <c r="L1777">
        <v>1</v>
      </c>
      <c r="M1777" t="str">
        <f t="shared" si="27"/>
        <v>After 2020</v>
      </c>
    </row>
    <row r="1778" spans="1:13">
      <c r="A1778" t="s">
        <v>2629</v>
      </c>
      <c r="B1778" t="s">
        <v>2630</v>
      </c>
      <c r="C1778" s="1">
        <v>44790</v>
      </c>
      <c r="D1778" s="2">
        <v>170829903</v>
      </c>
      <c r="E1778" s="2">
        <v>97012</v>
      </c>
      <c r="F1778">
        <v>68</v>
      </c>
      <c r="G1778" s="2">
        <v>20734303</v>
      </c>
      <c r="H1778" s="2">
        <v>268271</v>
      </c>
      <c r="I1778" s="2">
        <v>125870792</v>
      </c>
      <c r="J1778">
        <v>30</v>
      </c>
      <c r="K1778">
        <v>344</v>
      </c>
      <c r="L1778">
        <v>0</v>
      </c>
      <c r="M1778" t="str">
        <f t="shared" si="27"/>
        <v>After 2020</v>
      </c>
    </row>
    <row r="1779" spans="1:13" hidden="1">
      <c r="A1779" t="s">
        <v>2631</v>
      </c>
      <c r="B1779" t="s">
        <v>2592</v>
      </c>
      <c r="C1779" s="1">
        <v>45021</v>
      </c>
      <c r="D1779" s="2">
        <v>123113806</v>
      </c>
      <c r="E1779" s="2">
        <v>23659</v>
      </c>
      <c r="F1779">
        <v>61</v>
      </c>
      <c r="G1779" s="2">
        <v>227307854</v>
      </c>
      <c r="H1779" s="2">
        <v>698274</v>
      </c>
      <c r="J1779">
        <v>4</v>
      </c>
      <c r="L1779">
        <v>1</v>
      </c>
      <c r="M1779" t="str">
        <f t="shared" si="27"/>
        <v>After 2020</v>
      </c>
    </row>
    <row r="1780" spans="1:13">
      <c r="A1780" t="s">
        <v>2632</v>
      </c>
      <c r="B1780" t="s">
        <v>2633</v>
      </c>
      <c r="C1780" s="1">
        <v>45378</v>
      </c>
      <c r="D1780" s="2">
        <v>92573075</v>
      </c>
      <c r="E1780" s="2">
        <v>9510</v>
      </c>
      <c r="F1780">
        <v>80</v>
      </c>
      <c r="G1780" s="2">
        <v>639184</v>
      </c>
      <c r="H1780" s="2">
        <v>11248</v>
      </c>
      <c r="I1780" s="2">
        <v>102900</v>
      </c>
      <c r="J1780">
        <v>31</v>
      </c>
      <c r="K1780">
        <v>177</v>
      </c>
      <c r="L1780">
        <v>1</v>
      </c>
      <c r="M1780" t="str">
        <f t="shared" si="27"/>
        <v>After 2020</v>
      </c>
    </row>
    <row r="1781" spans="1:13">
      <c r="A1781" t="s">
        <v>2634</v>
      </c>
      <c r="B1781" t="s">
        <v>2451</v>
      </c>
      <c r="C1781" s="1">
        <v>44708</v>
      </c>
      <c r="D1781" s="2">
        <v>225128269</v>
      </c>
      <c r="E1781" s="2">
        <v>23133</v>
      </c>
      <c r="F1781">
        <v>71</v>
      </c>
      <c r="G1781" s="2">
        <v>6417626</v>
      </c>
      <c r="H1781" s="2">
        <v>36749</v>
      </c>
      <c r="I1781" s="2">
        <v>33305600</v>
      </c>
      <c r="J1781">
        <v>26</v>
      </c>
      <c r="K1781">
        <v>138</v>
      </c>
      <c r="L1781">
        <v>0</v>
      </c>
      <c r="M1781" t="str">
        <f t="shared" si="27"/>
        <v>After 2020</v>
      </c>
    </row>
    <row r="1782" spans="1:13" hidden="1">
      <c r="A1782" t="s">
        <v>2635</v>
      </c>
      <c r="B1782" t="s">
        <v>161</v>
      </c>
      <c r="C1782" s="1">
        <v>44148</v>
      </c>
      <c r="D1782" s="2">
        <v>551719564</v>
      </c>
      <c r="E1782" s="2">
        <v>101852</v>
      </c>
      <c r="F1782">
        <v>61</v>
      </c>
      <c r="G1782" s="2">
        <v>298362799</v>
      </c>
      <c r="H1782" s="2">
        <v>5071208</v>
      </c>
      <c r="I1782" s="2">
        <v>1449949822</v>
      </c>
      <c r="J1782">
        <v>85</v>
      </c>
      <c r="L1782">
        <v>1</v>
      </c>
      <c r="M1782" t="str">
        <f t="shared" si="27"/>
        <v>2010-2020</v>
      </c>
    </row>
    <row r="1783" spans="1:13" hidden="1">
      <c r="A1783" t="s">
        <v>2636</v>
      </c>
      <c r="B1783" t="s">
        <v>123</v>
      </c>
      <c r="C1783" s="1">
        <v>43644</v>
      </c>
      <c r="D1783" s="2">
        <v>1394345347</v>
      </c>
      <c r="E1783" s="2">
        <v>119546</v>
      </c>
      <c r="F1783">
        <v>66</v>
      </c>
      <c r="G1783" s="2">
        <v>634929672</v>
      </c>
      <c r="H1783" s="2">
        <v>4748135</v>
      </c>
      <c r="I1783" s="2">
        <v>449458094</v>
      </c>
      <c r="K1783">
        <v>278</v>
      </c>
      <c r="L1783">
        <v>0</v>
      </c>
      <c r="M1783" t="str">
        <f t="shared" si="27"/>
        <v>2010-2020</v>
      </c>
    </row>
    <row r="1784" spans="1:13" hidden="1">
      <c r="A1784" t="s">
        <v>2637</v>
      </c>
      <c r="B1784" t="s">
        <v>867</v>
      </c>
      <c r="C1784" s="1">
        <v>44456</v>
      </c>
      <c r="D1784" s="2">
        <v>189577521</v>
      </c>
      <c r="E1784" s="2">
        <v>32091</v>
      </c>
      <c r="F1784">
        <v>70</v>
      </c>
      <c r="G1784" s="2">
        <v>167631264</v>
      </c>
      <c r="H1784" s="2">
        <v>1282588</v>
      </c>
      <c r="I1784" s="2">
        <v>170725017</v>
      </c>
      <c r="K1784">
        <v>53</v>
      </c>
      <c r="L1784">
        <v>1</v>
      </c>
      <c r="M1784" t="str">
        <f t="shared" si="27"/>
        <v>After 2020</v>
      </c>
    </row>
    <row r="1785" spans="1:13" hidden="1">
      <c r="A1785" t="s">
        <v>2638</v>
      </c>
      <c r="B1785" t="s">
        <v>2639</v>
      </c>
      <c r="C1785" s="1">
        <v>44888</v>
      </c>
      <c r="L1785">
        <v>0</v>
      </c>
      <c r="M1785" t="str">
        <f t="shared" si="27"/>
        <v>After 2020</v>
      </c>
    </row>
    <row r="1786" spans="1:13">
      <c r="A1786" t="s">
        <v>2640</v>
      </c>
      <c r="B1786" t="s">
        <v>357</v>
      </c>
      <c r="C1786" s="1">
        <v>40867</v>
      </c>
      <c r="D1786" s="2">
        <v>1365755853</v>
      </c>
      <c r="E1786" s="2">
        <v>183681</v>
      </c>
      <c r="F1786">
        <v>74</v>
      </c>
      <c r="G1786" s="2">
        <v>1285233400</v>
      </c>
      <c r="H1786" s="2">
        <v>8881918</v>
      </c>
      <c r="I1786" s="2">
        <v>694003171</v>
      </c>
      <c r="J1786">
        <v>40</v>
      </c>
      <c r="K1786">
        <v>98</v>
      </c>
      <c r="L1786">
        <v>0</v>
      </c>
      <c r="M1786" t="str">
        <f t="shared" si="27"/>
        <v>2010-2020</v>
      </c>
    </row>
    <row r="1787" spans="1:13" hidden="1">
      <c r="A1787" t="s">
        <v>2641</v>
      </c>
      <c r="B1787" t="s">
        <v>2642</v>
      </c>
      <c r="C1787" s="1">
        <v>45290</v>
      </c>
      <c r="D1787" s="2">
        <v>43280156</v>
      </c>
      <c r="E1787" s="2">
        <v>1397</v>
      </c>
      <c r="G1787" s="2">
        <v>123586274</v>
      </c>
      <c r="H1787" s="2">
        <v>1114900</v>
      </c>
      <c r="J1787">
        <v>2</v>
      </c>
      <c r="L1787">
        <v>0</v>
      </c>
      <c r="M1787" t="str">
        <f t="shared" si="27"/>
        <v>After 2020</v>
      </c>
    </row>
    <row r="1788" spans="1:13">
      <c r="A1788" t="s">
        <v>2643</v>
      </c>
      <c r="B1788" t="s">
        <v>252</v>
      </c>
      <c r="C1788" s="1">
        <v>42996</v>
      </c>
      <c r="D1788" s="2">
        <v>632727904</v>
      </c>
      <c r="E1788" s="2">
        <v>26053</v>
      </c>
      <c r="F1788">
        <v>63</v>
      </c>
      <c r="G1788" s="2">
        <v>1758381885</v>
      </c>
      <c r="H1788" s="2">
        <v>26790883</v>
      </c>
      <c r="I1788" s="2">
        <v>537359844</v>
      </c>
      <c r="J1788">
        <v>34</v>
      </c>
      <c r="K1788">
        <v>8</v>
      </c>
      <c r="L1788">
        <v>0</v>
      </c>
      <c r="M1788" t="str">
        <f t="shared" si="27"/>
        <v>2010-2020</v>
      </c>
    </row>
    <row r="1789" spans="1:13" hidden="1">
      <c r="A1789" t="s">
        <v>2644</v>
      </c>
      <c r="B1789" t="s">
        <v>522</v>
      </c>
      <c r="C1789" s="1">
        <v>45219</v>
      </c>
      <c r="D1789" s="2">
        <v>140289944</v>
      </c>
      <c r="E1789" s="2">
        <v>11244</v>
      </c>
      <c r="G1789" s="2">
        <v>102146155</v>
      </c>
      <c r="H1789" s="2">
        <v>355596</v>
      </c>
      <c r="I1789" s="2">
        <v>5016260</v>
      </c>
      <c r="J1789">
        <v>24</v>
      </c>
      <c r="L1789">
        <v>0</v>
      </c>
      <c r="M1789" t="str">
        <f t="shared" si="27"/>
        <v>After 2020</v>
      </c>
    </row>
    <row r="1790" spans="1:13" hidden="1">
      <c r="A1790" t="s">
        <v>2645</v>
      </c>
      <c r="B1790" t="s">
        <v>2646</v>
      </c>
      <c r="C1790" s="1">
        <v>45220</v>
      </c>
      <c r="D1790" s="2">
        <v>66104800</v>
      </c>
      <c r="E1790" s="2">
        <v>18865</v>
      </c>
      <c r="G1790" s="2">
        <v>20813530</v>
      </c>
      <c r="H1790" s="2">
        <v>308805</v>
      </c>
      <c r="I1790" s="2">
        <v>144294559</v>
      </c>
      <c r="L1790">
        <v>1</v>
      </c>
      <c r="M1790" t="str">
        <f t="shared" si="27"/>
        <v>After 2020</v>
      </c>
    </row>
    <row r="1791" spans="1:13">
      <c r="A1791" t="s">
        <v>2647</v>
      </c>
      <c r="B1791" t="s">
        <v>170</v>
      </c>
      <c r="C1791" s="1">
        <v>44280</v>
      </c>
      <c r="D1791" s="2">
        <v>304116211</v>
      </c>
      <c r="E1791" s="2">
        <v>21517</v>
      </c>
      <c r="F1791">
        <v>72</v>
      </c>
      <c r="G1791" s="2">
        <v>692863553</v>
      </c>
      <c r="H1791" s="2">
        <v>2439195</v>
      </c>
      <c r="I1791" s="2">
        <v>184413760</v>
      </c>
      <c r="J1791">
        <v>32</v>
      </c>
      <c r="K1791">
        <v>105</v>
      </c>
      <c r="L1791">
        <v>0</v>
      </c>
      <c r="M1791" t="str">
        <f t="shared" si="27"/>
        <v>After 2020</v>
      </c>
    </row>
    <row r="1792" spans="1:13" hidden="1">
      <c r="A1792" t="s">
        <v>2648</v>
      </c>
      <c r="B1792" t="s">
        <v>2649</v>
      </c>
      <c r="C1792" s="1">
        <v>42811</v>
      </c>
      <c r="D1792" s="2">
        <v>661732009</v>
      </c>
      <c r="E1792" s="2">
        <v>61561</v>
      </c>
      <c r="F1792">
        <v>68</v>
      </c>
      <c r="G1792" s="2">
        <v>1555093288</v>
      </c>
      <c r="H1792" s="2">
        <v>6076859</v>
      </c>
      <c r="I1792" s="2">
        <v>1702529</v>
      </c>
      <c r="J1792">
        <v>25</v>
      </c>
      <c r="L1792">
        <v>0</v>
      </c>
      <c r="M1792" t="str">
        <f t="shared" si="27"/>
        <v>2010-2020</v>
      </c>
    </row>
    <row r="1793" spans="1:13" hidden="1">
      <c r="A1793" t="s">
        <v>2650</v>
      </c>
      <c r="B1793" t="s">
        <v>2651</v>
      </c>
      <c r="C1793" s="1">
        <v>44369</v>
      </c>
      <c r="D1793" s="2">
        <v>861521</v>
      </c>
      <c r="E1793">
        <v>374</v>
      </c>
      <c r="F1793">
        <v>14</v>
      </c>
      <c r="G1793" s="2">
        <v>273898</v>
      </c>
      <c r="H1793" s="2">
        <v>2095</v>
      </c>
      <c r="I1793" s="2">
        <v>6861330893</v>
      </c>
      <c r="L1793">
        <v>0</v>
      </c>
      <c r="M1793" t="str">
        <f t="shared" si="27"/>
        <v>After 2020</v>
      </c>
    </row>
    <row r="1794" spans="1:13">
      <c r="A1794" t="s">
        <v>2652</v>
      </c>
      <c r="B1794" t="s">
        <v>2653</v>
      </c>
      <c r="C1794" s="1">
        <v>44974</v>
      </c>
      <c r="D1794" s="2">
        <v>229993968</v>
      </c>
      <c r="E1794" s="2">
        <v>29447</v>
      </c>
      <c r="F1794">
        <v>68</v>
      </c>
      <c r="G1794" s="2">
        <v>25068301</v>
      </c>
      <c r="H1794" s="2">
        <v>605989</v>
      </c>
      <c r="I1794" s="2">
        <v>303361656</v>
      </c>
      <c r="J1794">
        <v>56</v>
      </c>
      <c r="K1794">
        <v>356</v>
      </c>
      <c r="L1794">
        <v>0</v>
      </c>
      <c r="M1794" t="str">
        <f t="shared" si="27"/>
        <v>After 2020</v>
      </c>
    </row>
    <row r="1795" spans="1:13">
      <c r="A1795" t="s">
        <v>2654</v>
      </c>
      <c r="B1795" t="s">
        <v>2655</v>
      </c>
      <c r="C1795" s="1">
        <v>44566</v>
      </c>
      <c r="D1795" s="2">
        <v>437029775</v>
      </c>
      <c r="E1795" s="2">
        <v>71202</v>
      </c>
      <c r="F1795">
        <v>67</v>
      </c>
      <c r="G1795" s="2">
        <v>60320365</v>
      </c>
      <c r="H1795" s="2">
        <v>602827</v>
      </c>
      <c r="I1795" s="2">
        <v>261236772</v>
      </c>
      <c r="J1795">
        <v>59</v>
      </c>
      <c r="K1795">
        <v>927</v>
      </c>
      <c r="L1795">
        <v>0</v>
      </c>
      <c r="M1795" t="str">
        <f t="shared" ref="M1795:M1858" si="28">IF(YEAR(C1795)&lt;2010,"Before 2010",IF(YEAR(C1795)&lt;=2020,"2010-2020","After 2020"))</f>
        <v>After 2020</v>
      </c>
    </row>
    <row r="1796" spans="1:13" hidden="1">
      <c r="A1796" t="s">
        <v>2656</v>
      </c>
      <c r="B1796" t="s">
        <v>2657</v>
      </c>
      <c r="C1796" s="1">
        <v>44176</v>
      </c>
      <c r="D1796" s="2">
        <v>515923885</v>
      </c>
      <c r="E1796" s="2">
        <v>121767</v>
      </c>
      <c r="F1796">
        <v>72</v>
      </c>
      <c r="G1796" s="2">
        <v>166794513</v>
      </c>
      <c r="H1796" s="2">
        <v>2438100</v>
      </c>
      <c r="I1796" s="2">
        <v>2574138698</v>
      </c>
      <c r="J1796">
        <v>7</v>
      </c>
      <c r="L1796">
        <v>0</v>
      </c>
      <c r="M1796" t="str">
        <f t="shared" si="28"/>
        <v>2010-2020</v>
      </c>
    </row>
    <row r="1797" spans="1:13" hidden="1">
      <c r="A1797" t="s">
        <v>2658</v>
      </c>
      <c r="B1797" t="s">
        <v>1648</v>
      </c>
      <c r="C1797" s="1">
        <v>44701</v>
      </c>
      <c r="D1797" s="2">
        <v>238890270</v>
      </c>
      <c r="E1797" s="2">
        <v>27066</v>
      </c>
      <c r="F1797">
        <v>60</v>
      </c>
      <c r="G1797" s="2">
        <v>384799195</v>
      </c>
      <c r="H1797" s="2">
        <v>2963384</v>
      </c>
      <c r="I1797" s="2">
        <v>1298188205</v>
      </c>
      <c r="J1797">
        <v>14</v>
      </c>
      <c r="L1797">
        <v>0</v>
      </c>
      <c r="M1797" t="str">
        <f t="shared" si="28"/>
        <v>After 2020</v>
      </c>
    </row>
    <row r="1798" spans="1:13">
      <c r="A1798" t="s">
        <v>2659</v>
      </c>
      <c r="B1798" t="s">
        <v>330</v>
      </c>
      <c r="C1798" s="1">
        <v>44400</v>
      </c>
      <c r="D1798" s="2">
        <v>499085551</v>
      </c>
      <c r="E1798" s="2">
        <v>64967</v>
      </c>
      <c r="F1798">
        <v>62</v>
      </c>
      <c r="G1798" s="2">
        <v>189120015</v>
      </c>
      <c r="H1798" s="2">
        <v>2445070</v>
      </c>
      <c r="I1798" s="2">
        <v>864218422</v>
      </c>
      <c r="J1798">
        <v>125</v>
      </c>
      <c r="K1798">
        <v>20</v>
      </c>
      <c r="L1798">
        <v>0</v>
      </c>
      <c r="M1798" t="str">
        <f t="shared" si="28"/>
        <v>After 2020</v>
      </c>
    </row>
    <row r="1799" spans="1:13" hidden="1">
      <c r="A1799" t="s">
        <v>2660</v>
      </c>
      <c r="B1799" t="s">
        <v>2661</v>
      </c>
      <c r="C1799" s="1">
        <v>44960</v>
      </c>
      <c r="E1799">
        <v>757</v>
      </c>
      <c r="F1799">
        <v>30</v>
      </c>
      <c r="G1799" s="2">
        <v>25504572</v>
      </c>
      <c r="H1799" s="2">
        <v>187689</v>
      </c>
      <c r="I1799" s="2">
        <v>341343712</v>
      </c>
      <c r="L1799">
        <v>0</v>
      </c>
      <c r="M1799" t="str">
        <f t="shared" si="28"/>
        <v>After 2020</v>
      </c>
    </row>
    <row r="1800" spans="1:13">
      <c r="A1800" t="s">
        <v>2662</v>
      </c>
      <c r="B1800" t="s">
        <v>2663</v>
      </c>
      <c r="C1800" s="1">
        <v>45135</v>
      </c>
      <c r="D1800" s="2">
        <v>71722674</v>
      </c>
      <c r="E1800" s="2">
        <v>15522</v>
      </c>
      <c r="F1800">
        <v>68</v>
      </c>
      <c r="G1800" s="2">
        <v>25459927</v>
      </c>
      <c r="H1800" s="2">
        <v>162133</v>
      </c>
      <c r="I1800" s="2">
        <v>18182823</v>
      </c>
      <c r="J1800">
        <v>43</v>
      </c>
      <c r="K1800">
        <v>94</v>
      </c>
      <c r="L1800">
        <v>0</v>
      </c>
      <c r="M1800" t="str">
        <f t="shared" si="28"/>
        <v>After 2020</v>
      </c>
    </row>
    <row r="1801" spans="1:13">
      <c r="A1801" t="s">
        <v>2664</v>
      </c>
      <c r="B1801" t="s">
        <v>2665</v>
      </c>
      <c r="C1801" s="1">
        <v>44306</v>
      </c>
      <c r="D1801" s="2">
        <v>4224438</v>
      </c>
      <c r="E1801" s="2">
        <v>2333</v>
      </c>
      <c r="F1801">
        <v>31</v>
      </c>
      <c r="G1801" s="2">
        <v>4404312</v>
      </c>
      <c r="H1801" s="2">
        <v>94056</v>
      </c>
      <c r="I1801" s="2">
        <v>10173667723</v>
      </c>
      <c r="J1801">
        <v>3</v>
      </c>
      <c r="K1801">
        <v>205</v>
      </c>
      <c r="L1801">
        <v>0</v>
      </c>
      <c r="M1801" t="str">
        <f t="shared" si="28"/>
        <v>After 2020</v>
      </c>
    </row>
    <row r="1802" spans="1:13">
      <c r="A1802" t="s">
        <v>2666</v>
      </c>
      <c r="B1802" t="s">
        <v>2667</v>
      </c>
      <c r="C1802" s="1">
        <v>42692</v>
      </c>
      <c r="D1802" s="2">
        <v>611088459</v>
      </c>
      <c r="E1802" s="2">
        <v>48476</v>
      </c>
      <c r="F1802">
        <v>67</v>
      </c>
      <c r="G1802" s="2">
        <v>1505578850</v>
      </c>
      <c r="H1802" s="2">
        <v>5184385</v>
      </c>
      <c r="I1802" s="2">
        <v>149410833</v>
      </c>
      <c r="J1802">
        <v>87</v>
      </c>
      <c r="K1802">
        <v>382</v>
      </c>
      <c r="L1802">
        <v>0</v>
      </c>
      <c r="M1802" t="str">
        <f t="shared" si="28"/>
        <v>2010-2020</v>
      </c>
    </row>
    <row r="1803" spans="1:13" hidden="1">
      <c r="A1803" t="s">
        <v>2668</v>
      </c>
      <c r="B1803" t="s">
        <v>1460</v>
      </c>
      <c r="C1803" s="1">
        <v>44356</v>
      </c>
      <c r="D1803" s="2">
        <v>89815962</v>
      </c>
      <c r="E1803" s="2">
        <v>9126</v>
      </c>
      <c r="F1803">
        <v>54</v>
      </c>
      <c r="G1803" s="2">
        <v>850941688</v>
      </c>
      <c r="H1803" s="2">
        <v>6694074</v>
      </c>
      <c r="J1803">
        <v>8</v>
      </c>
      <c r="L1803">
        <v>0</v>
      </c>
      <c r="M1803" t="str">
        <f t="shared" si="28"/>
        <v>After 2020</v>
      </c>
    </row>
    <row r="1804" spans="1:13">
      <c r="A1804" t="s">
        <v>2669</v>
      </c>
      <c r="B1804" t="s">
        <v>380</v>
      </c>
      <c r="C1804" s="1">
        <v>44757</v>
      </c>
      <c r="D1804" s="2">
        <v>304386086</v>
      </c>
      <c r="E1804" s="2">
        <v>69159</v>
      </c>
      <c r="F1804">
        <v>72</v>
      </c>
      <c r="G1804" s="2">
        <v>18632784</v>
      </c>
      <c r="H1804" s="2">
        <v>257442</v>
      </c>
      <c r="I1804" s="2">
        <v>1303631045</v>
      </c>
      <c r="J1804">
        <v>22</v>
      </c>
      <c r="K1804">
        <v>372</v>
      </c>
      <c r="L1804">
        <v>1</v>
      </c>
      <c r="M1804" t="str">
        <f t="shared" si="28"/>
        <v>After 2020</v>
      </c>
    </row>
    <row r="1805" spans="1:13" hidden="1">
      <c r="A1805" t="s">
        <v>2670</v>
      </c>
      <c r="B1805" t="s">
        <v>781</v>
      </c>
      <c r="C1805" s="1">
        <v>43623</v>
      </c>
      <c r="D1805" s="2">
        <v>351007818</v>
      </c>
      <c r="E1805" s="2">
        <v>105025</v>
      </c>
      <c r="F1805">
        <v>64</v>
      </c>
      <c r="G1805" s="2">
        <v>186297690</v>
      </c>
      <c r="H1805" s="2">
        <v>1709390</v>
      </c>
      <c r="I1805" s="2">
        <v>55106493</v>
      </c>
      <c r="J1805">
        <v>2</v>
      </c>
      <c r="L1805">
        <v>1</v>
      </c>
      <c r="M1805" t="str">
        <f t="shared" si="28"/>
        <v>2010-2020</v>
      </c>
    </row>
    <row r="1806" spans="1:13" hidden="1">
      <c r="A1806" t="s">
        <v>2671</v>
      </c>
      <c r="B1806" t="s">
        <v>2353</v>
      </c>
      <c r="C1806" s="1">
        <v>45332</v>
      </c>
      <c r="D1806" s="2">
        <v>5501185</v>
      </c>
      <c r="E1806">
        <v>613</v>
      </c>
      <c r="G1806" s="2">
        <v>94138006</v>
      </c>
      <c r="H1806" s="2">
        <v>852151</v>
      </c>
      <c r="J1806">
        <v>4</v>
      </c>
      <c r="L1806">
        <v>0</v>
      </c>
      <c r="M1806" t="str">
        <f t="shared" si="28"/>
        <v>After 2020</v>
      </c>
    </row>
    <row r="1807" spans="1:13" hidden="1">
      <c r="A1807" t="s">
        <v>2672</v>
      </c>
      <c r="B1807" t="s">
        <v>2673</v>
      </c>
      <c r="C1807" s="1">
        <v>44945</v>
      </c>
      <c r="D1807" s="2">
        <v>223211332</v>
      </c>
      <c r="E1807" s="2">
        <v>47584</v>
      </c>
      <c r="F1807">
        <v>68</v>
      </c>
      <c r="G1807" s="2">
        <v>83855008</v>
      </c>
      <c r="H1807" s="2">
        <v>603186</v>
      </c>
      <c r="I1807" s="2">
        <v>95067</v>
      </c>
      <c r="J1807">
        <v>27</v>
      </c>
      <c r="L1807">
        <v>0</v>
      </c>
      <c r="M1807" t="str">
        <f t="shared" si="28"/>
        <v>After 2020</v>
      </c>
    </row>
    <row r="1808" spans="1:13">
      <c r="A1808" t="s">
        <v>154</v>
      </c>
      <c r="B1808" t="s">
        <v>155</v>
      </c>
      <c r="C1808" s="1">
        <v>36823</v>
      </c>
      <c r="D1808" s="2">
        <v>2045512421</v>
      </c>
      <c r="E1808" s="2">
        <v>324745</v>
      </c>
      <c r="F1808">
        <v>82</v>
      </c>
      <c r="G1808" s="2">
        <v>2375021286</v>
      </c>
      <c r="H1808" s="2">
        <v>17765456</v>
      </c>
      <c r="I1808" s="2">
        <v>729532806</v>
      </c>
      <c r="J1808">
        <v>16</v>
      </c>
      <c r="K1808">
        <v>357</v>
      </c>
      <c r="L1808">
        <v>0</v>
      </c>
      <c r="M1808" t="str">
        <f t="shared" si="28"/>
        <v>Before 2010</v>
      </c>
    </row>
    <row r="1809" spans="1:13">
      <c r="A1809" t="s">
        <v>2674</v>
      </c>
      <c r="B1809" t="s">
        <v>2071</v>
      </c>
      <c r="C1809" s="1">
        <v>42517</v>
      </c>
      <c r="D1809" s="2">
        <v>697574595</v>
      </c>
      <c r="E1809" s="2">
        <v>60309</v>
      </c>
      <c r="F1809">
        <v>69</v>
      </c>
      <c r="G1809" s="2">
        <v>1691997312</v>
      </c>
      <c r="H1809" s="2">
        <v>4789339</v>
      </c>
      <c r="I1809" s="2">
        <v>945038658</v>
      </c>
      <c r="J1809">
        <v>86</v>
      </c>
      <c r="K1809">
        <v>44</v>
      </c>
      <c r="L1809">
        <v>0</v>
      </c>
      <c r="M1809" t="str">
        <f t="shared" si="28"/>
        <v>2010-2020</v>
      </c>
    </row>
    <row r="1810" spans="1:13">
      <c r="A1810" t="s">
        <v>2675</v>
      </c>
      <c r="B1810" t="s">
        <v>2676</v>
      </c>
      <c r="C1810" s="1">
        <v>44043</v>
      </c>
      <c r="D1810" s="2">
        <v>627556563</v>
      </c>
      <c r="E1810" s="2">
        <v>87091</v>
      </c>
      <c r="F1810">
        <v>67</v>
      </c>
      <c r="G1810" s="2">
        <v>315121318</v>
      </c>
      <c r="H1810" s="2">
        <v>1921904</v>
      </c>
      <c r="I1810" s="2">
        <v>829202200</v>
      </c>
      <c r="J1810">
        <v>110</v>
      </c>
      <c r="K1810">
        <v>93</v>
      </c>
      <c r="L1810">
        <v>0</v>
      </c>
      <c r="M1810" t="str">
        <f t="shared" si="28"/>
        <v>2010-2020</v>
      </c>
    </row>
    <row r="1811" spans="1:13" hidden="1">
      <c r="A1811" t="s">
        <v>2677</v>
      </c>
      <c r="B1811" t="s">
        <v>2678</v>
      </c>
      <c r="C1811" s="1">
        <v>44865</v>
      </c>
      <c r="D1811" s="2">
        <v>516541770</v>
      </c>
      <c r="E1811" s="2">
        <v>50163</v>
      </c>
      <c r="G1811" s="2">
        <v>153636776</v>
      </c>
      <c r="H1811" s="2">
        <v>2047892</v>
      </c>
      <c r="I1811" s="2">
        <v>893095805</v>
      </c>
      <c r="K1811">
        <v>343</v>
      </c>
      <c r="L1811">
        <v>1</v>
      </c>
      <c r="M1811" t="str">
        <f t="shared" si="28"/>
        <v>After 2020</v>
      </c>
    </row>
    <row r="1812" spans="1:13">
      <c r="A1812" t="s">
        <v>2679</v>
      </c>
      <c r="B1812" t="s">
        <v>619</v>
      </c>
      <c r="C1812" s="1">
        <v>43993</v>
      </c>
      <c r="D1812" s="2">
        <v>508151972</v>
      </c>
      <c r="E1812" s="2">
        <v>68478</v>
      </c>
      <c r="F1812">
        <v>56</v>
      </c>
      <c r="G1812" s="2">
        <v>585332283</v>
      </c>
      <c r="H1812" s="2">
        <v>2893537</v>
      </c>
      <c r="I1812" s="2">
        <v>387733644</v>
      </c>
      <c r="J1812">
        <v>68</v>
      </c>
      <c r="K1812">
        <v>64</v>
      </c>
      <c r="L1812">
        <v>0</v>
      </c>
      <c r="M1812" t="str">
        <f t="shared" si="28"/>
        <v>2010-2020</v>
      </c>
    </row>
    <row r="1813" spans="1:13" hidden="1">
      <c r="A1813" t="s">
        <v>2680</v>
      </c>
      <c r="B1813" t="s">
        <v>1083</v>
      </c>
      <c r="C1813" s="1">
        <v>43434</v>
      </c>
      <c r="D1813" s="2">
        <v>298721490</v>
      </c>
      <c r="E1813" s="2">
        <v>69136</v>
      </c>
      <c r="F1813">
        <v>59</v>
      </c>
      <c r="G1813" s="2">
        <v>162438129</v>
      </c>
      <c r="H1813" s="2">
        <v>1112123</v>
      </c>
      <c r="I1813" s="2">
        <v>13981094</v>
      </c>
      <c r="J1813">
        <v>18</v>
      </c>
      <c r="L1813">
        <v>1</v>
      </c>
      <c r="M1813" t="str">
        <f t="shared" si="28"/>
        <v>2010-2020</v>
      </c>
    </row>
    <row r="1814" spans="1:13" hidden="1">
      <c r="A1814" t="s">
        <v>2681</v>
      </c>
      <c r="B1814" t="s">
        <v>2682</v>
      </c>
      <c r="C1814" s="1">
        <v>45443</v>
      </c>
      <c r="D1814" s="2">
        <v>2371467</v>
      </c>
      <c r="E1814">
        <v>241</v>
      </c>
      <c r="G1814" s="2">
        <v>11364565</v>
      </c>
      <c r="H1814" s="2">
        <v>212716</v>
      </c>
      <c r="J1814">
        <v>7</v>
      </c>
      <c r="L1814">
        <v>0</v>
      </c>
      <c r="M1814" t="str">
        <f t="shared" si="28"/>
        <v>After 2020</v>
      </c>
    </row>
    <row r="1815" spans="1:13" hidden="1">
      <c r="A1815" t="s">
        <v>2683</v>
      </c>
      <c r="B1815" t="s">
        <v>504</v>
      </c>
      <c r="C1815" s="1">
        <v>42972</v>
      </c>
      <c r="D1815" s="2">
        <v>1590659204</v>
      </c>
      <c r="E1815" s="2">
        <v>203764</v>
      </c>
      <c r="F1815">
        <v>77</v>
      </c>
      <c r="G1815" s="2">
        <v>567076854</v>
      </c>
      <c r="H1815" s="2">
        <v>7875127</v>
      </c>
      <c r="I1815" s="2">
        <v>616913553</v>
      </c>
      <c r="J1815">
        <v>26</v>
      </c>
      <c r="L1815">
        <v>1</v>
      </c>
      <c r="M1815" t="str">
        <f t="shared" si="28"/>
        <v>2010-2020</v>
      </c>
    </row>
    <row r="1816" spans="1:13">
      <c r="A1816" t="s">
        <v>2684</v>
      </c>
      <c r="B1816" t="s">
        <v>2685</v>
      </c>
      <c r="C1816" s="1">
        <v>45247</v>
      </c>
      <c r="D1816" s="2">
        <v>33605864</v>
      </c>
      <c r="E1816" s="2">
        <v>12453</v>
      </c>
      <c r="F1816">
        <v>32</v>
      </c>
      <c r="G1816" s="2">
        <v>107114515</v>
      </c>
      <c r="H1816" s="2">
        <v>805527</v>
      </c>
      <c r="I1816" s="2">
        <v>25541775</v>
      </c>
      <c r="J1816">
        <v>4</v>
      </c>
      <c r="K1816">
        <v>5</v>
      </c>
      <c r="L1816">
        <v>1</v>
      </c>
      <c r="M1816" t="str">
        <f t="shared" si="28"/>
        <v>After 2020</v>
      </c>
    </row>
    <row r="1817" spans="1:13" hidden="1">
      <c r="A1817" t="s">
        <v>2686</v>
      </c>
      <c r="B1817" t="s">
        <v>2687</v>
      </c>
      <c r="C1817" s="1">
        <v>43745</v>
      </c>
      <c r="D1817" s="2">
        <v>35269135</v>
      </c>
      <c r="E1817" s="2">
        <v>3782</v>
      </c>
      <c r="F1817">
        <v>44</v>
      </c>
      <c r="G1817" s="2">
        <v>1364545600</v>
      </c>
      <c r="H1817" s="2">
        <v>4782629</v>
      </c>
      <c r="I1817" s="2">
        <v>19469573</v>
      </c>
      <c r="J1817">
        <v>4</v>
      </c>
      <c r="L1817">
        <v>0</v>
      </c>
      <c r="M1817" t="str">
        <f t="shared" si="28"/>
        <v>2010-2020</v>
      </c>
    </row>
    <row r="1818" spans="1:13" hidden="1">
      <c r="A1818" t="s">
        <v>2688</v>
      </c>
      <c r="B1818" t="s">
        <v>2689</v>
      </c>
      <c r="C1818" s="1">
        <v>45149</v>
      </c>
      <c r="D1818" s="2">
        <v>140756753</v>
      </c>
      <c r="E1818" s="2">
        <v>20909</v>
      </c>
      <c r="F1818">
        <v>36</v>
      </c>
      <c r="G1818" s="2">
        <v>60902734</v>
      </c>
      <c r="H1818" s="2">
        <v>885239</v>
      </c>
      <c r="I1818" s="2">
        <v>982755143</v>
      </c>
      <c r="L1818">
        <v>1</v>
      </c>
      <c r="M1818" t="str">
        <f t="shared" si="28"/>
        <v>After 2020</v>
      </c>
    </row>
    <row r="1819" spans="1:13" hidden="1">
      <c r="A1819" t="s">
        <v>2690</v>
      </c>
      <c r="B1819" t="s">
        <v>2402</v>
      </c>
      <c r="C1819" s="1">
        <v>43266</v>
      </c>
      <c r="D1819" s="2">
        <v>1655575417</v>
      </c>
      <c r="E1819" s="2">
        <v>1108</v>
      </c>
      <c r="F1819">
        <v>40</v>
      </c>
      <c r="G1819" s="2">
        <v>1498854054</v>
      </c>
      <c r="H1819" s="2">
        <v>6607472</v>
      </c>
      <c r="I1819" s="2">
        <v>8882</v>
      </c>
      <c r="L1819">
        <v>0</v>
      </c>
      <c r="M1819" t="str">
        <f t="shared" si="28"/>
        <v>2010-2020</v>
      </c>
    </row>
    <row r="1820" spans="1:13" hidden="1">
      <c r="A1820" t="s">
        <v>2691</v>
      </c>
      <c r="B1820" t="s">
        <v>2692</v>
      </c>
      <c r="C1820" s="1">
        <v>44983</v>
      </c>
      <c r="E1820">
        <v>1</v>
      </c>
      <c r="G1820" s="2">
        <v>407197875</v>
      </c>
      <c r="H1820" s="2">
        <v>1302211</v>
      </c>
      <c r="L1820">
        <v>0</v>
      </c>
      <c r="M1820" t="str">
        <f t="shared" si="28"/>
        <v>After 2020</v>
      </c>
    </row>
    <row r="1821" spans="1:13">
      <c r="A1821" t="s">
        <v>2693</v>
      </c>
      <c r="B1821" t="s">
        <v>2694</v>
      </c>
      <c r="C1821" s="1">
        <v>43147</v>
      </c>
      <c r="D1821" s="2">
        <v>708166969</v>
      </c>
      <c r="E1821" s="2">
        <v>58098</v>
      </c>
      <c r="F1821">
        <v>66</v>
      </c>
      <c r="G1821" s="2">
        <v>1209951349</v>
      </c>
      <c r="H1821" s="2">
        <v>4611513</v>
      </c>
      <c r="I1821" s="2">
        <v>263244094</v>
      </c>
      <c r="J1821">
        <v>64</v>
      </c>
      <c r="K1821">
        <v>75</v>
      </c>
      <c r="L1821">
        <v>0</v>
      </c>
      <c r="M1821" t="str">
        <f t="shared" si="28"/>
        <v>2010-2020</v>
      </c>
    </row>
    <row r="1822" spans="1:13" hidden="1">
      <c r="A1822" t="s">
        <v>2695</v>
      </c>
      <c r="B1822" t="s">
        <v>2696</v>
      </c>
      <c r="C1822" s="1">
        <v>45441</v>
      </c>
      <c r="D1822" s="2">
        <v>7021860</v>
      </c>
      <c r="E1822" s="2">
        <v>2000</v>
      </c>
      <c r="G1822" s="2">
        <v>149674</v>
      </c>
      <c r="H1822" s="2">
        <v>5277</v>
      </c>
      <c r="I1822" s="2">
        <v>816500</v>
      </c>
      <c r="J1822">
        <v>52</v>
      </c>
      <c r="K1822">
        <v>2</v>
      </c>
      <c r="L1822">
        <v>0</v>
      </c>
      <c r="M1822" t="str">
        <f t="shared" si="28"/>
        <v>After 2020</v>
      </c>
    </row>
    <row r="1823" spans="1:13" hidden="1">
      <c r="A1823" t="s">
        <v>2294</v>
      </c>
      <c r="B1823" t="s">
        <v>2697</v>
      </c>
      <c r="C1823" s="1">
        <v>45213</v>
      </c>
      <c r="D1823" s="2">
        <v>13900332</v>
      </c>
      <c r="E1823" s="2">
        <v>1737</v>
      </c>
      <c r="G1823" s="2">
        <v>65378730</v>
      </c>
      <c r="H1823" s="2">
        <v>231736</v>
      </c>
      <c r="I1823" s="2">
        <v>59606925</v>
      </c>
      <c r="J1823">
        <v>3</v>
      </c>
      <c r="L1823">
        <v>0</v>
      </c>
      <c r="M1823" t="str">
        <f t="shared" si="28"/>
        <v>After 2020</v>
      </c>
    </row>
    <row r="1824" spans="1:13" hidden="1">
      <c r="A1824" t="s">
        <v>2698</v>
      </c>
      <c r="B1824" t="s">
        <v>2699</v>
      </c>
      <c r="C1824" s="1">
        <v>45398</v>
      </c>
      <c r="D1824" s="2">
        <v>1579231</v>
      </c>
      <c r="E1824">
        <v>195</v>
      </c>
      <c r="G1824" s="2">
        <v>43912255</v>
      </c>
      <c r="H1824" s="2">
        <v>427835</v>
      </c>
      <c r="J1824">
        <v>4</v>
      </c>
      <c r="L1824">
        <v>0</v>
      </c>
      <c r="M1824" t="str">
        <f t="shared" si="28"/>
        <v>After 2020</v>
      </c>
    </row>
    <row r="1825" spans="1:13" hidden="1">
      <c r="A1825" t="s">
        <v>2700</v>
      </c>
      <c r="B1825" t="s">
        <v>2701</v>
      </c>
      <c r="C1825" s="1">
        <v>44713</v>
      </c>
      <c r="D1825" s="2">
        <v>256121980</v>
      </c>
      <c r="E1825" s="2">
        <v>60620</v>
      </c>
      <c r="F1825">
        <v>68</v>
      </c>
      <c r="G1825" s="2">
        <v>223554131</v>
      </c>
      <c r="H1825" s="2">
        <v>2671018</v>
      </c>
      <c r="I1825" s="2">
        <v>1479505358</v>
      </c>
      <c r="J1825">
        <v>16</v>
      </c>
      <c r="L1825">
        <v>1</v>
      </c>
      <c r="M1825" t="str">
        <f t="shared" si="28"/>
        <v>After 2020</v>
      </c>
    </row>
    <row r="1826" spans="1:13">
      <c r="A1826" t="s">
        <v>2702</v>
      </c>
      <c r="B1826" t="s">
        <v>2703</v>
      </c>
      <c r="C1826" s="1">
        <v>40909</v>
      </c>
      <c r="D1826" s="2">
        <v>1273869800</v>
      </c>
      <c r="E1826" s="2">
        <v>214511</v>
      </c>
      <c r="F1826">
        <v>76</v>
      </c>
      <c r="G1826" s="2">
        <v>370952126</v>
      </c>
      <c r="H1826" s="2">
        <v>2847630</v>
      </c>
      <c r="I1826" s="2">
        <v>172101115</v>
      </c>
      <c r="J1826">
        <v>148</v>
      </c>
      <c r="K1826">
        <v>353</v>
      </c>
      <c r="L1826">
        <v>0</v>
      </c>
      <c r="M1826" t="str">
        <f t="shared" si="28"/>
        <v>2010-2020</v>
      </c>
    </row>
    <row r="1827" spans="1:13" hidden="1">
      <c r="A1827" t="s">
        <v>2704</v>
      </c>
      <c r="B1827" t="s">
        <v>2705</v>
      </c>
      <c r="C1827" s="1">
        <v>45439</v>
      </c>
      <c r="D1827" s="2">
        <v>68134</v>
      </c>
      <c r="E1827">
        <v>3</v>
      </c>
      <c r="L1827">
        <v>0</v>
      </c>
      <c r="M1827" t="str">
        <f t="shared" si="28"/>
        <v>After 2020</v>
      </c>
    </row>
    <row r="1828" spans="1:13">
      <c r="A1828" t="s">
        <v>2706</v>
      </c>
      <c r="B1828" t="s">
        <v>601</v>
      </c>
      <c r="C1828" s="1">
        <v>44533</v>
      </c>
      <c r="D1828" s="2">
        <v>171060866</v>
      </c>
      <c r="E1828" s="2">
        <v>62420</v>
      </c>
      <c r="F1828">
        <v>62</v>
      </c>
      <c r="G1828" s="2">
        <v>39445207</v>
      </c>
      <c r="H1828" s="2">
        <v>832416</v>
      </c>
      <c r="I1828" s="2">
        <v>954943543</v>
      </c>
      <c r="J1828">
        <v>17</v>
      </c>
      <c r="K1828">
        <v>529</v>
      </c>
      <c r="L1828">
        <v>0</v>
      </c>
      <c r="M1828" t="str">
        <f t="shared" si="28"/>
        <v>After 2020</v>
      </c>
    </row>
    <row r="1829" spans="1:13" hidden="1">
      <c r="A1829" t="s">
        <v>2707</v>
      </c>
      <c r="B1829" t="s">
        <v>2261</v>
      </c>
      <c r="C1829" s="1">
        <v>45099</v>
      </c>
      <c r="D1829" s="2">
        <v>208410725</v>
      </c>
      <c r="E1829" s="2">
        <v>14238</v>
      </c>
      <c r="F1829">
        <v>66</v>
      </c>
      <c r="G1829" s="2">
        <v>117750348</v>
      </c>
      <c r="H1829" s="2">
        <v>1330374</v>
      </c>
      <c r="I1829" s="2">
        <v>327071314</v>
      </c>
      <c r="J1829">
        <v>3</v>
      </c>
      <c r="L1829">
        <v>0</v>
      </c>
      <c r="M1829" t="str">
        <f t="shared" si="28"/>
        <v>After 2020</v>
      </c>
    </row>
    <row r="1830" spans="1:13">
      <c r="A1830" t="s">
        <v>2708</v>
      </c>
      <c r="B1830" t="s">
        <v>197</v>
      </c>
      <c r="C1830" s="1">
        <v>44232</v>
      </c>
      <c r="D1830" s="2">
        <v>595213841</v>
      </c>
      <c r="E1830" s="2">
        <v>124555</v>
      </c>
      <c r="F1830">
        <v>77</v>
      </c>
      <c r="G1830" s="2">
        <v>47759635</v>
      </c>
      <c r="H1830" s="2">
        <v>771300</v>
      </c>
      <c r="I1830" s="2">
        <v>640679729</v>
      </c>
      <c r="J1830">
        <v>33</v>
      </c>
      <c r="K1830">
        <v>145</v>
      </c>
      <c r="L1830">
        <v>1</v>
      </c>
      <c r="M1830" t="str">
        <f t="shared" si="28"/>
        <v>After 2020</v>
      </c>
    </row>
    <row r="1831" spans="1:13" hidden="1">
      <c r="A1831" t="s">
        <v>2709</v>
      </c>
      <c r="B1831" t="s">
        <v>2710</v>
      </c>
      <c r="C1831" s="1">
        <v>45383</v>
      </c>
      <c r="D1831" s="2">
        <v>4579390</v>
      </c>
      <c r="E1831">
        <v>569</v>
      </c>
      <c r="F1831">
        <v>59</v>
      </c>
      <c r="G1831" s="2">
        <v>54015483</v>
      </c>
      <c r="H1831" s="2">
        <v>299452</v>
      </c>
      <c r="J1831">
        <v>8</v>
      </c>
      <c r="L1831">
        <v>0</v>
      </c>
      <c r="M1831" t="str">
        <f t="shared" si="28"/>
        <v>After 2020</v>
      </c>
    </row>
    <row r="1832" spans="1:13">
      <c r="A1832" t="s">
        <v>2711</v>
      </c>
      <c r="B1832" t="s">
        <v>504</v>
      </c>
      <c r="C1832" s="1">
        <v>43398</v>
      </c>
      <c r="D1832" s="2">
        <v>587673746</v>
      </c>
      <c r="E1832" s="2">
        <v>88533</v>
      </c>
      <c r="F1832">
        <v>65</v>
      </c>
      <c r="G1832" s="2">
        <v>490164687</v>
      </c>
      <c r="H1832" s="2">
        <v>7575841</v>
      </c>
      <c r="I1832" s="2">
        <v>15353974</v>
      </c>
      <c r="J1832">
        <v>34</v>
      </c>
      <c r="K1832">
        <v>9</v>
      </c>
      <c r="L1832">
        <v>1</v>
      </c>
      <c r="M1832" t="str">
        <f t="shared" si="28"/>
        <v>2010-2020</v>
      </c>
    </row>
    <row r="1833" spans="1:13" hidden="1">
      <c r="A1833" t="s">
        <v>2712</v>
      </c>
      <c r="B1833" t="s">
        <v>2713</v>
      </c>
      <c r="C1833" s="1">
        <v>44144</v>
      </c>
      <c r="D1833" s="2">
        <v>60103893</v>
      </c>
      <c r="E1833" s="2">
        <v>7617</v>
      </c>
      <c r="F1833">
        <v>54</v>
      </c>
      <c r="G1833" s="2">
        <v>996649537</v>
      </c>
      <c r="H1833" s="2">
        <v>9168790</v>
      </c>
      <c r="I1833" s="2">
        <v>44461309</v>
      </c>
      <c r="J1833">
        <v>4</v>
      </c>
      <c r="L1833">
        <v>0</v>
      </c>
      <c r="M1833" t="str">
        <f t="shared" si="28"/>
        <v>2010-2020</v>
      </c>
    </row>
    <row r="1834" spans="1:13" hidden="1">
      <c r="A1834" t="s">
        <v>628</v>
      </c>
      <c r="B1834" t="s">
        <v>127</v>
      </c>
      <c r="C1834" s="1">
        <v>43910</v>
      </c>
      <c r="D1834" s="2">
        <v>1995511952</v>
      </c>
      <c r="E1834" s="2">
        <v>8264</v>
      </c>
      <c r="F1834">
        <v>49</v>
      </c>
      <c r="J1834">
        <v>68</v>
      </c>
      <c r="L1834">
        <v>1</v>
      </c>
      <c r="M1834" t="str">
        <f t="shared" si="28"/>
        <v>2010-2020</v>
      </c>
    </row>
    <row r="1835" spans="1:13">
      <c r="A1835" t="s">
        <v>2714</v>
      </c>
      <c r="B1835" t="s">
        <v>2715</v>
      </c>
      <c r="C1835" s="1">
        <v>45064</v>
      </c>
      <c r="D1835" s="2">
        <v>142783595</v>
      </c>
      <c r="E1835" s="2">
        <v>27586</v>
      </c>
      <c r="F1835">
        <v>43</v>
      </c>
      <c r="G1835" s="2">
        <v>39579610</v>
      </c>
      <c r="H1835" s="2">
        <v>426906</v>
      </c>
      <c r="I1835" s="2">
        <v>266934347</v>
      </c>
      <c r="J1835">
        <v>117</v>
      </c>
      <c r="K1835" s="2">
        <v>1135</v>
      </c>
      <c r="L1835">
        <v>0</v>
      </c>
      <c r="M1835" t="str">
        <f t="shared" si="28"/>
        <v>After 2020</v>
      </c>
    </row>
    <row r="1836" spans="1:13" hidden="1">
      <c r="A1836" t="s">
        <v>2716</v>
      </c>
      <c r="B1836" t="s">
        <v>966</v>
      </c>
      <c r="C1836" s="1">
        <v>45135</v>
      </c>
      <c r="D1836" s="2">
        <v>112634428</v>
      </c>
      <c r="E1836" s="2">
        <v>23871</v>
      </c>
      <c r="F1836">
        <v>64</v>
      </c>
      <c r="G1836" s="2">
        <v>116848094</v>
      </c>
      <c r="H1836" s="2">
        <v>896215</v>
      </c>
      <c r="J1836">
        <v>10</v>
      </c>
      <c r="L1836">
        <v>1</v>
      </c>
      <c r="M1836" t="str">
        <f t="shared" si="28"/>
        <v>After 2020</v>
      </c>
    </row>
    <row r="1837" spans="1:13">
      <c r="A1837" t="s">
        <v>2717</v>
      </c>
      <c r="B1837" t="s">
        <v>2718</v>
      </c>
      <c r="C1837" s="1">
        <v>44623</v>
      </c>
      <c r="D1837" s="2">
        <v>162356099</v>
      </c>
      <c r="E1837" s="2">
        <v>67124</v>
      </c>
      <c r="F1837">
        <v>62</v>
      </c>
      <c r="G1837" s="2">
        <v>27222424</v>
      </c>
      <c r="H1837" s="2">
        <v>253527</v>
      </c>
      <c r="I1837" s="2">
        <v>1145039714</v>
      </c>
      <c r="J1837">
        <v>77</v>
      </c>
      <c r="K1837">
        <v>515</v>
      </c>
      <c r="L1837">
        <v>0</v>
      </c>
      <c r="M1837" t="str">
        <f t="shared" si="28"/>
        <v>After 2020</v>
      </c>
    </row>
    <row r="1838" spans="1:13">
      <c r="A1838" t="s">
        <v>2719</v>
      </c>
      <c r="B1838" t="s">
        <v>61</v>
      </c>
      <c r="C1838" s="1">
        <v>41640</v>
      </c>
      <c r="D1838" s="2">
        <v>602316735</v>
      </c>
      <c r="E1838" s="2">
        <v>64462</v>
      </c>
      <c r="F1838">
        <v>67</v>
      </c>
      <c r="G1838" s="2">
        <v>1643019828</v>
      </c>
      <c r="H1838" s="2">
        <v>10410620</v>
      </c>
      <c r="I1838" s="2">
        <v>998836191</v>
      </c>
      <c r="J1838">
        <v>91</v>
      </c>
      <c r="K1838">
        <v>117</v>
      </c>
      <c r="L1838">
        <v>0</v>
      </c>
      <c r="M1838" t="str">
        <f t="shared" si="28"/>
        <v>2010-2020</v>
      </c>
    </row>
    <row r="1839" spans="1:13" hidden="1">
      <c r="A1839" t="s">
        <v>1039</v>
      </c>
      <c r="B1839" t="s">
        <v>1040</v>
      </c>
      <c r="C1839" s="1">
        <v>44639</v>
      </c>
      <c r="D1839" s="2">
        <v>1033308414</v>
      </c>
      <c r="E1839" s="2">
        <v>53249</v>
      </c>
      <c r="F1839">
        <v>1</v>
      </c>
      <c r="G1839" s="2">
        <v>12702613</v>
      </c>
      <c r="H1839" s="2">
        <v>214200</v>
      </c>
      <c r="I1839" s="2">
        <v>1837588984</v>
      </c>
      <c r="K1839">
        <v>944</v>
      </c>
      <c r="L1839">
        <v>0</v>
      </c>
      <c r="M1839" t="str">
        <f t="shared" si="28"/>
        <v>After 2020</v>
      </c>
    </row>
    <row r="1840" spans="1:13" hidden="1">
      <c r="A1840" t="s">
        <v>2720</v>
      </c>
      <c r="B1840" t="s">
        <v>2362</v>
      </c>
      <c r="C1840" s="1">
        <v>45317</v>
      </c>
      <c r="D1840" s="2">
        <v>119369458</v>
      </c>
      <c r="E1840" s="2">
        <v>5866</v>
      </c>
      <c r="G1840" s="2">
        <v>38415068</v>
      </c>
      <c r="H1840" s="2">
        <v>389722</v>
      </c>
      <c r="I1840" s="2">
        <v>171858600</v>
      </c>
      <c r="J1840">
        <v>18</v>
      </c>
      <c r="K1840">
        <v>1</v>
      </c>
      <c r="L1840">
        <v>0</v>
      </c>
      <c r="M1840" t="str">
        <f t="shared" si="28"/>
        <v>After 2020</v>
      </c>
    </row>
    <row r="1841" spans="1:13">
      <c r="A1841" t="s">
        <v>2721</v>
      </c>
      <c r="B1841" t="s">
        <v>106</v>
      </c>
      <c r="C1841" s="1">
        <v>44638</v>
      </c>
      <c r="D1841" s="2">
        <v>371288040</v>
      </c>
      <c r="E1841" s="2">
        <v>69527</v>
      </c>
      <c r="F1841">
        <v>69</v>
      </c>
      <c r="G1841" s="2">
        <v>42623147</v>
      </c>
      <c r="H1841" s="2">
        <v>297084</v>
      </c>
      <c r="I1841" s="2">
        <v>19793657</v>
      </c>
      <c r="J1841">
        <v>111</v>
      </c>
      <c r="K1841">
        <v>348</v>
      </c>
      <c r="L1841">
        <v>0</v>
      </c>
      <c r="M1841" t="str">
        <f t="shared" si="28"/>
        <v>After 2020</v>
      </c>
    </row>
    <row r="1842" spans="1:13">
      <c r="A1842" t="s">
        <v>2722</v>
      </c>
      <c r="B1842" t="s">
        <v>301</v>
      </c>
      <c r="C1842" s="1">
        <v>44988</v>
      </c>
      <c r="D1842" s="2">
        <v>175095439</v>
      </c>
      <c r="E1842" s="2">
        <v>21001</v>
      </c>
      <c r="F1842">
        <v>75</v>
      </c>
      <c r="G1842" s="2">
        <v>61848993</v>
      </c>
      <c r="H1842" s="2">
        <v>311636</v>
      </c>
      <c r="I1842" s="2">
        <v>21618436</v>
      </c>
      <c r="J1842">
        <v>25</v>
      </c>
      <c r="K1842">
        <v>21</v>
      </c>
      <c r="L1842">
        <v>0</v>
      </c>
      <c r="M1842" t="str">
        <f t="shared" si="28"/>
        <v>After 2020</v>
      </c>
    </row>
    <row r="1843" spans="1:13">
      <c r="A1843" t="s">
        <v>1836</v>
      </c>
      <c r="B1843" t="s">
        <v>2723</v>
      </c>
      <c r="C1843" s="1">
        <v>44411</v>
      </c>
      <c r="D1843" s="2">
        <v>780755736</v>
      </c>
      <c r="E1843" s="2">
        <v>107320</v>
      </c>
      <c r="F1843">
        <v>72</v>
      </c>
      <c r="G1843" s="2">
        <v>89683527</v>
      </c>
      <c r="H1843" s="2">
        <v>493296</v>
      </c>
      <c r="I1843" s="2">
        <v>49294071</v>
      </c>
      <c r="J1843">
        <v>97</v>
      </c>
      <c r="K1843">
        <v>129</v>
      </c>
      <c r="L1843">
        <v>1</v>
      </c>
      <c r="M1843" t="str">
        <f t="shared" si="28"/>
        <v>After 2020</v>
      </c>
    </row>
    <row r="1844" spans="1:13" hidden="1">
      <c r="A1844" t="s">
        <v>2724</v>
      </c>
      <c r="B1844" t="s">
        <v>2725</v>
      </c>
      <c r="C1844" s="1">
        <v>44499</v>
      </c>
      <c r="D1844" s="2">
        <v>185690034</v>
      </c>
      <c r="E1844" s="2">
        <v>20169</v>
      </c>
      <c r="F1844">
        <v>62</v>
      </c>
      <c r="G1844" s="2">
        <v>653915314</v>
      </c>
      <c r="H1844" s="2">
        <v>6109560</v>
      </c>
      <c r="I1844" s="2">
        <v>52219515</v>
      </c>
      <c r="J1844">
        <v>13</v>
      </c>
      <c r="L1844">
        <v>0</v>
      </c>
      <c r="M1844" t="str">
        <f t="shared" si="28"/>
        <v>After 2020</v>
      </c>
    </row>
    <row r="1845" spans="1:13">
      <c r="A1845" t="s">
        <v>2726</v>
      </c>
      <c r="B1845" t="s">
        <v>682</v>
      </c>
      <c r="C1845" s="1">
        <v>45040</v>
      </c>
      <c r="D1845" s="2">
        <v>210481840</v>
      </c>
      <c r="E1845" s="2">
        <v>14690</v>
      </c>
      <c r="F1845">
        <v>67</v>
      </c>
      <c r="G1845" s="2">
        <v>209677493</v>
      </c>
      <c r="H1845" s="2">
        <v>2906443</v>
      </c>
      <c r="I1845" s="2">
        <v>1027127321</v>
      </c>
      <c r="J1845">
        <v>29</v>
      </c>
      <c r="K1845">
        <v>27</v>
      </c>
      <c r="L1845">
        <v>0</v>
      </c>
      <c r="M1845" t="str">
        <f t="shared" si="28"/>
        <v>After 2020</v>
      </c>
    </row>
    <row r="1846" spans="1:13">
      <c r="A1846" t="s">
        <v>1657</v>
      </c>
      <c r="B1846" t="s">
        <v>133</v>
      </c>
      <c r="C1846" s="1">
        <v>44091</v>
      </c>
      <c r="D1846" s="2">
        <v>411109963</v>
      </c>
      <c r="E1846" s="2">
        <v>53928</v>
      </c>
      <c r="F1846">
        <v>58</v>
      </c>
      <c r="G1846" s="2">
        <v>205575225</v>
      </c>
      <c r="H1846" s="2">
        <v>1908534</v>
      </c>
      <c r="I1846" s="2">
        <v>254269639</v>
      </c>
      <c r="J1846">
        <v>133</v>
      </c>
      <c r="K1846">
        <v>53</v>
      </c>
      <c r="L1846">
        <v>0</v>
      </c>
      <c r="M1846" t="str">
        <f t="shared" si="28"/>
        <v>2010-2020</v>
      </c>
    </row>
    <row r="1847" spans="1:13">
      <c r="A1847" t="s">
        <v>2727</v>
      </c>
      <c r="B1847" t="s">
        <v>2728</v>
      </c>
      <c r="C1847" s="1">
        <v>41275</v>
      </c>
      <c r="D1847" s="2">
        <v>2188592950</v>
      </c>
      <c r="E1847" s="2">
        <v>361827</v>
      </c>
      <c r="F1847">
        <v>81</v>
      </c>
      <c r="G1847" s="2">
        <v>457550865</v>
      </c>
      <c r="H1847" s="2">
        <v>4610448</v>
      </c>
      <c r="I1847" s="2">
        <v>71629637</v>
      </c>
      <c r="J1847">
        <v>149</v>
      </c>
      <c r="K1847">
        <v>71</v>
      </c>
      <c r="L1847">
        <v>0</v>
      </c>
      <c r="M1847" t="str">
        <f t="shared" si="28"/>
        <v>2010-2020</v>
      </c>
    </row>
    <row r="1848" spans="1:13" hidden="1">
      <c r="A1848" t="s">
        <v>2729</v>
      </c>
      <c r="B1848" t="s">
        <v>129</v>
      </c>
      <c r="C1848" s="1">
        <v>45079</v>
      </c>
      <c r="D1848" s="2">
        <v>168713011</v>
      </c>
      <c r="E1848" s="2">
        <v>40836</v>
      </c>
      <c r="F1848">
        <v>68</v>
      </c>
      <c r="G1848" s="2">
        <v>42717660</v>
      </c>
      <c r="H1848" s="2">
        <v>479690</v>
      </c>
      <c r="J1848">
        <v>37</v>
      </c>
      <c r="K1848">
        <v>2</v>
      </c>
      <c r="L1848">
        <v>0</v>
      </c>
      <c r="M1848" t="str">
        <f t="shared" si="28"/>
        <v>After 2020</v>
      </c>
    </row>
    <row r="1849" spans="1:13" hidden="1">
      <c r="A1849" t="s">
        <v>2730</v>
      </c>
      <c r="B1849" t="s">
        <v>2731</v>
      </c>
      <c r="C1849" s="1">
        <v>45345</v>
      </c>
      <c r="D1849" s="2">
        <v>56343820</v>
      </c>
      <c r="E1849" s="2">
        <v>9047</v>
      </c>
      <c r="F1849">
        <v>78</v>
      </c>
      <c r="G1849" s="2">
        <v>1245263</v>
      </c>
      <c r="H1849" s="2">
        <v>8718</v>
      </c>
      <c r="J1849">
        <v>35</v>
      </c>
      <c r="L1849">
        <v>0</v>
      </c>
      <c r="M1849" t="str">
        <f t="shared" si="28"/>
        <v>After 2020</v>
      </c>
    </row>
    <row r="1850" spans="1:13" hidden="1">
      <c r="A1850" t="s">
        <v>2732</v>
      </c>
      <c r="B1850" t="s">
        <v>2345</v>
      </c>
      <c r="C1850" s="1">
        <v>45429</v>
      </c>
      <c r="D1850" s="2">
        <v>20827832</v>
      </c>
      <c r="E1850" s="2">
        <v>2016</v>
      </c>
      <c r="F1850">
        <v>75</v>
      </c>
      <c r="G1850" s="2">
        <v>3054416</v>
      </c>
      <c r="H1850" s="2">
        <v>50012</v>
      </c>
      <c r="J1850">
        <v>24</v>
      </c>
      <c r="K1850">
        <v>2</v>
      </c>
      <c r="L1850">
        <v>0</v>
      </c>
      <c r="M1850" t="str">
        <f t="shared" si="28"/>
        <v>After 2020</v>
      </c>
    </row>
    <row r="1851" spans="1:13" hidden="1">
      <c r="A1851" t="s">
        <v>2733</v>
      </c>
      <c r="B1851" t="s">
        <v>2734</v>
      </c>
      <c r="C1851" s="1">
        <v>45435</v>
      </c>
      <c r="D1851" s="2">
        <v>20583156</v>
      </c>
      <c r="E1851" s="2">
        <v>3159</v>
      </c>
      <c r="F1851">
        <v>76</v>
      </c>
      <c r="G1851" s="2">
        <v>1094955</v>
      </c>
      <c r="H1851" s="2">
        <v>53918</v>
      </c>
      <c r="J1851">
        <v>22</v>
      </c>
      <c r="L1851">
        <v>0</v>
      </c>
      <c r="M1851" t="str">
        <f t="shared" si="28"/>
        <v>After 2020</v>
      </c>
    </row>
    <row r="1852" spans="1:13">
      <c r="A1852" t="s">
        <v>2735</v>
      </c>
      <c r="B1852" t="s">
        <v>2736</v>
      </c>
      <c r="C1852" s="1">
        <v>40909</v>
      </c>
      <c r="D1852" s="2">
        <v>2444335468</v>
      </c>
      <c r="E1852" s="2">
        <v>380675</v>
      </c>
      <c r="F1852">
        <v>83</v>
      </c>
      <c r="G1852" s="2">
        <v>996981745</v>
      </c>
      <c r="H1852" s="2">
        <v>9104648</v>
      </c>
      <c r="I1852" s="2">
        <v>714451407</v>
      </c>
      <c r="J1852">
        <v>137</v>
      </c>
      <c r="K1852">
        <v>8</v>
      </c>
      <c r="L1852">
        <v>1</v>
      </c>
      <c r="M1852" t="str">
        <f t="shared" si="28"/>
        <v>2010-2020</v>
      </c>
    </row>
    <row r="1853" spans="1:13">
      <c r="A1853" t="s">
        <v>2737</v>
      </c>
      <c r="B1853" t="s">
        <v>1371</v>
      </c>
      <c r="C1853" s="1">
        <v>43196</v>
      </c>
      <c r="D1853" s="2">
        <v>449300755</v>
      </c>
      <c r="E1853" s="2">
        <v>100823</v>
      </c>
      <c r="F1853">
        <v>65</v>
      </c>
      <c r="G1853" s="2">
        <v>1085070267</v>
      </c>
      <c r="H1853" s="2">
        <v>6471346</v>
      </c>
      <c r="I1853" s="2">
        <v>125615755</v>
      </c>
      <c r="J1853">
        <v>124</v>
      </c>
      <c r="K1853">
        <v>14</v>
      </c>
      <c r="L1853">
        <v>0</v>
      </c>
      <c r="M1853" t="str">
        <f t="shared" si="28"/>
        <v>2010-2020</v>
      </c>
    </row>
    <row r="1854" spans="1:13" hidden="1">
      <c r="A1854" t="s">
        <v>2738</v>
      </c>
      <c r="B1854" t="s">
        <v>2272</v>
      </c>
      <c r="C1854" s="1">
        <v>45063</v>
      </c>
      <c r="D1854" s="2">
        <v>184630078</v>
      </c>
      <c r="E1854" s="2">
        <v>29450</v>
      </c>
      <c r="F1854">
        <v>69</v>
      </c>
      <c r="G1854" s="2">
        <v>63500291</v>
      </c>
      <c r="H1854" s="2">
        <v>813255</v>
      </c>
      <c r="I1854" s="2">
        <v>102841979</v>
      </c>
      <c r="J1854">
        <v>2</v>
      </c>
      <c r="L1854">
        <v>1</v>
      </c>
      <c r="M1854" t="str">
        <f t="shared" si="28"/>
        <v>After 2020</v>
      </c>
    </row>
    <row r="1855" spans="1:13" hidden="1">
      <c r="A1855" t="s">
        <v>2739</v>
      </c>
      <c r="B1855" t="s">
        <v>2740</v>
      </c>
      <c r="C1855" s="1">
        <v>44974</v>
      </c>
      <c r="D1855" s="2">
        <v>131670125</v>
      </c>
      <c r="E1855" s="2">
        <v>46791</v>
      </c>
      <c r="F1855">
        <v>66</v>
      </c>
      <c r="I1855" s="2">
        <v>24090347</v>
      </c>
      <c r="J1855">
        <v>29</v>
      </c>
      <c r="L1855">
        <v>0</v>
      </c>
      <c r="M1855" t="str">
        <f t="shared" si="28"/>
        <v>After 2020</v>
      </c>
    </row>
    <row r="1856" spans="1:13" hidden="1">
      <c r="A1856" t="s">
        <v>2741</v>
      </c>
      <c r="B1856" t="s">
        <v>2742</v>
      </c>
      <c r="C1856" s="1">
        <v>44308</v>
      </c>
      <c r="D1856" s="2">
        <v>329901408</v>
      </c>
      <c r="E1856" s="2">
        <v>127068</v>
      </c>
      <c r="F1856">
        <v>59</v>
      </c>
      <c r="G1856" s="2">
        <v>139803282</v>
      </c>
      <c r="H1856" s="2">
        <v>2011079</v>
      </c>
      <c r="I1856" s="2">
        <v>5034712644</v>
      </c>
      <c r="J1856">
        <v>56</v>
      </c>
      <c r="L1856">
        <v>1</v>
      </c>
      <c r="M1856" t="str">
        <f t="shared" si="28"/>
        <v>After 2020</v>
      </c>
    </row>
    <row r="1857" spans="1:13" hidden="1">
      <c r="A1857" t="s">
        <v>2743</v>
      </c>
      <c r="B1857" t="s">
        <v>1427</v>
      </c>
      <c r="C1857" s="1">
        <v>45040</v>
      </c>
      <c r="D1857" s="2">
        <v>30668840</v>
      </c>
      <c r="E1857">
        <v>681</v>
      </c>
      <c r="F1857">
        <v>60</v>
      </c>
      <c r="G1857" s="2">
        <v>324783065</v>
      </c>
      <c r="H1857" s="2">
        <v>1774598</v>
      </c>
      <c r="I1857" s="2">
        <v>967073</v>
      </c>
      <c r="L1857">
        <v>0</v>
      </c>
      <c r="M1857" t="str">
        <f t="shared" si="28"/>
        <v>After 2020</v>
      </c>
    </row>
    <row r="1858" spans="1:13">
      <c r="A1858" t="s">
        <v>2744</v>
      </c>
      <c r="B1858" t="s">
        <v>2745</v>
      </c>
      <c r="C1858" s="1">
        <v>39814</v>
      </c>
      <c r="D1858" s="2">
        <v>1477150302</v>
      </c>
      <c r="E1858" s="2">
        <v>241550</v>
      </c>
      <c r="F1858">
        <v>79</v>
      </c>
      <c r="G1858" s="2">
        <v>1751763286</v>
      </c>
      <c r="H1858" s="2">
        <v>7958745</v>
      </c>
      <c r="I1858" s="2">
        <v>1166623514</v>
      </c>
      <c r="J1858">
        <v>166</v>
      </c>
      <c r="K1858">
        <v>348</v>
      </c>
      <c r="L1858">
        <v>0</v>
      </c>
      <c r="M1858" t="str">
        <f t="shared" si="28"/>
        <v>Before 2010</v>
      </c>
    </row>
    <row r="1859" spans="1:13" hidden="1">
      <c r="A1859" t="s">
        <v>2746</v>
      </c>
      <c r="B1859" t="s">
        <v>2747</v>
      </c>
      <c r="C1859" s="1">
        <v>45218</v>
      </c>
      <c r="D1859" s="2">
        <v>15433188</v>
      </c>
      <c r="E1859" s="2">
        <v>5294</v>
      </c>
      <c r="G1859" s="2">
        <v>1480668</v>
      </c>
      <c r="H1859" s="2">
        <v>47307</v>
      </c>
      <c r="I1859" s="2">
        <v>2139918587</v>
      </c>
      <c r="J1859">
        <v>10</v>
      </c>
      <c r="L1859">
        <v>0</v>
      </c>
      <c r="M1859" t="str">
        <f t="shared" ref="M1859:M1922" si="29">IF(YEAR(C1859)&lt;2010,"Before 2010",IF(YEAR(C1859)&lt;=2020,"2010-2020","After 2020"))</f>
        <v>After 2020</v>
      </c>
    </row>
    <row r="1860" spans="1:13">
      <c r="A1860" t="s">
        <v>2748</v>
      </c>
      <c r="B1860" t="s">
        <v>53</v>
      </c>
      <c r="C1860" s="1">
        <v>44680</v>
      </c>
      <c r="D1860" s="2">
        <v>128787729</v>
      </c>
      <c r="E1860" s="2">
        <v>37150</v>
      </c>
      <c r="F1860">
        <v>63</v>
      </c>
      <c r="G1860" s="2">
        <v>56487397</v>
      </c>
      <c r="H1860" s="2">
        <v>578887</v>
      </c>
      <c r="I1860" s="2">
        <v>39913325</v>
      </c>
      <c r="J1860">
        <v>12</v>
      </c>
      <c r="K1860" s="2">
        <v>3962</v>
      </c>
      <c r="L1860">
        <v>1</v>
      </c>
      <c r="M1860" t="str">
        <f t="shared" si="29"/>
        <v>After 2020</v>
      </c>
    </row>
    <row r="1861" spans="1:13">
      <c r="A1861" t="s">
        <v>2749</v>
      </c>
      <c r="B1861" t="s">
        <v>449</v>
      </c>
      <c r="C1861" s="1">
        <v>43777</v>
      </c>
      <c r="D1861" s="2">
        <v>420627588</v>
      </c>
      <c r="E1861" s="2">
        <v>104460</v>
      </c>
      <c r="F1861">
        <v>60</v>
      </c>
      <c r="G1861" s="2">
        <v>448194116</v>
      </c>
      <c r="H1861" s="2">
        <v>3160800</v>
      </c>
      <c r="I1861" s="2">
        <v>225572938</v>
      </c>
      <c r="J1861">
        <v>76</v>
      </c>
      <c r="K1861">
        <v>212</v>
      </c>
      <c r="L1861">
        <v>1</v>
      </c>
      <c r="M1861" t="str">
        <f t="shared" si="29"/>
        <v>2010-2020</v>
      </c>
    </row>
    <row r="1862" spans="1:13">
      <c r="A1862" t="s">
        <v>2750</v>
      </c>
      <c r="B1862" t="s">
        <v>391</v>
      </c>
      <c r="C1862" s="1">
        <v>42908</v>
      </c>
      <c r="D1862" s="2">
        <v>594775179</v>
      </c>
      <c r="E1862" s="2">
        <v>39525</v>
      </c>
      <c r="F1862">
        <v>70</v>
      </c>
      <c r="G1862" s="2">
        <v>1658892938</v>
      </c>
      <c r="H1862" s="2">
        <v>17870955</v>
      </c>
      <c r="I1862" s="2">
        <v>716217499</v>
      </c>
      <c r="J1862">
        <v>28</v>
      </c>
      <c r="K1862">
        <v>4</v>
      </c>
      <c r="L1862">
        <v>0</v>
      </c>
      <c r="M1862" t="str">
        <f t="shared" si="29"/>
        <v>2010-2020</v>
      </c>
    </row>
    <row r="1863" spans="1:13">
      <c r="A1863" t="s">
        <v>2751</v>
      </c>
      <c r="B1863" t="s">
        <v>1188</v>
      </c>
      <c r="C1863" s="1">
        <v>42184</v>
      </c>
      <c r="D1863" s="2">
        <v>808010338</v>
      </c>
      <c r="E1863" s="2">
        <v>130977</v>
      </c>
      <c r="F1863">
        <v>71</v>
      </c>
      <c r="G1863" s="2">
        <v>690889020</v>
      </c>
      <c r="H1863" s="2">
        <v>4272301</v>
      </c>
      <c r="I1863" s="2">
        <v>243314330</v>
      </c>
      <c r="J1863">
        <v>1</v>
      </c>
      <c r="K1863">
        <v>375</v>
      </c>
      <c r="L1863">
        <v>1</v>
      </c>
      <c r="M1863" t="str">
        <f t="shared" si="29"/>
        <v>2010-2020</v>
      </c>
    </row>
    <row r="1864" spans="1:13">
      <c r="A1864" t="s">
        <v>2752</v>
      </c>
      <c r="B1864" t="s">
        <v>281</v>
      </c>
      <c r="C1864" s="1">
        <v>45162</v>
      </c>
      <c r="D1864" s="2">
        <v>178247858</v>
      </c>
      <c r="E1864" s="2">
        <v>12797</v>
      </c>
      <c r="F1864">
        <v>73</v>
      </c>
      <c r="G1864" s="2">
        <v>104715392</v>
      </c>
      <c r="H1864" s="2">
        <v>352213</v>
      </c>
      <c r="I1864" s="2">
        <v>26823518</v>
      </c>
      <c r="J1864">
        <v>17</v>
      </c>
      <c r="K1864">
        <v>212</v>
      </c>
      <c r="L1864">
        <v>0</v>
      </c>
      <c r="M1864" t="str">
        <f t="shared" si="29"/>
        <v>After 2020</v>
      </c>
    </row>
    <row r="1865" spans="1:13">
      <c r="A1865" t="s">
        <v>2753</v>
      </c>
      <c r="B1865" t="s">
        <v>2253</v>
      </c>
      <c r="C1865" s="1">
        <v>44967</v>
      </c>
      <c r="D1865" s="2">
        <v>150399875</v>
      </c>
      <c r="E1865" s="2">
        <v>24147</v>
      </c>
      <c r="F1865">
        <v>68</v>
      </c>
      <c r="G1865" s="2">
        <v>31790864</v>
      </c>
      <c r="H1865" s="2">
        <v>197887</v>
      </c>
      <c r="I1865" s="2">
        <v>59124615</v>
      </c>
      <c r="J1865">
        <v>58</v>
      </c>
      <c r="K1865">
        <v>93</v>
      </c>
      <c r="L1865">
        <v>0</v>
      </c>
      <c r="M1865" t="str">
        <f t="shared" si="29"/>
        <v>After 2020</v>
      </c>
    </row>
    <row r="1866" spans="1:13" hidden="1">
      <c r="A1866" t="s">
        <v>2754</v>
      </c>
      <c r="B1866" t="s">
        <v>504</v>
      </c>
      <c r="C1866" s="1">
        <v>42786</v>
      </c>
      <c r="D1866" s="2">
        <v>1432465000</v>
      </c>
      <c r="E1866" s="2">
        <v>178342</v>
      </c>
      <c r="F1866">
        <v>75</v>
      </c>
      <c r="G1866" s="2">
        <v>529846128</v>
      </c>
      <c r="H1866" s="2">
        <v>11029532</v>
      </c>
      <c r="I1866" s="2">
        <v>2685984395</v>
      </c>
      <c r="J1866">
        <v>36</v>
      </c>
      <c r="L1866">
        <v>1</v>
      </c>
      <c r="M1866" t="str">
        <f t="shared" si="29"/>
        <v>2010-2020</v>
      </c>
    </row>
    <row r="1867" spans="1:13">
      <c r="A1867" t="s">
        <v>2755</v>
      </c>
      <c r="B1867" t="s">
        <v>2756</v>
      </c>
      <c r="C1867" s="1">
        <v>45100</v>
      </c>
      <c r="D1867" s="2">
        <v>34566972</v>
      </c>
      <c r="E1867" s="2">
        <v>14562</v>
      </c>
      <c r="F1867">
        <v>54</v>
      </c>
      <c r="G1867" s="2">
        <v>63064761</v>
      </c>
      <c r="H1867" s="2">
        <v>306628</v>
      </c>
      <c r="I1867" s="2">
        <v>155967629</v>
      </c>
      <c r="J1867">
        <v>17</v>
      </c>
      <c r="K1867">
        <v>4</v>
      </c>
      <c r="L1867">
        <v>1</v>
      </c>
      <c r="M1867" t="str">
        <f t="shared" si="29"/>
        <v>After 2020</v>
      </c>
    </row>
    <row r="1868" spans="1:13">
      <c r="A1868" t="s">
        <v>2757</v>
      </c>
      <c r="B1868" t="s">
        <v>2758</v>
      </c>
      <c r="C1868" s="1">
        <v>45338</v>
      </c>
      <c r="D1868" s="2">
        <v>99946842</v>
      </c>
      <c r="E1868" s="2">
        <v>9128</v>
      </c>
      <c r="F1868">
        <v>78</v>
      </c>
      <c r="G1868" s="2">
        <v>4417747</v>
      </c>
      <c r="H1868" s="2">
        <v>54887</v>
      </c>
      <c r="I1868" s="2">
        <v>2306041</v>
      </c>
      <c r="J1868">
        <v>21</v>
      </c>
      <c r="K1868">
        <v>58</v>
      </c>
      <c r="L1868">
        <v>0</v>
      </c>
      <c r="M1868" t="str">
        <f t="shared" si="29"/>
        <v>After 2020</v>
      </c>
    </row>
    <row r="1869" spans="1:13" hidden="1">
      <c r="A1869" t="s">
        <v>2759</v>
      </c>
      <c r="B1869" t="s">
        <v>2760</v>
      </c>
      <c r="C1869" s="1">
        <v>45387</v>
      </c>
      <c r="D1869" s="2">
        <v>299871</v>
      </c>
      <c r="E1869">
        <v>71</v>
      </c>
      <c r="I1869" s="2">
        <v>40815691</v>
      </c>
      <c r="J1869">
        <v>1</v>
      </c>
      <c r="L1869">
        <v>1</v>
      </c>
      <c r="M1869" t="str">
        <f t="shared" si="29"/>
        <v>After 2020</v>
      </c>
    </row>
    <row r="1870" spans="1:13">
      <c r="A1870" t="s">
        <v>910</v>
      </c>
      <c r="B1870" t="s">
        <v>546</v>
      </c>
      <c r="C1870" s="1">
        <v>42972</v>
      </c>
      <c r="D1870" s="2">
        <v>2123458039</v>
      </c>
      <c r="E1870" s="2">
        <v>250221</v>
      </c>
      <c r="F1870">
        <v>77</v>
      </c>
      <c r="G1870" s="2">
        <v>333716726</v>
      </c>
      <c r="H1870" s="2">
        <v>2350373</v>
      </c>
      <c r="I1870" s="2">
        <v>293246122</v>
      </c>
      <c r="J1870">
        <v>6</v>
      </c>
      <c r="K1870">
        <v>155</v>
      </c>
      <c r="L1870">
        <v>1</v>
      </c>
      <c r="M1870" t="str">
        <f t="shared" si="29"/>
        <v>2010-2020</v>
      </c>
    </row>
    <row r="1871" spans="1:13">
      <c r="A1871" t="s">
        <v>2761</v>
      </c>
      <c r="B1871" t="s">
        <v>81</v>
      </c>
      <c r="C1871" s="1">
        <v>43504</v>
      </c>
      <c r="D1871" s="2">
        <v>975281654</v>
      </c>
      <c r="E1871" s="2">
        <v>82431</v>
      </c>
      <c r="F1871">
        <v>69</v>
      </c>
      <c r="G1871" s="2">
        <v>672090558</v>
      </c>
      <c r="H1871" s="2">
        <v>7230344</v>
      </c>
      <c r="I1871" s="2">
        <v>218317192</v>
      </c>
      <c r="J1871">
        <v>74</v>
      </c>
      <c r="K1871">
        <v>263</v>
      </c>
      <c r="L1871">
        <v>1</v>
      </c>
      <c r="M1871" t="str">
        <f t="shared" si="29"/>
        <v>2010-2020</v>
      </c>
    </row>
    <row r="1872" spans="1:13" hidden="1">
      <c r="A1872" t="s">
        <v>2762</v>
      </c>
      <c r="B1872" t="s">
        <v>2763</v>
      </c>
      <c r="C1872" s="1">
        <v>45329</v>
      </c>
      <c r="D1872" s="2">
        <v>81694468</v>
      </c>
      <c r="E1872" s="2">
        <v>4777</v>
      </c>
      <c r="F1872">
        <v>80</v>
      </c>
      <c r="G1872" s="2">
        <v>47424040</v>
      </c>
      <c r="H1872" s="2">
        <v>377348</v>
      </c>
      <c r="I1872" s="2">
        <v>4000000</v>
      </c>
      <c r="J1872">
        <v>28</v>
      </c>
      <c r="L1872">
        <v>0</v>
      </c>
      <c r="M1872" t="str">
        <f t="shared" si="29"/>
        <v>After 2020</v>
      </c>
    </row>
    <row r="1873" spans="1:13">
      <c r="A1873" t="s">
        <v>2764</v>
      </c>
      <c r="B1873" t="s">
        <v>453</v>
      </c>
      <c r="C1873" s="1">
        <v>43434</v>
      </c>
      <c r="D1873" s="2">
        <v>942092206</v>
      </c>
      <c r="E1873" s="2">
        <v>129847</v>
      </c>
      <c r="F1873">
        <v>68</v>
      </c>
      <c r="G1873" s="2">
        <v>561103775</v>
      </c>
      <c r="H1873" s="2">
        <v>5753715</v>
      </c>
      <c r="I1873" s="2">
        <v>1462282216</v>
      </c>
      <c r="J1873">
        <v>106</v>
      </c>
      <c r="K1873">
        <v>17</v>
      </c>
      <c r="L1873">
        <v>0</v>
      </c>
      <c r="M1873" t="str">
        <f t="shared" si="29"/>
        <v>2010-2020</v>
      </c>
    </row>
    <row r="1874" spans="1:13">
      <c r="A1874" t="s">
        <v>2765</v>
      </c>
      <c r="B1874" t="s">
        <v>1641</v>
      </c>
      <c r="C1874" s="1">
        <v>44652</v>
      </c>
      <c r="D1874" s="2">
        <v>231258162</v>
      </c>
      <c r="E1874" s="2">
        <v>42133</v>
      </c>
      <c r="F1874">
        <v>64</v>
      </c>
      <c r="G1874" s="2">
        <v>143774447</v>
      </c>
      <c r="H1874" s="2">
        <v>773465</v>
      </c>
      <c r="I1874" s="2">
        <v>760223916</v>
      </c>
      <c r="J1874">
        <v>27</v>
      </c>
      <c r="K1874">
        <v>368</v>
      </c>
      <c r="L1874">
        <v>1</v>
      </c>
      <c r="M1874" t="str">
        <f t="shared" si="29"/>
        <v>After 2020</v>
      </c>
    </row>
    <row r="1875" spans="1:13" hidden="1">
      <c r="A1875" t="s">
        <v>2766</v>
      </c>
      <c r="B1875" t="s">
        <v>2767</v>
      </c>
      <c r="C1875" s="1">
        <v>45016</v>
      </c>
      <c r="E1875">
        <v>3</v>
      </c>
      <c r="G1875" s="2">
        <v>369121448</v>
      </c>
      <c r="H1875" s="2">
        <v>410669</v>
      </c>
      <c r="L1875">
        <v>0</v>
      </c>
      <c r="M1875" t="str">
        <f t="shared" si="29"/>
        <v>After 2020</v>
      </c>
    </row>
    <row r="1876" spans="1:13" hidden="1">
      <c r="A1876" t="s">
        <v>2768</v>
      </c>
      <c r="B1876" t="s">
        <v>2769</v>
      </c>
      <c r="C1876" s="1">
        <v>44960</v>
      </c>
      <c r="D1876" s="2">
        <v>1537</v>
      </c>
      <c r="E1876">
        <v>3</v>
      </c>
      <c r="G1876" s="2">
        <v>414936783</v>
      </c>
      <c r="H1876" s="2">
        <v>442757</v>
      </c>
      <c r="L1876">
        <v>0</v>
      </c>
      <c r="M1876" t="str">
        <f t="shared" si="29"/>
        <v>After 2020</v>
      </c>
    </row>
    <row r="1877" spans="1:13" hidden="1">
      <c r="A1877" t="s">
        <v>2770</v>
      </c>
      <c r="B1877" t="s">
        <v>2771</v>
      </c>
      <c r="C1877" s="1">
        <v>42881</v>
      </c>
      <c r="D1877" s="2">
        <v>67890975</v>
      </c>
      <c r="E1877" s="2">
        <v>26030</v>
      </c>
      <c r="F1877">
        <v>42</v>
      </c>
      <c r="G1877" s="2">
        <v>3506898</v>
      </c>
      <c r="H1877" s="2">
        <v>39237</v>
      </c>
      <c r="I1877" s="2">
        <v>3438499599</v>
      </c>
      <c r="J1877">
        <v>38</v>
      </c>
      <c r="L1877">
        <v>0</v>
      </c>
      <c r="M1877" t="str">
        <f t="shared" si="29"/>
        <v>2010-2020</v>
      </c>
    </row>
    <row r="1878" spans="1:13">
      <c r="A1878" t="s">
        <v>2772</v>
      </c>
      <c r="B1878" t="s">
        <v>360</v>
      </c>
      <c r="C1878" s="1">
        <v>43644</v>
      </c>
      <c r="D1878" s="2">
        <v>943137389</v>
      </c>
      <c r="E1878" s="2">
        <v>117582</v>
      </c>
      <c r="F1878">
        <v>67</v>
      </c>
      <c r="G1878" s="2">
        <v>315848540</v>
      </c>
      <c r="H1878" s="2">
        <v>1595053</v>
      </c>
      <c r="I1878" s="2">
        <v>94552478</v>
      </c>
      <c r="J1878">
        <v>302</v>
      </c>
      <c r="K1878">
        <v>238</v>
      </c>
      <c r="L1878">
        <v>0</v>
      </c>
      <c r="M1878" t="str">
        <f t="shared" si="29"/>
        <v>2010-2020</v>
      </c>
    </row>
    <row r="1879" spans="1:13" hidden="1">
      <c r="A1879" t="s">
        <v>2773</v>
      </c>
      <c r="B1879" t="s">
        <v>2774</v>
      </c>
      <c r="C1879" s="1">
        <v>44832</v>
      </c>
      <c r="D1879" s="2">
        <v>299202591</v>
      </c>
      <c r="E1879" s="2">
        <v>67616</v>
      </c>
      <c r="F1879">
        <v>67</v>
      </c>
      <c r="G1879" s="2">
        <v>36393651</v>
      </c>
      <c r="H1879" s="2">
        <v>720855</v>
      </c>
      <c r="I1879" s="2">
        <v>5978876777</v>
      </c>
      <c r="J1879">
        <v>21</v>
      </c>
      <c r="L1879">
        <v>1</v>
      </c>
      <c r="M1879" t="str">
        <f t="shared" si="29"/>
        <v>After 2020</v>
      </c>
    </row>
    <row r="1880" spans="1:13" hidden="1">
      <c r="A1880" t="s">
        <v>2775</v>
      </c>
      <c r="B1880" t="s">
        <v>520</v>
      </c>
      <c r="C1880" s="1">
        <v>43140</v>
      </c>
      <c r="D1880" s="2">
        <v>1436709386</v>
      </c>
      <c r="E1880" s="2">
        <v>1231</v>
      </c>
      <c r="F1880">
        <v>31</v>
      </c>
      <c r="G1880" s="2">
        <v>1548579253</v>
      </c>
      <c r="H1880" s="2">
        <v>15340302</v>
      </c>
      <c r="J1880">
        <v>32</v>
      </c>
      <c r="L1880">
        <v>0</v>
      </c>
      <c r="M1880" t="str">
        <f t="shared" si="29"/>
        <v>2010-2020</v>
      </c>
    </row>
    <row r="1881" spans="1:13" hidden="1">
      <c r="A1881" t="s">
        <v>2776</v>
      </c>
      <c r="B1881" t="s">
        <v>1199</v>
      </c>
      <c r="C1881" s="1">
        <v>44566</v>
      </c>
      <c r="D1881" s="2">
        <v>297383787</v>
      </c>
      <c r="E1881" s="2">
        <v>36673</v>
      </c>
      <c r="F1881">
        <v>65</v>
      </c>
      <c r="G1881" s="2">
        <v>467320988</v>
      </c>
      <c r="H1881" s="2">
        <v>3360533</v>
      </c>
      <c r="J1881">
        <v>20</v>
      </c>
      <c r="L1881">
        <v>0</v>
      </c>
      <c r="M1881" t="str">
        <f t="shared" si="29"/>
        <v>After 2020</v>
      </c>
    </row>
    <row r="1882" spans="1:13">
      <c r="A1882" t="s">
        <v>2777</v>
      </c>
      <c r="B1882" t="s">
        <v>1174</v>
      </c>
      <c r="C1882" s="1">
        <v>43145</v>
      </c>
      <c r="D1882" s="2">
        <v>937339123</v>
      </c>
      <c r="E1882" s="2">
        <v>96612</v>
      </c>
      <c r="F1882">
        <v>67</v>
      </c>
      <c r="G1882" s="2">
        <v>479514227</v>
      </c>
      <c r="H1882" s="2">
        <v>3606789</v>
      </c>
      <c r="I1882" s="2">
        <v>56608149</v>
      </c>
      <c r="J1882">
        <v>82</v>
      </c>
      <c r="K1882">
        <v>182</v>
      </c>
      <c r="L1882">
        <v>1</v>
      </c>
      <c r="M1882" t="str">
        <f t="shared" si="29"/>
        <v>2010-2020</v>
      </c>
    </row>
    <row r="1883" spans="1:13" hidden="1">
      <c r="A1883" t="s">
        <v>2778</v>
      </c>
      <c r="B1883" t="s">
        <v>2360</v>
      </c>
      <c r="C1883" s="1">
        <v>45302</v>
      </c>
      <c r="D1883" s="2">
        <v>54141672</v>
      </c>
      <c r="E1883" s="2">
        <v>5115</v>
      </c>
      <c r="F1883">
        <v>70</v>
      </c>
      <c r="G1883" s="2">
        <v>89396830</v>
      </c>
      <c r="H1883" s="2">
        <v>355314</v>
      </c>
      <c r="L1883">
        <v>0</v>
      </c>
      <c r="M1883" t="str">
        <f t="shared" si="29"/>
        <v>After 2020</v>
      </c>
    </row>
    <row r="1884" spans="1:13">
      <c r="A1884" t="s">
        <v>2779</v>
      </c>
      <c r="B1884" t="s">
        <v>1355</v>
      </c>
      <c r="C1884" s="1">
        <v>44131</v>
      </c>
      <c r="D1884" s="2">
        <v>432634168</v>
      </c>
      <c r="E1884" s="2">
        <v>31429</v>
      </c>
      <c r="F1884">
        <v>59</v>
      </c>
      <c r="G1884" s="2">
        <v>699174305</v>
      </c>
      <c r="H1884" s="2">
        <v>2537896</v>
      </c>
      <c r="I1884" s="2">
        <v>168805311</v>
      </c>
      <c r="J1884">
        <v>16</v>
      </c>
      <c r="K1884">
        <v>134</v>
      </c>
      <c r="L1884">
        <v>0</v>
      </c>
      <c r="M1884" t="str">
        <f t="shared" si="29"/>
        <v>2010-2020</v>
      </c>
    </row>
    <row r="1885" spans="1:13" hidden="1">
      <c r="A1885" t="s">
        <v>2780</v>
      </c>
      <c r="B1885" t="s">
        <v>838</v>
      </c>
      <c r="C1885" s="1">
        <v>45440</v>
      </c>
      <c r="D1885" s="2">
        <v>11576361</v>
      </c>
      <c r="E1885">
        <v>935</v>
      </c>
      <c r="F1885">
        <v>71</v>
      </c>
      <c r="G1885" s="2">
        <v>9310828</v>
      </c>
      <c r="H1885" s="2">
        <v>224835</v>
      </c>
      <c r="J1885">
        <v>2</v>
      </c>
      <c r="L1885">
        <v>1</v>
      </c>
      <c r="M1885" t="str">
        <f t="shared" si="29"/>
        <v>After 2020</v>
      </c>
    </row>
    <row r="1886" spans="1:13">
      <c r="A1886" t="s">
        <v>2781</v>
      </c>
      <c r="B1886" t="s">
        <v>266</v>
      </c>
      <c r="C1886" s="1">
        <v>44337</v>
      </c>
      <c r="D1886" s="2">
        <v>884616492</v>
      </c>
      <c r="E1886" s="2">
        <v>101479</v>
      </c>
      <c r="F1886">
        <v>77</v>
      </c>
      <c r="G1886" s="2">
        <v>211384847</v>
      </c>
      <c r="H1886" s="2">
        <v>2822121</v>
      </c>
      <c r="I1886" s="2">
        <v>464412661</v>
      </c>
      <c r="J1886">
        <v>32</v>
      </c>
      <c r="K1886">
        <v>7</v>
      </c>
      <c r="L1886">
        <v>0</v>
      </c>
      <c r="M1886" t="str">
        <f t="shared" si="29"/>
        <v>After 2020</v>
      </c>
    </row>
    <row r="1887" spans="1:13">
      <c r="A1887" t="s">
        <v>2782</v>
      </c>
      <c r="B1887" t="s">
        <v>418</v>
      </c>
      <c r="C1887" s="1">
        <v>42468</v>
      </c>
      <c r="D1887" s="2">
        <v>355833360</v>
      </c>
      <c r="E1887" s="2">
        <v>32831</v>
      </c>
      <c r="F1887">
        <v>57</v>
      </c>
      <c r="G1887" s="2">
        <v>1841152614</v>
      </c>
      <c r="H1887" s="2">
        <v>6950519</v>
      </c>
      <c r="I1887" s="2">
        <v>580818135</v>
      </c>
      <c r="J1887">
        <v>32</v>
      </c>
      <c r="K1887">
        <v>64</v>
      </c>
      <c r="L1887">
        <v>0</v>
      </c>
      <c r="M1887" t="str">
        <f t="shared" si="29"/>
        <v>2010-2020</v>
      </c>
    </row>
    <row r="1888" spans="1:13">
      <c r="A1888" t="s">
        <v>2783</v>
      </c>
      <c r="B1888" t="s">
        <v>981</v>
      </c>
      <c r="C1888" s="1">
        <v>42736</v>
      </c>
      <c r="D1888" s="2">
        <v>583299836</v>
      </c>
      <c r="E1888" s="2">
        <v>52696</v>
      </c>
      <c r="F1888">
        <v>64</v>
      </c>
      <c r="G1888" s="2">
        <v>1463687327</v>
      </c>
      <c r="H1888" s="2">
        <v>4556113</v>
      </c>
      <c r="I1888" s="2">
        <v>107045562</v>
      </c>
      <c r="J1888">
        <v>52</v>
      </c>
      <c r="K1888">
        <v>82</v>
      </c>
      <c r="L1888">
        <v>0</v>
      </c>
      <c r="M1888" t="str">
        <f t="shared" si="29"/>
        <v>2010-2020</v>
      </c>
    </row>
    <row r="1889" spans="1:13">
      <c r="A1889" t="s">
        <v>2784</v>
      </c>
      <c r="B1889" t="s">
        <v>2785</v>
      </c>
      <c r="C1889" s="1">
        <v>44855</v>
      </c>
      <c r="D1889" s="2">
        <v>52106559</v>
      </c>
      <c r="E1889" s="2">
        <v>13612</v>
      </c>
      <c r="F1889">
        <v>61</v>
      </c>
      <c r="G1889" s="2">
        <v>70625059</v>
      </c>
      <c r="H1889" s="2">
        <v>637218</v>
      </c>
      <c r="I1889" s="2">
        <v>81185287</v>
      </c>
      <c r="J1889">
        <v>30</v>
      </c>
      <c r="K1889">
        <v>104</v>
      </c>
      <c r="L1889">
        <v>0</v>
      </c>
      <c r="M1889" t="str">
        <f t="shared" si="29"/>
        <v>After 2020</v>
      </c>
    </row>
    <row r="1890" spans="1:13">
      <c r="A1890" t="s">
        <v>2786</v>
      </c>
      <c r="B1890" t="s">
        <v>2787</v>
      </c>
      <c r="C1890" s="1">
        <v>42223</v>
      </c>
      <c r="D1890" s="2">
        <v>1086861259</v>
      </c>
      <c r="E1890" s="2">
        <v>228925</v>
      </c>
      <c r="F1890">
        <v>79</v>
      </c>
      <c r="G1890" s="2">
        <v>836662907</v>
      </c>
      <c r="H1890" s="2">
        <v>8009540</v>
      </c>
      <c r="I1890" s="2">
        <v>4201171109</v>
      </c>
      <c r="J1890">
        <v>25</v>
      </c>
      <c r="K1890">
        <v>97</v>
      </c>
      <c r="L1890">
        <v>0</v>
      </c>
      <c r="M1890" t="str">
        <f t="shared" si="29"/>
        <v>2010-2020</v>
      </c>
    </row>
    <row r="1891" spans="1:13" hidden="1">
      <c r="A1891" t="s">
        <v>2045</v>
      </c>
      <c r="B1891" t="s">
        <v>305</v>
      </c>
      <c r="C1891" s="1">
        <v>42762</v>
      </c>
      <c r="D1891" s="2">
        <v>1425996809</v>
      </c>
      <c r="E1891">
        <v>995</v>
      </c>
      <c r="F1891">
        <v>32</v>
      </c>
      <c r="G1891" s="2">
        <v>1917522970</v>
      </c>
      <c r="H1891" s="2">
        <v>10237469</v>
      </c>
      <c r="J1891">
        <v>2</v>
      </c>
      <c r="L1891">
        <v>0</v>
      </c>
      <c r="M1891" t="str">
        <f t="shared" si="29"/>
        <v>2010-2020</v>
      </c>
    </row>
    <row r="1892" spans="1:13" hidden="1">
      <c r="A1892" t="s">
        <v>2788</v>
      </c>
      <c r="B1892" t="s">
        <v>2789</v>
      </c>
      <c r="C1892" s="1">
        <v>45016</v>
      </c>
      <c r="D1892" s="2">
        <v>6300</v>
      </c>
      <c r="E1892">
        <v>10</v>
      </c>
      <c r="F1892">
        <v>3</v>
      </c>
      <c r="G1892" s="2">
        <v>371579831</v>
      </c>
      <c r="H1892" s="2">
        <v>300617</v>
      </c>
      <c r="I1892" s="2">
        <v>29251</v>
      </c>
      <c r="L1892">
        <v>0</v>
      </c>
      <c r="M1892" t="str">
        <f t="shared" si="29"/>
        <v>After 2020</v>
      </c>
    </row>
    <row r="1893" spans="1:13">
      <c r="A1893" t="s">
        <v>2790</v>
      </c>
      <c r="B1893" t="s">
        <v>1728</v>
      </c>
      <c r="C1893" s="1">
        <v>42454</v>
      </c>
      <c r="D1893" s="2">
        <v>1320205697</v>
      </c>
      <c r="E1893" s="2">
        <v>124827</v>
      </c>
      <c r="F1893">
        <v>71</v>
      </c>
      <c r="G1893" s="2">
        <v>1389678876</v>
      </c>
      <c r="H1893" s="2">
        <v>10725384</v>
      </c>
      <c r="I1893" s="2">
        <v>191249307</v>
      </c>
      <c r="J1893">
        <v>155</v>
      </c>
      <c r="K1893">
        <v>64</v>
      </c>
      <c r="L1893">
        <v>1</v>
      </c>
      <c r="M1893" t="str">
        <f t="shared" si="29"/>
        <v>2010-2020</v>
      </c>
    </row>
    <row r="1894" spans="1:13" hidden="1">
      <c r="A1894" t="s">
        <v>2791</v>
      </c>
      <c r="B1894" t="s">
        <v>233</v>
      </c>
      <c r="C1894" s="1">
        <v>44687</v>
      </c>
      <c r="D1894" s="2">
        <v>820953</v>
      </c>
      <c r="E1894">
        <v>204</v>
      </c>
      <c r="F1894">
        <v>22</v>
      </c>
      <c r="G1894" s="2">
        <v>38888242</v>
      </c>
      <c r="H1894" s="2">
        <v>500894</v>
      </c>
      <c r="L1894">
        <v>0</v>
      </c>
      <c r="M1894" t="str">
        <f t="shared" si="29"/>
        <v>After 2020</v>
      </c>
    </row>
    <row r="1895" spans="1:13">
      <c r="A1895" t="s">
        <v>2792</v>
      </c>
      <c r="B1895" t="s">
        <v>2793</v>
      </c>
      <c r="C1895" s="1">
        <v>45128</v>
      </c>
      <c r="D1895" s="2">
        <v>36398813</v>
      </c>
      <c r="E1895" s="2">
        <v>7606</v>
      </c>
      <c r="F1895">
        <v>62</v>
      </c>
      <c r="G1895" s="2">
        <v>51105810</v>
      </c>
      <c r="H1895" s="2">
        <v>440385</v>
      </c>
      <c r="I1895" s="2">
        <v>30427598</v>
      </c>
      <c r="J1895">
        <v>17</v>
      </c>
      <c r="K1895">
        <v>77</v>
      </c>
      <c r="L1895">
        <v>0</v>
      </c>
      <c r="M1895" t="str">
        <f t="shared" si="29"/>
        <v>After 2020</v>
      </c>
    </row>
    <row r="1896" spans="1:13" hidden="1">
      <c r="A1896" t="s">
        <v>2794</v>
      </c>
      <c r="B1896" t="s">
        <v>2795</v>
      </c>
      <c r="C1896" s="1">
        <v>44823</v>
      </c>
      <c r="D1896" s="2">
        <v>32642</v>
      </c>
      <c r="E1896">
        <v>7</v>
      </c>
      <c r="F1896">
        <v>1</v>
      </c>
      <c r="G1896" s="2">
        <v>50391</v>
      </c>
      <c r="H1896">
        <v>373</v>
      </c>
      <c r="I1896" s="2">
        <v>235913641</v>
      </c>
      <c r="L1896">
        <v>0</v>
      </c>
      <c r="M1896" t="str">
        <f t="shared" si="29"/>
        <v>After 2020</v>
      </c>
    </row>
    <row r="1897" spans="1:13" hidden="1">
      <c r="A1897" t="s">
        <v>2796</v>
      </c>
      <c r="B1897" t="s">
        <v>2797</v>
      </c>
      <c r="C1897" s="1">
        <v>44154</v>
      </c>
      <c r="D1897" s="2">
        <v>76630812</v>
      </c>
      <c r="E1897" s="2">
        <v>8933</v>
      </c>
      <c r="F1897">
        <v>51</v>
      </c>
      <c r="G1897" s="2">
        <v>964253382</v>
      </c>
      <c r="H1897" s="2">
        <v>9620300</v>
      </c>
      <c r="I1897" s="2">
        <v>99450429</v>
      </c>
      <c r="J1897">
        <v>4</v>
      </c>
      <c r="L1897">
        <v>0</v>
      </c>
      <c r="M1897" t="str">
        <f t="shared" si="29"/>
        <v>2010-2020</v>
      </c>
    </row>
    <row r="1898" spans="1:13" hidden="1">
      <c r="A1898" t="s">
        <v>2798</v>
      </c>
      <c r="B1898" t="s">
        <v>2799</v>
      </c>
      <c r="C1898" s="1">
        <v>42510</v>
      </c>
      <c r="D1898" s="2">
        <v>316267018</v>
      </c>
      <c r="E1898" s="2">
        <v>68407</v>
      </c>
      <c r="F1898">
        <v>60</v>
      </c>
      <c r="G1898" s="2">
        <v>515355994</v>
      </c>
      <c r="H1898" s="2">
        <v>3980712</v>
      </c>
      <c r="I1898" s="2">
        <v>286622729</v>
      </c>
      <c r="J1898">
        <v>165</v>
      </c>
      <c r="L1898">
        <v>1</v>
      </c>
      <c r="M1898" t="str">
        <f t="shared" si="29"/>
        <v>2010-2020</v>
      </c>
    </row>
    <row r="1899" spans="1:13" hidden="1">
      <c r="A1899" t="s">
        <v>2800</v>
      </c>
      <c r="B1899" t="s">
        <v>546</v>
      </c>
      <c r="C1899" s="1">
        <v>45107</v>
      </c>
      <c r="D1899" s="2">
        <v>125102655</v>
      </c>
      <c r="E1899" s="2">
        <v>54044</v>
      </c>
      <c r="F1899">
        <v>66</v>
      </c>
      <c r="G1899" s="2">
        <v>7154684</v>
      </c>
      <c r="H1899" s="2">
        <v>115132</v>
      </c>
      <c r="I1899" s="2">
        <v>9831629</v>
      </c>
      <c r="J1899">
        <v>26</v>
      </c>
      <c r="L1899">
        <v>1</v>
      </c>
      <c r="M1899" t="str">
        <f t="shared" si="29"/>
        <v>After 2020</v>
      </c>
    </row>
    <row r="1900" spans="1:13" hidden="1">
      <c r="A1900" t="s">
        <v>2801</v>
      </c>
      <c r="B1900" t="s">
        <v>2802</v>
      </c>
      <c r="C1900" s="1">
        <v>45342</v>
      </c>
      <c r="D1900" s="2">
        <v>6576855</v>
      </c>
      <c r="E1900">
        <v>307</v>
      </c>
      <c r="G1900" s="2">
        <v>66986452</v>
      </c>
      <c r="H1900" s="2">
        <v>456000</v>
      </c>
      <c r="I1900" s="2">
        <v>6127</v>
      </c>
      <c r="J1900">
        <v>1</v>
      </c>
      <c r="L1900">
        <v>0</v>
      </c>
      <c r="M1900" t="str">
        <f t="shared" si="29"/>
        <v>After 2020</v>
      </c>
    </row>
    <row r="1901" spans="1:13" hidden="1">
      <c r="A1901" t="s">
        <v>2803</v>
      </c>
      <c r="B1901" t="s">
        <v>2804</v>
      </c>
      <c r="C1901" s="1">
        <v>44870</v>
      </c>
      <c r="D1901" s="2">
        <v>123908201</v>
      </c>
      <c r="E1901" s="2">
        <v>6218</v>
      </c>
      <c r="F1901">
        <v>62</v>
      </c>
      <c r="G1901" s="2">
        <v>417372813</v>
      </c>
      <c r="H1901" s="2">
        <v>3801568</v>
      </c>
      <c r="J1901">
        <v>1</v>
      </c>
      <c r="L1901">
        <v>0</v>
      </c>
      <c r="M1901" t="str">
        <f t="shared" si="29"/>
        <v>After 2020</v>
      </c>
    </row>
    <row r="1902" spans="1:13">
      <c r="A1902" t="s">
        <v>2805</v>
      </c>
      <c r="B1902" t="s">
        <v>170</v>
      </c>
      <c r="C1902" s="1">
        <v>44960</v>
      </c>
      <c r="D1902" s="2">
        <v>491242756</v>
      </c>
      <c r="E1902" s="2">
        <v>37814</v>
      </c>
      <c r="F1902">
        <v>75</v>
      </c>
      <c r="G1902" s="2">
        <v>80668854</v>
      </c>
      <c r="H1902" s="2">
        <v>1002368</v>
      </c>
      <c r="I1902" s="2">
        <v>77308719</v>
      </c>
      <c r="J1902">
        <v>57</v>
      </c>
      <c r="K1902">
        <v>37</v>
      </c>
      <c r="L1902">
        <v>1</v>
      </c>
      <c r="M1902" t="str">
        <f t="shared" si="29"/>
        <v>After 2020</v>
      </c>
    </row>
    <row r="1903" spans="1:13" hidden="1">
      <c r="A1903" t="s">
        <v>2806</v>
      </c>
      <c r="B1903" t="s">
        <v>2807</v>
      </c>
      <c r="C1903" s="1">
        <v>45199</v>
      </c>
      <c r="D1903" s="2">
        <v>118193328</v>
      </c>
      <c r="E1903" s="2">
        <v>26395</v>
      </c>
      <c r="G1903" s="2">
        <v>16317704</v>
      </c>
      <c r="H1903" s="2">
        <v>394257</v>
      </c>
      <c r="I1903" s="2">
        <v>736463674</v>
      </c>
      <c r="J1903">
        <v>10</v>
      </c>
      <c r="K1903">
        <v>8</v>
      </c>
      <c r="L1903">
        <v>1</v>
      </c>
      <c r="M1903" t="str">
        <f t="shared" si="29"/>
        <v>After 2020</v>
      </c>
    </row>
    <row r="1904" spans="1:13" hidden="1">
      <c r="A1904" t="s">
        <v>2808</v>
      </c>
      <c r="B1904" t="s">
        <v>2809</v>
      </c>
      <c r="C1904" s="1">
        <v>44967</v>
      </c>
      <c r="D1904" s="2">
        <v>35004403</v>
      </c>
      <c r="E1904" s="2">
        <v>6013</v>
      </c>
      <c r="F1904">
        <v>51</v>
      </c>
      <c r="I1904" s="2">
        <v>2693255753</v>
      </c>
      <c r="J1904">
        <v>4</v>
      </c>
      <c r="K1904">
        <v>417</v>
      </c>
      <c r="L1904">
        <v>0</v>
      </c>
      <c r="M1904" t="str">
        <f t="shared" si="29"/>
        <v>After 2020</v>
      </c>
    </row>
    <row r="1905" spans="1:13" hidden="1">
      <c r="A1905" t="s">
        <v>2810</v>
      </c>
      <c r="B1905" t="s">
        <v>2253</v>
      </c>
      <c r="C1905" s="1">
        <v>45331</v>
      </c>
      <c r="D1905" s="2">
        <v>27715232</v>
      </c>
      <c r="E1905" s="2">
        <v>2834</v>
      </c>
      <c r="G1905" s="2">
        <v>10646067</v>
      </c>
      <c r="H1905" s="2">
        <v>88249</v>
      </c>
      <c r="J1905">
        <v>31</v>
      </c>
      <c r="K1905">
        <v>40</v>
      </c>
      <c r="L1905">
        <v>0</v>
      </c>
      <c r="M1905" t="str">
        <f t="shared" si="29"/>
        <v>After 2020</v>
      </c>
    </row>
    <row r="1906" spans="1:13">
      <c r="A1906" t="s">
        <v>2811</v>
      </c>
      <c r="B1906" t="s">
        <v>2745</v>
      </c>
      <c r="C1906" s="1">
        <v>39814</v>
      </c>
      <c r="D1906" s="2">
        <v>1164166623</v>
      </c>
      <c r="E1906" s="2">
        <v>262779</v>
      </c>
      <c r="F1906">
        <v>81</v>
      </c>
      <c r="G1906" s="2">
        <v>1332702041</v>
      </c>
      <c r="H1906" s="2">
        <v>6176607</v>
      </c>
      <c r="I1906" s="2">
        <v>225165270</v>
      </c>
      <c r="J1906">
        <v>120</v>
      </c>
      <c r="K1906">
        <v>29</v>
      </c>
      <c r="L1906">
        <v>0</v>
      </c>
      <c r="M1906" t="str">
        <f t="shared" si="29"/>
        <v>Before 2010</v>
      </c>
    </row>
    <row r="1907" spans="1:13" hidden="1">
      <c r="A1907" t="s">
        <v>2677</v>
      </c>
      <c r="B1907" t="s">
        <v>2678</v>
      </c>
      <c r="C1907" s="1">
        <v>44915</v>
      </c>
      <c r="D1907" s="2">
        <v>519330096</v>
      </c>
      <c r="E1907" s="2">
        <v>67639</v>
      </c>
      <c r="F1907">
        <v>74</v>
      </c>
      <c r="G1907" s="2">
        <v>255558</v>
      </c>
      <c r="H1907" s="2">
        <v>3748</v>
      </c>
      <c r="J1907">
        <v>26</v>
      </c>
      <c r="L1907">
        <v>1</v>
      </c>
      <c r="M1907" t="str">
        <f t="shared" si="29"/>
        <v>After 2020</v>
      </c>
    </row>
    <row r="1908" spans="1:13" hidden="1">
      <c r="A1908" t="s">
        <v>2812</v>
      </c>
      <c r="B1908" t="s">
        <v>2813</v>
      </c>
      <c r="C1908" s="1">
        <v>43619</v>
      </c>
      <c r="D1908" s="2">
        <v>314672402</v>
      </c>
      <c r="E1908" s="2">
        <v>85038</v>
      </c>
      <c r="F1908">
        <v>64</v>
      </c>
      <c r="G1908" s="2">
        <v>203831150</v>
      </c>
      <c r="H1908" s="2">
        <v>1327160</v>
      </c>
      <c r="I1908" s="2">
        <v>3345046787</v>
      </c>
      <c r="J1908">
        <v>72</v>
      </c>
      <c r="L1908">
        <v>0</v>
      </c>
      <c r="M1908" t="str">
        <f t="shared" si="29"/>
        <v>2010-2020</v>
      </c>
    </row>
    <row r="1909" spans="1:13" hidden="1">
      <c r="A1909" t="s">
        <v>2814</v>
      </c>
      <c r="B1909" t="s">
        <v>1177</v>
      </c>
      <c r="C1909" s="1">
        <v>45317</v>
      </c>
      <c r="D1909" s="2">
        <v>21179750</v>
      </c>
      <c r="E1909" s="2">
        <v>3144</v>
      </c>
      <c r="G1909" s="2">
        <v>7849267</v>
      </c>
      <c r="H1909" s="2">
        <v>75556</v>
      </c>
      <c r="J1909">
        <v>44</v>
      </c>
      <c r="L1909">
        <v>0</v>
      </c>
      <c r="M1909" t="str">
        <f t="shared" si="29"/>
        <v>After 2020</v>
      </c>
    </row>
    <row r="1910" spans="1:13" hidden="1">
      <c r="A1910" t="s">
        <v>2815</v>
      </c>
      <c r="B1910" t="s">
        <v>53</v>
      </c>
      <c r="C1910" s="1">
        <v>42412</v>
      </c>
      <c r="D1910" s="2">
        <v>884825594</v>
      </c>
      <c r="E1910" s="2">
        <v>165579</v>
      </c>
      <c r="F1910">
        <v>72</v>
      </c>
      <c r="G1910" s="2">
        <v>838504706</v>
      </c>
      <c r="H1910" s="2">
        <v>3635933</v>
      </c>
      <c r="I1910" s="2">
        <v>39734161</v>
      </c>
      <c r="J1910">
        <v>74</v>
      </c>
      <c r="L1910">
        <v>1</v>
      </c>
      <c r="M1910" t="str">
        <f t="shared" si="29"/>
        <v>2010-2020</v>
      </c>
    </row>
    <row r="1911" spans="1:13" hidden="1">
      <c r="A1911" t="s">
        <v>2816</v>
      </c>
      <c r="B1911" t="s">
        <v>2817</v>
      </c>
      <c r="C1911" s="1">
        <v>45009</v>
      </c>
      <c r="D1911" s="2">
        <v>23883628</v>
      </c>
      <c r="E1911" s="2">
        <v>1390</v>
      </c>
      <c r="F1911">
        <v>51</v>
      </c>
      <c r="G1911" s="2">
        <v>341471782</v>
      </c>
      <c r="H1911" s="2">
        <v>1328954</v>
      </c>
      <c r="I1911" s="2">
        <v>5358634</v>
      </c>
      <c r="J1911">
        <v>3</v>
      </c>
      <c r="L1911">
        <v>0</v>
      </c>
      <c r="M1911" t="str">
        <f t="shared" si="29"/>
        <v>After 2020</v>
      </c>
    </row>
    <row r="1912" spans="1:13" hidden="1">
      <c r="A1912" t="s">
        <v>2818</v>
      </c>
      <c r="B1912" t="s">
        <v>2819</v>
      </c>
      <c r="C1912" s="1">
        <v>43119</v>
      </c>
      <c r="D1912" s="2">
        <v>1124147912</v>
      </c>
      <c r="E1912" s="2">
        <v>131363</v>
      </c>
      <c r="F1912">
        <v>65</v>
      </c>
      <c r="G1912" s="2">
        <v>705027078</v>
      </c>
      <c r="H1912" s="2">
        <v>3320463</v>
      </c>
      <c r="I1912" s="2">
        <v>202227585</v>
      </c>
      <c r="J1912">
        <v>13</v>
      </c>
      <c r="L1912">
        <v>0</v>
      </c>
      <c r="M1912" t="str">
        <f t="shared" si="29"/>
        <v>2010-2020</v>
      </c>
    </row>
    <row r="1913" spans="1:13">
      <c r="A1913" t="s">
        <v>2820</v>
      </c>
      <c r="B1913" t="s">
        <v>260</v>
      </c>
      <c r="C1913" s="1">
        <v>45365</v>
      </c>
      <c r="D1913" s="2">
        <v>44441672</v>
      </c>
      <c r="E1913" s="2">
        <v>3110</v>
      </c>
      <c r="F1913">
        <v>24</v>
      </c>
      <c r="G1913" s="2">
        <v>6534998</v>
      </c>
      <c r="H1913" s="2">
        <v>164262</v>
      </c>
      <c r="I1913" s="2">
        <v>95682600</v>
      </c>
      <c r="J1913">
        <v>33</v>
      </c>
      <c r="K1913">
        <v>336</v>
      </c>
      <c r="L1913">
        <v>0</v>
      </c>
      <c r="M1913" t="str">
        <f t="shared" si="29"/>
        <v>After 2020</v>
      </c>
    </row>
    <row r="1914" spans="1:13" hidden="1">
      <c r="A1914" t="s">
        <v>328</v>
      </c>
      <c r="B1914" t="s">
        <v>295</v>
      </c>
      <c r="C1914" s="1">
        <v>45205</v>
      </c>
      <c r="D1914" s="2">
        <v>372248119</v>
      </c>
      <c r="E1914" s="2">
        <v>6868</v>
      </c>
      <c r="J1914">
        <v>17</v>
      </c>
      <c r="L1914">
        <v>0</v>
      </c>
      <c r="M1914" t="str">
        <f t="shared" si="29"/>
        <v>After 2020</v>
      </c>
    </row>
    <row r="1915" spans="1:13">
      <c r="A1915" t="s">
        <v>2821</v>
      </c>
      <c r="B1915" t="s">
        <v>1347</v>
      </c>
      <c r="C1915" s="1">
        <v>42153</v>
      </c>
      <c r="D1915" s="2">
        <v>1293191157</v>
      </c>
      <c r="E1915" s="2">
        <v>147868</v>
      </c>
      <c r="F1915">
        <v>72</v>
      </c>
      <c r="G1915" s="2">
        <v>606547382</v>
      </c>
      <c r="H1915" s="2">
        <v>4505365</v>
      </c>
      <c r="I1915" s="2">
        <v>19401692</v>
      </c>
      <c r="J1915">
        <v>209</v>
      </c>
      <c r="K1915">
        <v>448</v>
      </c>
      <c r="L1915">
        <v>0</v>
      </c>
      <c r="M1915" t="str">
        <f t="shared" si="29"/>
        <v>2010-2020</v>
      </c>
    </row>
    <row r="1916" spans="1:13" hidden="1">
      <c r="A1916" t="s">
        <v>2822</v>
      </c>
      <c r="B1916" t="s">
        <v>148</v>
      </c>
      <c r="C1916" s="1">
        <v>43084</v>
      </c>
      <c r="D1916" s="2">
        <v>463298197</v>
      </c>
      <c r="E1916" s="2">
        <v>63764</v>
      </c>
      <c r="F1916">
        <v>66</v>
      </c>
      <c r="I1916" s="2">
        <v>615951784</v>
      </c>
      <c r="J1916">
        <v>69</v>
      </c>
      <c r="L1916">
        <v>0</v>
      </c>
      <c r="M1916" t="str">
        <f t="shared" si="29"/>
        <v>2010-2020</v>
      </c>
    </row>
    <row r="1917" spans="1:13" hidden="1">
      <c r="A1917" t="s">
        <v>2823</v>
      </c>
      <c r="B1917" t="s">
        <v>141</v>
      </c>
      <c r="C1917" s="1">
        <v>44687</v>
      </c>
      <c r="D1917" s="2">
        <v>534736940</v>
      </c>
      <c r="E1917" s="2">
        <v>54870</v>
      </c>
      <c r="F1917">
        <v>73</v>
      </c>
      <c r="G1917" s="2">
        <v>243635144</v>
      </c>
      <c r="H1917" s="2">
        <v>1460980</v>
      </c>
      <c r="I1917" s="2">
        <v>327984369</v>
      </c>
      <c r="J1917">
        <v>11</v>
      </c>
      <c r="L1917">
        <v>0</v>
      </c>
      <c r="M1917" t="str">
        <f t="shared" si="29"/>
        <v>After 2020</v>
      </c>
    </row>
    <row r="1918" spans="1:13">
      <c r="A1918" t="s">
        <v>2824</v>
      </c>
      <c r="B1918" t="s">
        <v>1217</v>
      </c>
      <c r="C1918" s="1">
        <v>43686</v>
      </c>
      <c r="D1918" s="2">
        <v>594224324</v>
      </c>
      <c r="E1918" s="2">
        <v>50354</v>
      </c>
      <c r="F1918">
        <v>61</v>
      </c>
      <c r="G1918" s="2">
        <v>903046839</v>
      </c>
      <c r="H1918" s="2">
        <v>6893168</v>
      </c>
      <c r="I1918" s="2">
        <v>140587874</v>
      </c>
      <c r="J1918">
        <v>89</v>
      </c>
      <c r="K1918">
        <v>242</v>
      </c>
      <c r="L1918">
        <v>0</v>
      </c>
      <c r="M1918" t="str">
        <f t="shared" si="29"/>
        <v>2010-2020</v>
      </c>
    </row>
    <row r="1919" spans="1:13">
      <c r="A1919" t="s">
        <v>2825</v>
      </c>
      <c r="B1919" t="s">
        <v>2826</v>
      </c>
      <c r="C1919" s="1">
        <v>43014</v>
      </c>
      <c r="D1919" s="2">
        <v>475786302</v>
      </c>
      <c r="E1919" s="2">
        <v>169485</v>
      </c>
      <c r="F1919">
        <v>72</v>
      </c>
      <c r="G1919" s="2">
        <v>587498816</v>
      </c>
      <c r="H1919" s="2">
        <v>5883117</v>
      </c>
      <c r="I1919" s="2">
        <v>1965697775</v>
      </c>
      <c r="J1919">
        <v>62</v>
      </c>
      <c r="K1919">
        <v>74</v>
      </c>
      <c r="L1919">
        <v>0</v>
      </c>
      <c r="M1919" t="str">
        <f t="shared" si="29"/>
        <v>2010-2020</v>
      </c>
    </row>
    <row r="1920" spans="1:13" hidden="1">
      <c r="A1920" t="s">
        <v>2827</v>
      </c>
      <c r="B1920" t="s">
        <v>2828</v>
      </c>
      <c r="C1920" s="1">
        <v>44701</v>
      </c>
      <c r="D1920" s="2">
        <v>156975001</v>
      </c>
      <c r="E1920" s="2">
        <v>21559</v>
      </c>
      <c r="F1920">
        <v>68</v>
      </c>
      <c r="G1920" s="2">
        <v>96079749</v>
      </c>
      <c r="H1920" s="2">
        <v>597275</v>
      </c>
      <c r="I1920" s="2">
        <v>313652545</v>
      </c>
      <c r="K1920">
        <v>130</v>
      </c>
      <c r="L1920">
        <v>0</v>
      </c>
      <c r="M1920" t="str">
        <f t="shared" si="29"/>
        <v>After 2020</v>
      </c>
    </row>
    <row r="1921" spans="1:13" hidden="1">
      <c r="A1921" t="s">
        <v>2829</v>
      </c>
      <c r="B1921" t="s">
        <v>1177</v>
      </c>
      <c r="C1921" s="1">
        <v>45415</v>
      </c>
      <c r="D1921" s="2">
        <v>19468909</v>
      </c>
      <c r="E1921" s="2">
        <v>2924</v>
      </c>
      <c r="F1921">
        <v>73</v>
      </c>
      <c r="G1921" s="2">
        <v>1130001</v>
      </c>
      <c r="H1921" s="2">
        <v>20708</v>
      </c>
      <c r="J1921">
        <v>38</v>
      </c>
      <c r="L1921">
        <v>0</v>
      </c>
      <c r="M1921" t="str">
        <f t="shared" si="29"/>
        <v>After 2020</v>
      </c>
    </row>
    <row r="1922" spans="1:13" hidden="1">
      <c r="A1922" t="s">
        <v>2830</v>
      </c>
      <c r="B1922" t="s">
        <v>2831</v>
      </c>
      <c r="C1922" s="1">
        <v>44894</v>
      </c>
      <c r="E1922">
        <v>28</v>
      </c>
      <c r="F1922">
        <v>2</v>
      </c>
      <c r="G1922" s="2">
        <v>445360465</v>
      </c>
      <c r="H1922" s="2">
        <v>369291</v>
      </c>
      <c r="I1922">
        <v>541</v>
      </c>
      <c r="L1922">
        <v>0</v>
      </c>
      <c r="M1922" t="str">
        <f t="shared" si="29"/>
        <v>After 2020</v>
      </c>
    </row>
    <row r="1923" spans="1:13">
      <c r="A1923" t="s">
        <v>2832</v>
      </c>
      <c r="B1923" t="s">
        <v>2833</v>
      </c>
      <c r="C1923" s="1">
        <v>44246</v>
      </c>
      <c r="D1923" s="2">
        <v>340744110</v>
      </c>
      <c r="E1923" s="2">
        <v>34114</v>
      </c>
      <c r="F1923">
        <v>65</v>
      </c>
      <c r="G1923" s="2">
        <v>616701633</v>
      </c>
      <c r="H1923" s="2">
        <v>3072699</v>
      </c>
      <c r="I1923" s="2">
        <v>229127001</v>
      </c>
      <c r="J1923">
        <v>8</v>
      </c>
      <c r="K1923">
        <v>328</v>
      </c>
      <c r="L1923">
        <v>0</v>
      </c>
      <c r="M1923" t="str">
        <f t="shared" ref="M1923:M1986" si="30">IF(YEAR(C1923)&lt;2010,"Before 2010",IF(YEAR(C1923)&lt;=2020,"2010-2020","After 2020"))</f>
        <v>After 2020</v>
      </c>
    </row>
    <row r="1924" spans="1:13">
      <c r="A1924" t="s">
        <v>2834</v>
      </c>
      <c r="B1924" t="s">
        <v>2835</v>
      </c>
      <c r="C1924" s="1">
        <v>38353</v>
      </c>
      <c r="D1924" s="2">
        <v>16326628</v>
      </c>
      <c r="E1924" s="2">
        <v>12434</v>
      </c>
      <c r="F1924">
        <v>44</v>
      </c>
      <c r="G1924" s="2">
        <v>7603329</v>
      </c>
      <c r="H1924" s="2">
        <v>122780</v>
      </c>
      <c r="I1924" s="2">
        <v>214843956590</v>
      </c>
      <c r="J1924">
        <v>9</v>
      </c>
      <c r="K1924">
        <v>17</v>
      </c>
      <c r="L1924">
        <v>0</v>
      </c>
      <c r="M1924" t="str">
        <f t="shared" si="30"/>
        <v>Before 2010</v>
      </c>
    </row>
    <row r="1925" spans="1:13">
      <c r="A1925" t="s">
        <v>2836</v>
      </c>
      <c r="B1925" t="s">
        <v>1862</v>
      </c>
      <c r="C1925" s="1">
        <v>45012</v>
      </c>
      <c r="D1925" s="2">
        <v>141377619</v>
      </c>
      <c r="E1925" s="2">
        <v>54114</v>
      </c>
      <c r="F1925">
        <v>66</v>
      </c>
      <c r="G1925" s="2">
        <v>20493982</v>
      </c>
      <c r="H1925" s="2">
        <v>566751</v>
      </c>
      <c r="I1925" s="2">
        <v>4036849</v>
      </c>
      <c r="J1925">
        <v>23</v>
      </c>
      <c r="K1925">
        <v>464</v>
      </c>
      <c r="L1925">
        <v>1</v>
      </c>
      <c r="M1925" t="str">
        <f t="shared" si="30"/>
        <v>After 2020</v>
      </c>
    </row>
    <row r="1926" spans="1:13">
      <c r="A1926" t="s">
        <v>2837</v>
      </c>
      <c r="B1926" t="s">
        <v>61</v>
      </c>
      <c r="C1926" s="1">
        <v>44512</v>
      </c>
      <c r="D1926" s="2">
        <v>842558786</v>
      </c>
      <c r="E1926" s="2">
        <v>55074</v>
      </c>
      <c r="F1926">
        <v>74</v>
      </c>
      <c r="G1926" s="2">
        <v>290178261</v>
      </c>
      <c r="H1926" s="2">
        <v>6813320</v>
      </c>
      <c r="I1926" s="2">
        <v>743331968</v>
      </c>
      <c r="J1926">
        <v>86</v>
      </c>
      <c r="K1926">
        <v>77</v>
      </c>
      <c r="L1926">
        <v>1</v>
      </c>
      <c r="M1926" t="str">
        <f t="shared" si="30"/>
        <v>After 2020</v>
      </c>
    </row>
    <row r="1927" spans="1:13" hidden="1">
      <c r="A1927" t="s">
        <v>2838</v>
      </c>
      <c r="B1927" t="s">
        <v>2839</v>
      </c>
      <c r="C1927" s="1">
        <v>44544</v>
      </c>
      <c r="D1927" s="2">
        <v>125396685</v>
      </c>
      <c r="E1927" s="2">
        <v>6443</v>
      </c>
      <c r="F1927">
        <v>55</v>
      </c>
      <c r="G1927" s="2">
        <v>672837687</v>
      </c>
      <c r="H1927" s="2">
        <v>6059733</v>
      </c>
      <c r="J1927">
        <v>6</v>
      </c>
      <c r="L1927">
        <v>0</v>
      </c>
      <c r="M1927" t="str">
        <f t="shared" si="30"/>
        <v>After 2020</v>
      </c>
    </row>
    <row r="1928" spans="1:13" hidden="1">
      <c r="A1928" t="s">
        <v>2840</v>
      </c>
      <c r="B1928" t="s">
        <v>2841</v>
      </c>
      <c r="C1928" s="1">
        <v>45428</v>
      </c>
      <c r="D1928" s="2">
        <v>12724701</v>
      </c>
      <c r="E1928" s="2">
        <v>3327</v>
      </c>
      <c r="F1928">
        <v>72</v>
      </c>
      <c r="J1928">
        <v>15</v>
      </c>
      <c r="K1928">
        <v>7</v>
      </c>
      <c r="L1928">
        <v>0</v>
      </c>
      <c r="M1928" t="str">
        <f t="shared" si="30"/>
        <v>After 2020</v>
      </c>
    </row>
    <row r="1929" spans="1:13">
      <c r="A1929" t="s">
        <v>2842</v>
      </c>
      <c r="B1929" t="s">
        <v>531</v>
      </c>
      <c r="C1929" s="1">
        <v>43670</v>
      </c>
      <c r="D1929" s="2">
        <v>440181206</v>
      </c>
      <c r="E1929" s="2">
        <v>87099</v>
      </c>
      <c r="F1929">
        <v>69</v>
      </c>
      <c r="G1929" s="2">
        <v>109575448</v>
      </c>
      <c r="H1929" s="2">
        <v>1082713</v>
      </c>
      <c r="I1929" s="2">
        <v>7112170</v>
      </c>
      <c r="J1929">
        <v>15</v>
      </c>
      <c r="K1929">
        <v>67</v>
      </c>
      <c r="L1929">
        <v>1</v>
      </c>
      <c r="M1929" t="str">
        <f t="shared" si="30"/>
        <v>2010-2020</v>
      </c>
    </row>
    <row r="1930" spans="1:13" hidden="1">
      <c r="A1930" t="s">
        <v>2843</v>
      </c>
      <c r="B1930" t="s">
        <v>1450</v>
      </c>
      <c r="C1930" s="1">
        <v>45379</v>
      </c>
      <c r="D1930" s="2">
        <v>39876490</v>
      </c>
      <c r="E1930" s="2">
        <v>5502</v>
      </c>
      <c r="F1930">
        <v>70</v>
      </c>
      <c r="G1930" s="2">
        <v>22359938</v>
      </c>
      <c r="H1930" s="2">
        <v>133504</v>
      </c>
      <c r="J1930">
        <v>6</v>
      </c>
      <c r="L1930">
        <v>1</v>
      </c>
      <c r="M1930" t="str">
        <f t="shared" si="30"/>
        <v>After 2020</v>
      </c>
    </row>
    <row r="1931" spans="1:13" hidden="1">
      <c r="A1931" t="s">
        <v>2844</v>
      </c>
      <c r="B1931" t="s">
        <v>2845</v>
      </c>
      <c r="C1931" s="1">
        <v>45214</v>
      </c>
      <c r="D1931" s="2">
        <v>31193454</v>
      </c>
      <c r="E1931" s="2">
        <v>2610</v>
      </c>
      <c r="G1931" s="2">
        <v>174795453</v>
      </c>
      <c r="H1931" s="2">
        <v>9673740</v>
      </c>
      <c r="J1931">
        <v>2</v>
      </c>
      <c r="L1931">
        <v>0</v>
      </c>
      <c r="M1931" t="str">
        <f t="shared" si="30"/>
        <v>After 2020</v>
      </c>
    </row>
    <row r="1932" spans="1:13" hidden="1">
      <c r="A1932" t="s">
        <v>2846</v>
      </c>
      <c r="B1932" t="s">
        <v>2847</v>
      </c>
      <c r="C1932" s="1">
        <v>45345</v>
      </c>
      <c r="D1932" s="2">
        <v>30674267</v>
      </c>
      <c r="E1932" s="2">
        <v>5326</v>
      </c>
      <c r="F1932">
        <v>68</v>
      </c>
      <c r="G1932" s="2">
        <v>52613580</v>
      </c>
      <c r="H1932" s="2">
        <v>674511</v>
      </c>
      <c r="I1932" s="2">
        <v>934535152</v>
      </c>
      <c r="J1932">
        <v>29</v>
      </c>
      <c r="L1932">
        <v>0</v>
      </c>
      <c r="M1932" t="str">
        <f t="shared" si="30"/>
        <v>After 2020</v>
      </c>
    </row>
    <row r="1933" spans="1:13" hidden="1">
      <c r="A1933" t="s">
        <v>2848</v>
      </c>
      <c r="B1933" t="s">
        <v>360</v>
      </c>
      <c r="C1933" s="1">
        <v>42044</v>
      </c>
      <c r="D1933" s="2">
        <v>1106264600</v>
      </c>
      <c r="E1933" s="2">
        <v>144992</v>
      </c>
      <c r="F1933">
        <v>71</v>
      </c>
      <c r="G1933" s="2">
        <v>1040406066</v>
      </c>
      <c r="H1933" s="2">
        <v>4527957</v>
      </c>
      <c r="I1933" s="2">
        <v>44057930</v>
      </c>
      <c r="J1933">
        <v>205</v>
      </c>
      <c r="L1933">
        <v>0</v>
      </c>
      <c r="M1933" t="str">
        <f t="shared" si="30"/>
        <v>2010-2020</v>
      </c>
    </row>
    <row r="1934" spans="1:13" hidden="1">
      <c r="A1934" t="s">
        <v>939</v>
      </c>
      <c r="B1934" t="s">
        <v>892</v>
      </c>
      <c r="C1934" s="1">
        <v>42398</v>
      </c>
      <c r="D1934" s="2">
        <v>699374947</v>
      </c>
      <c r="E1934" s="2">
        <v>88850</v>
      </c>
      <c r="F1934">
        <v>72</v>
      </c>
      <c r="G1934" s="2">
        <v>1299039980</v>
      </c>
      <c r="H1934" s="2">
        <v>8755006</v>
      </c>
      <c r="I1934" s="2">
        <v>6409931590</v>
      </c>
      <c r="J1934">
        <v>264</v>
      </c>
      <c r="L1934">
        <v>0</v>
      </c>
      <c r="M1934" t="str">
        <f t="shared" si="30"/>
        <v>2010-2020</v>
      </c>
    </row>
    <row r="1935" spans="1:13">
      <c r="A1935" t="s">
        <v>2849</v>
      </c>
      <c r="B1935" t="s">
        <v>688</v>
      </c>
      <c r="C1935" s="1">
        <v>44939</v>
      </c>
      <c r="D1935" s="2">
        <v>239288183</v>
      </c>
      <c r="E1935" s="2">
        <v>42084</v>
      </c>
      <c r="F1935">
        <v>71</v>
      </c>
      <c r="G1935" s="2">
        <v>56033826</v>
      </c>
      <c r="H1935" s="2">
        <v>823483</v>
      </c>
      <c r="I1935" s="2">
        <v>206096023</v>
      </c>
      <c r="J1935">
        <v>34</v>
      </c>
      <c r="K1935">
        <v>36</v>
      </c>
      <c r="L1935">
        <v>1</v>
      </c>
      <c r="M1935" t="str">
        <f t="shared" si="30"/>
        <v>After 2020</v>
      </c>
    </row>
    <row r="1936" spans="1:13" hidden="1">
      <c r="A1936" t="s">
        <v>2850</v>
      </c>
      <c r="B1936" t="s">
        <v>167</v>
      </c>
      <c r="C1936" s="1">
        <v>45162</v>
      </c>
      <c r="D1936" s="2">
        <v>81911061</v>
      </c>
      <c r="E1936" s="2">
        <v>28740</v>
      </c>
      <c r="F1936">
        <v>3</v>
      </c>
      <c r="G1936" s="2">
        <v>56777570</v>
      </c>
      <c r="H1936" s="2">
        <v>494663</v>
      </c>
      <c r="I1936" s="2">
        <v>106000587</v>
      </c>
      <c r="J1936">
        <v>26</v>
      </c>
      <c r="L1936">
        <v>1</v>
      </c>
      <c r="M1936" t="str">
        <f t="shared" si="30"/>
        <v>After 2020</v>
      </c>
    </row>
    <row r="1937" spans="1:13" hidden="1">
      <c r="A1937" t="s">
        <v>2851</v>
      </c>
      <c r="B1937" t="s">
        <v>2852</v>
      </c>
      <c r="C1937" s="1">
        <v>44981</v>
      </c>
      <c r="D1937" s="2">
        <v>2265</v>
      </c>
      <c r="E1937">
        <v>37</v>
      </c>
      <c r="F1937">
        <v>1</v>
      </c>
      <c r="G1937" s="2">
        <v>374193651</v>
      </c>
      <c r="H1937" s="2">
        <v>1023665</v>
      </c>
      <c r="L1937">
        <v>0</v>
      </c>
      <c r="M1937" t="str">
        <f t="shared" si="30"/>
        <v>After 2020</v>
      </c>
    </row>
    <row r="1938" spans="1:13" hidden="1">
      <c r="A1938" t="s">
        <v>597</v>
      </c>
      <c r="B1938" t="s">
        <v>2853</v>
      </c>
      <c r="C1938" s="1">
        <v>45121</v>
      </c>
      <c r="D1938" s="2">
        <v>17080355</v>
      </c>
      <c r="E1938" s="2">
        <v>5909</v>
      </c>
      <c r="F1938">
        <v>53</v>
      </c>
      <c r="G1938" s="2">
        <v>203425864</v>
      </c>
      <c r="H1938" s="2">
        <v>773896</v>
      </c>
      <c r="I1938" s="2">
        <v>33547289</v>
      </c>
      <c r="J1938">
        <v>17</v>
      </c>
      <c r="L1938">
        <v>0</v>
      </c>
      <c r="M1938" t="str">
        <f t="shared" si="30"/>
        <v>After 2020</v>
      </c>
    </row>
    <row r="1939" spans="1:13" hidden="1">
      <c r="A1939" t="s">
        <v>2854</v>
      </c>
      <c r="B1939" t="s">
        <v>2596</v>
      </c>
      <c r="C1939" s="1">
        <v>45220</v>
      </c>
      <c r="D1939" s="2">
        <v>242519709</v>
      </c>
      <c r="E1939" s="2">
        <v>18760</v>
      </c>
      <c r="G1939" s="2">
        <v>49878848</v>
      </c>
      <c r="H1939" s="2">
        <v>310358</v>
      </c>
      <c r="I1939" s="2">
        <v>79422764</v>
      </c>
      <c r="J1939">
        <v>10</v>
      </c>
      <c r="L1939">
        <v>1</v>
      </c>
      <c r="M1939" t="str">
        <f t="shared" si="30"/>
        <v>After 2020</v>
      </c>
    </row>
    <row r="1940" spans="1:13">
      <c r="A1940" t="s">
        <v>2855</v>
      </c>
      <c r="B1940" t="s">
        <v>81</v>
      </c>
      <c r="C1940" s="1">
        <v>42440</v>
      </c>
      <c r="D1940" s="2">
        <v>1120622892</v>
      </c>
      <c r="E1940" s="2">
        <v>104167</v>
      </c>
      <c r="F1940">
        <v>74</v>
      </c>
      <c r="G1940" s="2">
        <v>1005463648</v>
      </c>
      <c r="H1940" s="2">
        <v>10636477</v>
      </c>
      <c r="I1940" s="2">
        <v>533969522</v>
      </c>
      <c r="J1940">
        <v>90</v>
      </c>
      <c r="K1940">
        <v>93</v>
      </c>
      <c r="L1940">
        <v>0</v>
      </c>
      <c r="M1940" t="str">
        <f t="shared" si="30"/>
        <v>2010-2020</v>
      </c>
    </row>
    <row r="1941" spans="1:13">
      <c r="A1941" t="s">
        <v>2856</v>
      </c>
      <c r="B1941" t="s">
        <v>252</v>
      </c>
      <c r="C1941" s="1">
        <v>43882</v>
      </c>
      <c r="D1941" s="2">
        <v>452491920</v>
      </c>
      <c r="E1941" s="2">
        <v>26714</v>
      </c>
      <c r="F1941">
        <v>64</v>
      </c>
      <c r="G1941" s="2">
        <v>945639729</v>
      </c>
      <c r="H1941" s="2">
        <v>27589023</v>
      </c>
      <c r="I1941" s="2">
        <v>359662248</v>
      </c>
      <c r="J1941">
        <v>20</v>
      </c>
      <c r="K1941">
        <v>15</v>
      </c>
      <c r="L1941">
        <v>0</v>
      </c>
      <c r="M1941" t="str">
        <f t="shared" si="30"/>
        <v>2010-2020</v>
      </c>
    </row>
    <row r="1942" spans="1:13">
      <c r="A1942" t="s">
        <v>2857</v>
      </c>
      <c r="B1942" t="s">
        <v>81</v>
      </c>
      <c r="C1942" s="1">
        <v>41640</v>
      </c>
      <c r="D1942" s="2">
        <v>863631428</v>
      </c>
      <c r="E1942" s="2">
        <v>84796</v>
      </c>
      <c r="F1942">
        <v>70</v>
      </c>
      <c r="G1942" s="2">
        <v>1514451986</v>
      </c>
      <c r="H1942" s="2">
        <v>7876147</v>
      </c>
      <c r="I1942" s="2">
        <v>108204850</v>
      </c>
      <c r="J1942">
        <v>113</v>
      </c>
      <c r="K1942">
        <v>713</v>
      </c>
      <c r="L1942">
        <v>0</v>
      </c>
      <c r="M1942" t="str">
        <f t="shared" si="30"/>
        <v>2010-2020</v>
      </c>
    </row>
    <row r="1943" spans="1:13">
      <c r="A1943" t="s">
        <v>2858</v>
      </c>
      <c r="B1943" t="s">
        <v>688</v>
      </c>
      <c r="C1943" s="1">
        <v>44694</v>
      </c>
      <c r="D1943" s="2">
        <v>308183607</v>
      </c>
      <c r="E1943" s="2">
        <v>57988</v>
      </c>
      <c r="F1943">
        <v>64</v>
      </c>
      <c r="G1943" s="2">
        <v>29232672</v>
      </c>
      <c r="H1943" s="2">
        <v>460660</v>
      </c>
      <c r="I1943" s="2">
        <v>401636873</v>
      </c>
      <c r="J1943">
        <v>70</v>
      </c>
      <c r="K1943">
        <v>629</v>
      </c>
      <c r="L1943">
        <v>0</v>
      </c>
      <c r="M1943" t="str">
        <f t="shared" si="30"/>
        <v>After 2020</v>
      </c>
    </row>
    <row r="1944" spans="1:13" hidden="1">
      <c r="A1944" t="s">
        <v>2859</v>
      </c>
      <c r="B1944" t="s">
        <v>2860</v>
      </c>
      <c r="C1944" s="1">
        <v>43483</v>
      </c>
      <c r="D1944" s="2">
        <v>1016283394</v>
      </c>
      <c r="E1944" s="2">
        <v>103794</v>
      </c>
      <c r="F1944">
        <v>68</v>
      </c>
      <c r="G1944" s="2">
        <v>460509010</v>
      </c>
      <c r="H1944" s="2">
        <v>3376276</v>
      </c>
      <c r="I1944" s="2">
        <v>45585575</v>
      </c>
      <c r="J1944">
        <v>192</v>
      </c>
      <c r="L1944">
        <v>0</v>
      </c>
      <c r="M1944" t="str">
        <f t="shared" si="30"/>
        <v>2010-2020</v>
      </c>
    </row>
    <row r="1945" spans="1:13">
      <c r="A1945" t="s">
        <v>2861</v>
      </c>
      <c r="B1945" t="s">
        <v>291</v>
      </c>
      <c r="C1945" s="1">
        <v>42902</v>
      </c>
      <c r="D1945" s="2">
        <v>894360950</v>
      </c>
      <c r="E1945" s="2">
        <v>99270</v>
      </c>
      <c r="F1945">
        <v>66</v>
      </c>
      <c r="G1945" s="2">
        <v>73078701</v>
      </c>
      <c r="H1945" s="2">
        <v>913440</v>
      </c>
      <c r="I1945" s="2">
        <v>324949762</v>
      </c>
      <c r="J1945">
        <v>247</v>
      </c>
      <c r="K1945">
        <v>175</v>
      </c>
      <c r="L1945">
        <v>1</v>
      </c>
      <c r="M1945" t="str">
        <f t="shared" si="30"/>
        <v>2010-2020</v>
      </c>
    </row>
    <row r="1946" spans="1:13">
      <c r="A1946" t="s">
        <v>2862</v>
      </c>
      <c r="B1946" t="s">
        <v>2696</v>
      </c>
      <c r="C1946" s="1">
        <v>41275</v>
      </c>
      <c r="D1946" s="2">
        <v>1017438306</v>
      </c>
      <c r="E1946" s="2">
        <v>174201</v>
      </c>
      <c r="F1946">
        <v>71</v>
      </c>
      <c r="G1946" s="2">
        <v>569083040</v>
      </c>
      <c r="H1946" s="2">
        <v>3417150</v>
      </c>
      <c r="I1946" s="2">
        <v>568058521</v>
      </c>
      <c r="J1946">
        <v>219</v>
      </c>
      <c r="K1946">
        <v>239</v>
      </c>
      <c r="L1946">
        <v>0</v>
      </c>
      <c r="M1946" t="str">
        <f t="shared" si="30"/>
        <v>2010-2020</v>
      </c>
    </row>
    <row r="1947" spans="1:13">
      <c r="A1947" t="s">
        <v>2863</v>
      </c>
      <c r="B1947" t="s">
        <v>47</v>
      </c>
      <c r="C1947" s="1">
        <v>45065</v>
      </c>
      <c r="D1947" s="2">
        <v>160305133</v>
      </c>
      <c r="E1947" s="2">
        <v>35523</v>
      </c>
      <c r="F1947">
        <v>62</v>
      </c>
      <c r="G1947" s="2">
        <v>51153469</v>
      </c>
      <c r="H1947" s="2">
        <v>760977</v>
      </c>
      <c r="I1947" s="2">
        <v>44574455</v>
      </c>
      <c r="J1947">
        <v>54</v>
      </c>
      <c r="K1947">
        <v>916</v>
      </c>
      <c r="L1947">
        <v>1</v>
      </c>
      <c r="M1947" t="str">
        <f t="shared" si="30"/>
        <v>After 2020</v>
      </c>
    </row>
    <row r="1948" spans="1:13" hidden="1">
      <c r="A1948" t="s">
        <v>2864</v>
      </c>
      <c r="B1948" t="s">
        <v>2865</v>
      </c>
      <c r="C1948" s="1">
        <v>45407</v>
      </c>
      <c r="D1948" s="2">
        <v>51637997</v>
      </c>
      <c r="E1948" s="2">
        <v>2090</v>
      </c>
      <c r="F1948">
        <v>78</v>
      </c>
      <c r="G1948" s="2">
        <v>17476503</v>
      </c>
      <c r="H1948" s="2">
        <v>309492</v>
      </c>
      <c r="J1948">
        <v>7</v>
      </c>
      <c r="L1948">
        <v>1</v>
      </c>
      <c r="M1948" t="str">
        <f t="shared" si="30"/>
        <v>After 2020</v>
      </c>
    </row>
    <row r="1949" spans="1:13">
      <c r="A1949" t="s">
        <v>2866</v>
      </c>
      <c r="B1949" t="s">
        <v>133</v>
      </c>
      <c r="C1949" s="1">
        <v>43665</v>
      </c>
      <c r="D1949" s="2">
        <v>972593978</v>
      </c>
      <c r="E1949" s="2">
        <v>84347</v>
      </c>
      <c r="F1949">
        <v>62</v>
      </c>
      <c r="G1949" s="2">
        <v>489662988</v>
      </c>
      <c r="H1949" s="2">
        <v>4540879</v>
      </c>
      <c r="I1949" s="2">
        <v>36540464</v>
      </c>
      <c r="J1949">
        <v>130</v>
      </c>
      <c r="K1949">
        <v>67</v>
      </c>
      <c r="L1949">
        <v>0</v>
      </c>
      <c r="M1949" t="str">
        <f t="shared" si="30"/>
        <v>2010-2020</v>
      </c>
    </row>
    <row r="1950" spans="1:13" hidden="1">
      <c r="A1950" t="s">
        <v>2867</v>
      </c>
      <c r="B1950" t="s">
        <v>2868</v>
      </c>
      <c r="C1950" s="1">
        <v>45188</v>
      </c>
      <c r="D1950" s="2">
        <v>101938916</v>
      </c>
      <c r="E1950" s="2">
        <v>14123</v>
      </c>
      <c r="G1950" s="2">
        <v>65544713</v>
      </c>
      <c r="H1950" s="2">
        <v>996619</v>
      </c>
      <c r="I1950" s="2">
        <v>613007025</v>
      </c>
      <c r="J1950">
        <v>1</v>
      </c>
      <c r="L1950">
        <v>0</v>
      </c>
      <c r="M1950" t="str">
        <f t="shared" si="30"/>
        <v>After 2020</v>
      </c>
    </row>
    <row r="1951" spans="1:13" hidden="1">
      <c r="A1951" t="s">
        <v>2869</v>
      </c>
      <c r="B1951" t="s">
        <v>2870</v>
      </c>
      <c r="C1951" s="1">
        <v>45352</v>
      </c>
      <c r="D1951" s="2">
        <v>4792243</v>
      </c>
      <c r="E1951">
        <v>518</v>
      </c>
      <c r="F1951">
        <v>64</v>
      </c>
      <c r="G1951" s="2">
        <v>3218219</v>
      </c>
      <c r="H1951" s="2">
        <v>32702</v>
      </c>
      <c r="I1951" s="2">
        <v>67702628</v>
      </c>
      <c r="J1951">
        <v>16</v>
      </c>
      <c r="L1951">
        <v>0</v>
      </c>
      <c r="M1951" t="str">
        <f t="shared" si="30"/>
        <v>After 2020</v>
      </c>
    </row>
    <row r="1952" spans="1:13" hidden="1">
      <c r="A1952" t="s">
        <v>2871</v>
      </c>
      <c r="B1952" t="s">
        <v>2872</v>
      </c>
      <c r="C1952" s="1">
        <v>45434</v>
      </c>
      <c r="D1952" s="2">
        <v>12102307</v>
      </c>
      <c r="E1952">
        <v>2</v>
      </c>
      <c r="L1952">
        <v>0</v>
      </c>
      <c r="M1952" t="str">
        <f t="shared" si="30"/>
        <v>After 2020</v>
      </c>
    </row>
    <row r="1953" spans="1:13">
      <c r="A1953" t="s">
        <v>2873</v>
      </c>
      <c r="B1953" t="s">
        <v>2874</v>
      </c>
      <c r="C1953" s="1">
        <v>44659</v>
      </c>
      <c r="D1953" s="2">
        <v>540382129</v>
      </c>
      <c r="E1953" s="2">
        <v>67808</v>
      </c>
      <c r="F1953">
        <v>76</v>
      </c>
      <c r="G1953" s="2">
        <v>33922247</v>
      </c>
      <c r="H1953" s="2">
        <v>572580</v>
      </c>
      <c r="I1953" s="2">
        <v>2631370364</v>
      </c>
      <c r="J1953">
        <v>76</v>
      </c>
      <c r="K1953">
        <v>558</v>
      </c>
      <c r="L1953">
        <v>0</v>
      </c>
      <c r="M1953" t="str">
        <f t="shared" si="30"/>
        <v>After 2020</v>
      </c>
    </row>
    <row r="1954" spans="1:13">
      <c r="A1954" t="s">
        <v>2875</v>
      </c>
      <c r="B1954" t="s">
        <v>912</v>
      </c>
      <c r="C1954" s="1">
        <v>42397</v>
      </c>
      <c r="D1954" s="2">
        <v>1480311407</v>
      </c>
      <c r="E1954" s="2">
        <v>162952</v>
      </c>
      <c r="F1954">
        <v>78</v>
      </c>
      <c r="G1954" s="2">
        <v>1013766482</v>
      </c>
      <c r="H1954" s="2">
        <v>4126099</v>
      </c>
      <c r="I1954" s="2">
        <v>2054878</v>
      </c>
      <c r="J1954">
        <v>134</v>
      </c>
      <c r="K1954">
        <v>71</v>
      </c>
      <c r="L1954">
        <v>1</v>
      </c>
      <c r="M1954" t="str">
        <f t="shared" si="30"/>
        <v>2010-2020</v>
      </c>
    </row>
    <row r="1955" spans="1:13" hidden="1">
      <c r="A1955" t="s">
        <v>2876</v>
      </c>
      <c r="B1955" t="s">
        <v>141</v>
      </c>
      <c r="C1955" s="1">
        <v>45212</v>
      </c>
      <c r="D1955" s="2">
        <v>160821035</v>
      </c>
      <c r="E1955" s="2">
        <v>28905</v>
      </c>
      <c r="G1955" s="2">
        <v>30126694</v>
      </c>
      <c r="H1955" s="2">
        <v>416875</v>
      </c>
      <c r="I1955" s="2">
        <v>185582</v>
      </c>
      <c r="J1955">
        <v>11</v>
      </c>
      <c r="L1955">
        <v>1</v>
      </c>
      <c r="M1955" t="str">
        <f t="shared" si="30"/>
        <v>After 2020</v>
      </c>
    </row>
    <row r="1956" spans="1:13" hidden="1">
      <c r="A1956" t="s">
        <v>2877</v>
      </c>
      <c r="B1956" t="s">
        <v>2878</v>
      </c>
      <c r="C1956" s="1">
        <v>45428</v>
      </c>
      <c r="D1956" s="2">
        <v>41517704</v>
      </c>
      <c r="E1956" s="2">
        <v>2895</v>
      </c>
      <c r="F1956">
        <v>79</v>
      </c>
      <c r="G1956" s="2">
        <v>2080156</v>
      </c>
      <c r="H1956" s="2">
        <v>61973</v>
      </c>
      <c r="J1956">
        <v>22</v>
      </c>
      <c r="L1956">
        <v>0</v>
      </c>
      <c r="M1956" t="str">
        <f t="shared" si="30"/>
        <v>After 2020</v>
      </c>
    </row>
    <row r="1957" spans="1:13" hidden="1">
      <c r="A1957" t="s">
        <v>2879</v>
      </c>
      <c r="B1957" t="s">
        <v>2880</v>
      </c>
      <c r="C1957" s="1">
        <v>44099</v>
      </c>
      <c r="D1957" s="2">
        <v>1675750095</v>
      </c>
      <c r="E1957">
        <v>506</v>
      </c>
      <c r="F1957">
        <v>25</v>
      </c>
      <c r="J1957">
        <v>97</v>
      </c>
      <c r="L1957">
        <v>0</v>
      </c>
      <c r="M1957" t="str">
        <f t="shared" si="30"/>
        <v>2010-2020</v>
      </c>
    </row>
    <row r="1958" spans="1:13" hidden="1">
      <c r="A1958" t="s">
        <v>2881</v>
      </c>
      <c r="B1958" t="s">
        <v>2882</v>
      </c>
      <c r="C1958" s="1">
        <v>42466</v>
      </c>
      <c r="D1958" s="2">
        <v>849055927</v>
      </c>
      <c r="E1958" s="2">
        <v>131131</v>
      </c>
      <c r="F1958">
        <v>58</v>
      </c>
      <c r="G1958" s="2">
        <v>464235914</v>
      </c>
      <c r="H1958" s="2">
        <v>3109287</v>
      </c>
      <c r="I1958" s="2">
        <v>214959368</v>
      </c>
      <c r="J1958">
        <v>132</v>
      </c>
      <c r="L1958">
        <v>1</v>
      </c>
      <c r="M1958" t="str">
        <f t="shared" si="30"/>
        <v>2010-2020</v>
      </c>
    </row>
    <row r="1959" spans="1:13" hidden="1">
      <c r="A1959" t="s">
        <v>2883</v>
      </c>
      <c r="B1959" t="s">
        <v>2128</v>
      </c>
      <c r="C1959" s="1">
        <v>45436</v>
      </c>
      <c r="D1959" s="2">
        <v>31453044</v>
      </c>
      <c r="E1959">
        <v>763</v>
      </c>
      <c r="F1959">
        <v>80</v>
      </c>
      <c r="G1959" s="2">
        <v>8834117</v>
      </c>
      <c r="H1959" s="2">
        <v>1274824</v>
      </c>
      <c r="J1959">
        <v>12</v>
      </c>
      <c r="K1959">
        <v>1</v>
      </c>
      <c r="L1959">
        <v>1</v>
      </c>
      <c r="M1959" t="str">
        <f t="shared" si="30"/>
        <v>After 2020</v>
      </c>
    </row>
    <row r="1960" spans="1:13">
      <c r="A1960" t="s">
        <v>2884</v>
      </c>
      <c r="B1960" t="s">
        <v>2167</v>
      </c>
      <c r="C1960" s="1">
        <v>42789</v>
      </c>
      <c r="D1960" s="2">
        <v>1224136357</v>
      </c>
      <c r="E1960" s="2">
        <v>115858</v>
      </c>
      <c r="F1960">
        <v>70</v>
      </c>
      <c r="G1960" s="2">
        <v>545665182</v>
      </c>
      <c r="H1960" s="2">
        <v>3985831</v>
      </c>
      <c r="I1960" s="2">
        <v>137040499</v>
      </c>
      <c r="J1960">
        <v>198</v>
      </c>
      <c r="K1960">
        <v>318</v>
      </c>
      <c r="L1960">
        <v>0</v>
      </c>
      <c r="M1960" t="str">
        <f t="shared" si="30"/>
        <v>2010-2020</v>
      </c>
    </row>
    <row r="1961" spans="1:13" hidden="1">
      <c r="A1961" t="s">
        <v>2885</v>
      </c>
      <c r="B1961" t="s">
        <v>504</v>
      </c>
      <c r="C1961" s="1">
        <v>42871</v>
      </c>
      <c r="D1961" s="2">
        <v>442472374</v>
      </c>
      <c r="E1961" s="2">
        <v>85567</v>
      </c>
      <c r="F1961">
        <v>68</v>
      </c>
      <c r="G1961" s="2">
        <v>99029913</v>
      </c>
      <c r="H1961" s="2">
        <v>1622141</v>
      </c>
      <c r="I1961" s="2">
        <v>437018233</v>
      </c>
      <c r="J1961">
        <v>7</v>
      </c>
      <c r="L1961">
        <v>1</v>
      </c>
      <c r="M1961" t="str">
        <f t="shared" si="30"/>
        <v>2010-2020</v>
      </c>
    </row>
    <row r="1962" spans="1:13" hidden="1">
      <c r="A1962" t="s">
        <v>2886</v>
      </c>
      <c r="B1962" t="s">
        <v>2887</v>
      </c>
      <c r="C1962" s="1">
        <v>44543</v>
      </c>
      <c r="D1962" s="2">
        <v>50831625</v>
      </c>
      <c r="E1962" s="2">
        <v>3101</v>
      </c>
      <c r="F1962">
        <v>49</v>
      </c>
      <c r="G1962" s="2">
        <v>684136410</v>
      </c>
      <c r="H1962" s="2">
        <v>3996864</v>
      </c>
      <c r="L1962">
        <v>0</v>
      </c>
      <c r="M1962" t="str">
        <f t="shared" si="30"/>
        <v>After 2020</v>
      </c>
    </row>
    <row r="1963" spans="1:13" hidden="1">
      <c r="A1963" t="s">
        <v>2888</v>
      </c>
      <c r="B1963" t="s">
        <v>2889</v>
      </c>
      <c r="C1963" s="1">
        <v>44777</v>
      </c>
      <c r="D1963" s="2">
        <v>278318</v>
      </c>
      <c r="E1963">
        <v>114</v>
      </c>
      <c r="F1963">
        <v>17</v>
      </c>
      <c r="G1963" s="2">
        <v>526506814</v>
      </c>
      <c r="H1963" s="2">
        <v>2040196</v>
      </c>
      <c r="I1963" s="2">
        <v>61675</v>
      </c>
      <c r="L1963">
        <v>0</v>
      </c>
      <c r="M1963" t="str">
        <f t="shared" si="30"/>
        <v>After 2020</v>
      </c>
    </row>
    <row r="1964" spans="1:13" hidden="1">
      <c r="A1964" t="s">
        <v>2890</v>
      </c>
      <c r="B1964" t="s">
        <v>2891</v>
      </c>
      <c r="C1964" s="1">
        <v>44239</v>
      </c>
      <c r="D1964" s="2">
        <v>122853878</v>
      </c>
      <c r="E1964" s="2">
        <v>12736</v>
      </c>
      <c r="G1964" s="2">
        <v>873576528</v>
      </c>
      <c r="H1964" s="2">
        <v>7386664</v>
      </c>
      <c r="J1964">
        <v>1</v>
      </c>
      <c r="L1964">
        <v>0</v>
      </c>
      <c r="M1964" t="str">
        <f t="shared" si="30"/>
        <v>After 2020</v>
      </c>
    </row>
    <row r="1965" spans="1:13">
      <c r="A1965" t="s">
        <v>2892</v>
      </c>
      <c r="B1965" t="s">
        <v>447</v>
      </c>
      <c r="C1965" s="1">
        <v>40435</v>
      </c>
      <c r="D1965" s="2">
        <v>636986949</v>
      </c>
      <c r="E1965" s="2">
        <v>141343</v>
      </c>
      <c r="F1965">
        <v>69</v>
      </c>
      <c r="G1965" s="2">
        <v>1110450147</v>
      </c>
      <c r="H1965" s="2">
        <v>6467597</v>
      </c>
      <c r="I1965" s="2">
        <v>5188475</v>
      </c>
      <c r="J1965">
        <v>62</v>
      </c>
      <c r="K1965">
        <v>52</v>
      </c>
      <c r="L1965">
        <v>1</v>
      </c>
      <c r="M1965" t="str">
        <f t="shared" si="30"/>
        <v>2010-2020</v>
      </c>
    </row>
    <row r="1966" spans="1:13" hidden="1">
      <c r="A1966" t="s">
        <v>2893</v>
      </c>
      <c r="B1966" t="s">
        <v>2894</v>
      </c>
      <c r="C1966" s="1">
        <v>45189</v>
      </c>
      <c r="D1966" s="2">
        <v>18794730</v>
      </c>
      <c r="E1966" s="2">
        <v>5074</v>
      </c>
      <c r="G1966" s="2">
        <v>36216795</v>
      </c>
      <c r="H1966" s="2">
        <v>317463</v>
      </c>
      <c r="I1966" s="2">
        <v>831341566</v>
      </c>
      <c r="J1966">
        <v>1</v>
      </c>
      <c r="L1966">
        <v>0</v>
      </c>
      <c r="M1966" t="str">
        <f t="shared" si="30"/>
        <v>After 2020</v>
      </c>
    </row>
    <row r="1967" spans="1:13" hidden="1">
      <c r="A1967" t="s">
        <v>2895</v>
      </c>
      <c r="B1967" t="s">
        <v>2896</v>
      </c>
      <c r="C1967" s="1">
        <v>44516</v>
      </c>
      <c r="D1967" s="2">
        <v>274961162</v>
      </c>
      <c r="E1967" s="2">
        <v>80300</v>
      </c>
      <c r="F1967">
        <v>67</v>
      </c>
      <c r="G1967" s="2">
        <v>196021271</v>
      </c>
      <c r="H1967" s="2">
        <v>2844570</v>
      </c>
      <c r="I1967" s="2">
        <v>4719697686</v>
      </c>
      <c r="J1967">
        <v>18</v>
      </c>
      <c r="L1967">
        <v>1</v>
      </c>
      <c r="M1967" t="str">
        <f t="shared" si="30"/>
        <v>After 2020</v>
      </c>
    </row>
    <row r="1968" spans="1:13" hidden="1">
      <c r="A1968" t="s">
        <v>2897</v>
      </c>
      <c r="B1968" t="s">
        <v>1565</v>
      </c>
      <c r="C1968" s="1">
        <v>45222</v>
      </c>
      <c r="D1968" s="2">
        <v>31783195</v>
      </c>
      <c r="E1968" s="2">
        <v>1189</v>
      </c>
      <c r="G1968" s="2">
        <v>172518289</v>
      </c>
      <c r="H1968" s="2">
        <v>1926806</v>
      </c>
      <c r="J1968">
        <v>3</v>
      </c>
      <c r="L1968">
        <v>0</v>
      </c>
      <c r="M1968" t="str">
        <f t="shared" si="30"/>
        <v>After 2020</v>
      </c>
    </row>
    <row r="1969" spans="1:13" hidden="1">
      <c r="A1969" t="s">
        <v>1366</v>
      </c>
      <c r="B1969" t="s">
        <v>718</v>
      </c>
      <c r="C1969" s="1">
        <v>45330</v>
      </c>
      <c r="D1969" s="2">
        <v>89513100</v>
      </c>
      <c r="E1969">
        <v>132</v>
      </c>
      <c r="J1969">
        <v>30</v>
      </c>
      <c r="L1969">
        <v>0</v>
      </c>
      <c r="M1969" t="str">
        <f t="shared" si="30"/>
        <v>After 2020</v>
      </c>
    </row>
    <row r="1970" spans="1:13" hidden="1">
      <c r="A1970" t="s">
        <v>2898</v>
      </c>
      <c r="B1970" t="s">
        <v>1613</v>
      </c>
      <c r="C1970" s="1">
        <v>43615</v>
      </c>
      <c r="D1970" s="2">
        <v>582823215</v>
      </c>
      <c r="E1970" s="2">
        <v>115214</v>
      </c>
      <c r="F1970">
        <v>69</v>
      </c>
      <c r="G1970" s="2">
        <v>362990075</v>
      </c>
      <c r="H1970" s="2">
        <v>5824758</v>
      </c>
      <c r="I1970" s="2">
        <v>394839659</v>
      </c>
      <c r="J1970">
        <v>11</v>
      </c>
      <c r="L1970">
        <v>0</v>
      </c>
      <c r="M1970" t="str">
        <f t="shared" si="30"/>
        <v>2010-2020</v>
      </c>
    </row>
    <row r="1971" spans="1:13" hidden="1">
      <c r="A1971" t="s">
        <v>2899</v>
      </c>
      <c r="B1971" t="s">
        <v>867</v>
      </c>
      <c r="C1971" s="1">
        <v>45079</v>
      </c>
      <c r="J1971">
        <v>25</v>
      </c>
      <c r="L1971">
        <v>0</v>
      </c>
      <c r="M1971" t="str">
        <f t="shared" si="30"/>
        <v>After 2020</v>
      </c>
    </row>
    <row r="1972" spans="1:13" hidden="1">
      <c r="A1972" t="s">
        <v>2900</v>
      </c>
      <c r="B1972" t="s">
        <v>633</v>
      </c>
      <c r="C1972" s="1">
        <v>45337</v>
      </c>
      <c r="D1972" s="2">
        <v>31900914</v>
      </c>
      <c r="E1972" s="2">
        <v>4008</v>
      </c>
      <c r="G1972" s="2">
        <v>61597694</v>
      </c>
      <c r="H1972" s="2">
        <v>410521</v>
      </c>
      <c r="J1972">
        <v>7</v>
      </c>
      <c r="K1972">
        <v>37</v>
      </c>
      <c r="L1972">
        <v>1</v>
      </c>
      <c r="M1972" t="str">
        <f t="shared" si="30"/>
        <v>After 2020</v>
      </c>
    </row>
    <row r="1973" spans="1:13">
      <c r="A1973" t="s">
        <v>2901</v>
      </c>
      <c r="B1973" t="s">
        <v>1414</v>
      </c>
      <c r="C1973" s="1">
        <v>45128</v>
      </c>
      <c r="D1973" s="2">
        <v>135841710</v>
      </c>
      <c r="E1973" s="2">
        <v>22636</v>
      </c>
      <c r="F1973">
        <v>61</v>
      </c>
      <c r="G1973" s="2">
        <v>53263040</v>
      </c>
      <c r="H1973" s="2">
        <v>755107</v>
      </c>
      <c r="I1973" s="2">
        <v>1221296456</v>
      </c>
      <c r="J1973">
        <v>12</v>
      </c>
      <c r="K1973">
        <v>690</v>
      </c>
      <c r="L1973">
        <v>1</v>
      </c>
      <c r="M1973" t="str">
        <f t="shared" si="30"/>
        <v>After 2020</v>
      </c>
    </row>
    <row r="1974" spans="1:13" hidden="1">
      <c r="A1974" t="s">
        <v>2902</v>
      </c>
      <c r="B1974" t="s">
        <v>997</v>
      </c>
      <c r="C1974" s="1">
        <v>44851</v>
      </c>
      <c r="D1974" s="2">
        <v>242708368</v>
      </c>
      <c r="E1974" s="2">
        <v>24028</v>
      </c>
      <c r="F1974">
        <v>66</v>
      </c>
      <c r="G1974" s="2">
        <v>306925934</v>
      </c>
      <c r="H1974" s="2">
        <v>3817854</v>
      </c>
      <c r="I1974" s="2">
        <v>28580589</v>
      </c>
      <c r="J1974">
        <v>12</v>
      </c>
      <c r="L1974">
        <v>0</v>
      </c>
      <c r="M1974" t="str">
        <f t="shared" si="30"/>
        <v>After 2020</v>
      </c>
    </row>
    <row r="1975" spans="1:13">
      <c r="A1975" t="s">
        <v>2903</v>
      </c>
      <c r="B1975" t="s">
        <v>619</v>
      </c>
      <c r="C1975" s="1">
        <v>43279</v>
      </c>
      <c r="D1975" s="2">
        <v>818413674</v>
      </c>
      <c r="E1975" s="2">
        <v>68379</v>
      </c>
      <c r="F1975">
        <v>68</v>
      </c>
      <c r="G1975" s="2">
        <v>1084871772</v>
      </c>
      <c r="H1975" s="2">
        <v>3856569</v>
      </c>
      <c r="I1975" s="2">
        <v>66017796</v>
      </c>
      <c r="J1975">
        <v>38</v>
      </c>
      <c r="K1975">
        <v>204</v>
      </c>
      <c r="L1975">
        <v>0</v>
      </c>
      <c r="M1975" t="str">
        <f t="shared" si="30"/>
        <v>2010-2020</v>
      </c>
    </row>
    <row r="1976" spans="1:13" hidden="1">
      <c r="A1976" t="s">
        <v>2904</v>
      </c>
      <c r="B1976" t="s">
        <v>1534</v>
      </c>
      <c r="C1976" s="1">
        <v>44265</v>
      </c>
      <c r="D1976" s="2">
        <v>163921357</v>
      </c>
      <c r="E1976" s="2">
        <v>36519</v>
      </c>
      <c r="F1976">
        <v>64</v>
      </c>
      <c r="G1976" s="2">
        <v>296510850</v>
      </c>
      <c r="H1976" s="2">
        <v>1746888</v>
      </c>
      <c r="I1976" s="2">
        <v>64791187</v>
      </c>
      <c r="J1976">
        <v>22</v>
      </c>
      <c r="L1976">
        <v>1</v>
      </c>
      <c r="M1976" t="str">
        <f t="shared" si="30"/>
        <v>After 2020</v>
      </c>
    </row>
    <row r="1977" spans="1:13">
      <c r="A1977" t="s">
        <v>2905</v>
      </c>
      <c r="B1977" t="s">
        <v>829</v>
      </c>
      <c r="C1977" s="1">
        <v>43481</v>
      </c>
      <c r="D1977" s="2">
        <v>726877512</v>
      </c>
      <c r="E1977" s="2">
        <v>145514</v>
      </c>
      <c r="F1977">
        <v>66</v>
      </c>
      <c r="G1977" s="2">
        <v>383840816</v>
      </c>
      <c r="H1977" s="2">
        <v>2770217</v>
      </c>
      <c r="I1977" s="2">
        <v>126460343</v>
      </c>
      <c r="J1977">
        <v>69</v>
      </c>
      <c r="K1977">
        <v>331</v>
      </c>
      <c r="L1977">
        <v>1</v>
      </c>
      <c r="M1977" t="str">
        <f t="shared" si="30"/>
        <v>2010-2020</v>
      </c>
    </row>
    <row r="1978" spans="1:13">
      <c r="A1978" t="s">
        <v>2906</v>
      </c>
      <c r="B1978" t="s">
        <v>459</v>
      </c>
      <c r="C1978" s="1">
        <v>41701</v>
      </c>
      <c r="D1978" s="2">
        <v>385438228</v>
      </c>
      <c r="E1978" s="2">
        <v>51062</v>
      </c>
      <c r="F1978">
        <v>68</v>
      </c>
      <c r="G1978" s="2">
        <v>2103164374</v>
      </c>
      <c r="H1978" s="2">
        <v>6262143</v>
      </c>
      <c r="I1978" s="2">
        <v>55635484</v>
      </c>
      <c r="J1978">
        <v>54</v>
      </c>
      <c r="K1978">
        <v>44</v>
      </c>
      <c r="L1978">
        <v>0</v>
      </c>
      <c r="M1978" t="str">
        <f t="shared" si="30"/>
        <v>2010-2020</v>
      </c>
    </row>
    <row r="1979" spans="1:13" hidden="1">
      <c r="A1979" t="s">
        <v>2907</v>
      </c>
      <c r="B1979" t="s">
        <v>2908</v>
      </c>
      <c r="C1979" s="1">
        <v>45365</v>
      </c>
      <c r="D1979" s="2">
        <v>44365910</v>
      </c>
      <c r="E1979" s="2">
        <v>3206</v>
      </c>
      <c r="F1979">
        <v>75</v>
      </c>
      <c r="G1979" s="2">
        <v>46212150</v>
      </c>
      <c r="H1979" s="2">
        <v>373922</v>
      </c>
      <c r="J1979">
        <v>7</v>
      </c>
      <c r="L1979">
        <v>1</v>
      </c>
      <c r="M1979" t="str">
        <f t="shared" si="30"/>
        <v>After 2020</v>
      </c>
    </row>
    <row r="1980" spans="1:13" hidden="1">
      <c r="A1980" t="s">
        <v>2909</v>
      </c>
      <c r="B1980" t="s">
        <v>157</v>
      </c>
      <c r="C1980" s="1">
        <v>45384</v>
      </c>
      <c r="D1980" s="2">
        <v>100182006</v>
      </c>
      <c r="E1980" s="2">
        <v>4826</v>
      </c>
      <c r="F1980">
        <v>78</v>
      </c>
      <c r="G1980" s="2">
        <v>16163441</v>
      </c>
      <c r="H1980" s="2">
        <v>136282</v>
      </c>
      <c r="J1980">
        <v>15</v>
      </c>
      <c r="L1980">
        <v>1</v>
      </c>
      <c r="M1980" t="str">
        <f t="shared" si="30"/>
        <v>After 2020</v>
      </c>
    </row>
    <row r="1981" spans="1:13">
      <c r="A1981" t="s">
        <v>2910</v>
      </c>
      <c r="B1981" t="s">
        <v>912</v>
      </c>
      <c r="C1981" s="1">
        <v>40544</v>
      </c>
      <c r="D1981" s="2">
        <v>1655539775</v>
      </c>
      <c r="E1981" s="2">
        <v>219739</v>
      </c>
      <c r="F1981">
        <v>79</v>
      </c>
      <c r="G1981" s="2">
        <v>1438850843</v>
      </c>
      <c r="H1981" s="2">
        <v>6775048</v>
      </c>
      <c r="I1981" s="2">
        <v>831485</v>
      </c>
      <c r="J1981">
        <v>318</v>
      </c>
      <c r="K1981">
        <v>1</v>
      </c>
      <c r="L1981">
        <v>0</v>
      </c>
      <c r="M1981" t="str">
        <f t="shared" si="30"/>
        <v>2010-2020</v>
      </c>
    </row>
    <row r="1982" spans="1:13" hidden="1">
      <c r="A1982" t="s">
        <v>1016</v>
      </c>
      <c r="B1982" t="s">
        <v>772</v>
      </c>
      <c r="C1982" s="1">
        <v>45099</v>
      </c>
      <c r="D1982" s="2">
        <v>470358238</v>
      </c>
      <c r="E1982" s="2">
        <v>7198</v>
      </c>
      <c r="F1982">
        <v>51</v>
      </c>
      <c r="J1982">
        <v>1</v>
      </c>
      <c r="L1982">
        <v>0</v>
      </c>
      <c r="M1982" t="str">
        <f t="shared" si="30"/>
        <v>After 2020</v>
      </c>
    </row>
    <row r="1983" spans="1:13">
      <c r="A1983" t="s">
        <v>2911</v>
      </c>
      <c r="B1983" t="s">
        <v>2912</v>
      </c>
      <c r="C1983" s="1">
        <v>43871</v>
      </c>
      <c r="D1983" s="2">
        <v>864865822</v>
      </c>
      <c r="E1983" s="2">
        <v>155446</v>
      </c>
      <c r="F1983">
        <v>82</v>
      </c>
      <c r="G1983" s="2">
        <v>119059085</v>
      </c>
      <c r="H1983" s="2">
        <v>1543311</v>
      </c>
      <c r="I1983" s="2">
        <v>1722108635</v>
      </c>
      <c r="J1983">
        <v>3</v>
      </c>
      <c r="K1983">
        <v>593</v>
      </c>
      <c r="L1983">
        <v>0</v>
      </c>
      <c r="M1983" t="str">
        <f t="shared" si="30"/>
        <v>2010-2020</v>
      </c>
    </row>
    <row r="1984" spans="1:13">
      <c r="A1984" t="s">
        <v>2913</v>
      </c>
      <c r="B1984" t="s">
        <v>2914</v>
      </c>
      <c r="C1984" s="1">
        <v>43691</v>
      </c>
      <c r="D1984" s="2">
        <v>512194074</v>
      </c>
      <c r="E1984" s="2">
        <v>180810</v>
      </c>
      <c r="F1984">
        <v>71</v>
      </c>
      <c r="G1984" s="2">
        <v>31571952</v>
      </c>
      <c r="H1984" s="2">
        <v>420306</v>
      </c>
      <c r="I1984" s="2">
        <v>1524936587</v>
      </c>
      <c r="J1984">
        <v>63</v>
      </c>
      <c r="K1984">
        <v>183</v>
      </c>
      <c r="L1984">
        <v>1</v>
      </c>
      <c r="M1984" t="str">
        <f t="shared" si="30"/>
        <v>2010-2020</v>
      </c>
    </row>
    <row r="1985" spans="1:13">
      <c r="A1985" t="s">
        <v>2915</v>
      </c>
      <c r="B1985" t="s">
        <v>187</v>
      </c>
      <c r="C1985" s="1">
        <v>45072</v>
      </c>
      <c r="D1985" s="2">
        <v>132870060</v>
      </c>
      <c r="E1985" s="2">
        <v>27561</v>
      </c>
      <c r="F1985">
        <v>69</v>
      </c>
      <c r="G1985" s="2">
        <v>27715495</v>
      </c>
      <c r="H1985" s="2">
        <v>361926</v>
      </c>
      <c r="I1985" s="2">
        <v>62570724</v>
      </c>
      <c r="J1985">
        <v>36</v>
      </c>
      <c r="K1985">
        <v>50</v>
      </c>
      <c r="L1985">
        <v>1</v>
      </c>
      <c r="M1985" t="str">
        <f t="shared" si="30"/>
        <v>After 2020</v>
      </c>
    </row>
    <row r="1986" spans="1:13" hidden="1">
      <c r="A1986" t="s">
        <v>2916</v>
      </c>
      <c r="B1986" t="s">
        <v>2917</v>
      </c>
      <c r="C1986" s="1">
        <v>44652</v>
      </c>
      <c r="D1986" s="2">
        <v>2300429829</v>
      </c>
      <c r="L1986">
        <v>0</v>
      </c>
      <c r="M1986" t="str">
        <f t="shared" si="30"/>
        <v>After 2020</v>
      </c>
    </row>
    <row r="1987" spans="1:13" hidden="1">
      <c r="A1987" t="s">
        <v>2918</v>
      </c>
      <c r="B1987" t="s">
        <v>1418</v>
      </c>
      <c r="C1987" s="1">
        <v>43785</v>
      </c>
      <c r="D1987" s="2">
        <v>86910140</v>
      </c>
      <c r="E1987" s="2">
        <v>8749</v>
      </c>
      <c r="F1987">
        <v>56</v>
      </c>
      <c r="G1987" s="2">
        <v>626799451</v>
      </c>
      <c r="H1987" s="2">
        <v>4573766</v>
      </c>
      <c r="I1987" s="2">
        <v>569000341</v>
      </c>
      <c r="J1987">
        <v>5</v>
      </c>
      <c r="L1987">
        <v>0</v>
      </c>
      <c r="M1987" t="str">
        <f t="shared" ref="M1987:M2050" si="31">IF(YEAR(C1987)&lt;2010,"Before 2010",IF(YEAR(C1987)&lt;=2020,"2010-2020","After 2020"))</f>
        <v>2010-2020</v>
      </c>
    </row>
    <row r="1988" spans="1:13">
      <c r="A1988" t="s">
        <v>2919</v>
      </c>
      <c r="B1988" t="s">
        <v>2920</v>
      </c>
      <c r="C1988" s="1">
        <v>44322</v>
      </c>
      <c r="D1988" s="2">
        <v>389915082</v>
      </c>
      <c r="E1988" s="2">
        <v>101681</v>
      </c>
      <c r="F1988">
        <v>66</v>
      </c>
      <c r="G1988" s="2">
        <v>12456282</v>
      </c>
      <c r="H1988" s="2">
        <v>162382</v>
      </c>
      <c r="I1988" s="2">
        <v>3623326028</v>
      </c>
      <c r="J1988">
        <v>57</v>
      </c>
      <c r="K1988" s="2">
        <v>1665</v>
      </c>
      <c r="L1988">
        <v>1</v>
      </c>
      <c r="M1988" t="str">
        <f t="shared" si="31"/>
        <v>After 2020</v>
      </c>
    </row>
    <row r="1989" spans="1:13">
      <c r="A1989" t="s">
        <v>2921</v>
      </c>
      <c r="B1989" t="s">
        <v>1758</v>
      </c>
      <c r="C1989" s="1">
        <v>43182</v>
      </c>
      <c r="D1989" s="2">
        <v>930662973</v>
      </c>
      <c r="E1989" s="2">
        <v>130768</v>
      </c>
      <c r="F1989">
        <v>71</v>
      </c>
      <c r="G1989" s="2">
        <v>473069489</v>
      </c>
      <c r="H1989" s="2">
        <v>2566614</v>
      </c>
      <c r="I1989" s="2">
        <v>114370699</v>
      </c>
      <c r="J1989">
        <v>142</v>
      </c>
      <c r="K1989">
        <v>179</v>
      </c>
      <c r="L1989">
        <v>0</v>
      </c>
      <c r="M1989" t="str">
        <f t="shared" si="31"/>
        <v>2010-2020</v>
      </c>
    </row>
    <row r="1990" spans="1:13" hidden="1">
      <c r="A1990" t="s">
        <v>2922</v>
      </c>
      <c r="B1990" t="s">
        <v>2923</v>
      </c>
      <c r="C1990" s="1">
        <v>44806</v>
      </c>
      <c r="D1990" s="2">
        <v>149237160</v>
      </c>
      <c r="E1990" s="2">
        <v>22036</v>
      </c>
      <c r="F1990">
        <v>65</v>
      </c>
      <c r="G1990" s="2">
        <v>60539963</v>
      </c>
      <c r="H1990" s="2">
        <v>307422</v>
      </c>
      <c r="I1990" s="2">
        <v>52556917</v>
      </c>
      <c r="J1990">
        <v>39</v>
      </c>
      <c r="L1990">
        <v>0</v>
      </c>
      <c r="M1990" t="str">
        <f t="shared" si="31"/>
        <v>After 2020</v>
      </c>
    </row>
    <row r="1991" spans="1:13" hidden="1">
      <c r="A1991" t="s">
        <v>2924</v>
      </c>
      <c r="B1991" t="s">
        <v>336</v>
      </c>
      <c r="C1991" s="1">
        <v>45085</v>
      </c>
      <c r="D1991" s="2">
        <v>173609862</v>
      </c>
      <c r="E1991" s="2">
        <v>23712</v>
      </c>
      <c r="F1991">
        <v>63</v>
      </c>
      <c r="G1991" s="2">
        <v>74811822</v>
      </c>
      <c r="H1991" s="2">
        <v>363158</v>
      </c>
      <c r="J1991">
        <v>53</v>
      </c>
      <c r="K1991">
        <v>531</v>
      </c>
      <c r="L1991">
        <v>0</v>
      </c>
      <c r="M1991" t="str">
        <f t="shared" si="31"/>
        <v>After 2020</v>
      </c>
    </row>
    <row r="1992" spans="1:13" hidden="1">
      <c r="A1992" t="s">
        <v>2925</v>
      </c>
      <c r="B1992" t="s">
        <v>2926</v>
      </c>
      <c r="C1992" s="1">
        <v>44344</v>
      </c>
      <c r="D1992" s="2">
        <v>5936</v>
      </c>
      <c r="E1992">
        <v>57</v>
      </c>
      <c r="I1992" s="2">
        <v>14730433978</v>
      </c>
      <c r="L1992">
        <v>0</v>
      </c>
      <c r="M1992" t="str">
        <f t="shared" si="31"/>
        <v>After 2020</v>
      </c>
    </row>
    <row r="1993" spans="1:13" hidden="1">
      <c r="A1993" t="s">
        <v>2927</v>
      </c>
      <c r="B1993" t="s">
        <v>2928</v>
      </c>
      <c r="C1993" s="1">
        <v>42920</v>
      </c>
      <c r="D1993" s="2">
        <v>37248788</v>
      </c>
      <c r="E1993" s="2">
        <v>8023</v>
      </c>
      <c r="F1993">
        <v>50</v>
      </c>
      <c r="G1993" s="2">
        <v>1900711176</v>
      </c>
      <c r="H1993" s="2">
        <v>10412989</v>
      </c>
      <c r="J1993">
        <v>14</v>
      </c>
      <c r="L1993">
        <v>0</v>
      </c>
      <c r="M1993" t="str">
        <f t="shared" si="31"/>
        <v>2010-2020</v>
      </c>
    </row>
    <row r="1994" spans="1:13" hidden="1">
      <c r="A1994" t="s">
        <v>2929</v>
      </c>
      <c r="B1994" t="s">
        <v>504</v>
      </c>
      <c r="C1994" s="1">
        <v>44722</v>
      </c>
      <c r="D1994" s="2">
        <v>42993944</v>
      </c>
      <c r="E1994" s="2">
        <v>14476</v>
      </c>
      <c r="F1994">
        <v>58</v>
      </c>
      <c r="G1994" s="2">
        <v>7064950</v>
      </c>
      <c r="H1994" s="2">
        <v>182381</v>
      </c>
      <c r="I1994" s="2">
        <v>6574386</v>
      </c>
      <c r="L1994">
        <v>0</v>
      </c>
      <c r="M1994" t="str">
        <f t="shared" si="31"/>
        <v>After 2020</v>
      </c>
    </row>
    <row r="1995" spans="1:13">
      <c r="A1995" t="s">
        <v>2930</v>
      </c>
      <c r="B1995" t="s">
        <v>2931</v>
      </c>
      <c r="C1995" s="1">
        <v>43994</v>
      </c>
      <c r="D1995" s="2">
        <v>495274429</v>
      </c>
      <c r="E1995" s="2">
        <v>128838</v>
      </c>
      <c r="F1995">
        <v>63</v>
      </c>
      <c r="G1995" s="2">
        <v>78671735</v>
      </c>
      <c r="H1995" s="2">
        <v>609580</v>
      </c>
      <c r="I1995" s="2">
        <v>354473655</v>
      </c>
      <c r="J1995">
        <v>120</v>
      </c>
      <c r="K1995">
        <v>178</v>
      </c>
      <c r="L1995">
        <v>1</v>
      </c>
      <c r="M1995" t="str">
        <f t="shared" si="31"/>
        <v>2010-2020</v>
      </c>
    </row>
    <row r="1996" spans="1:13" hidden="1">
      <c r="A1996" t="s">
        <v>2932</v>
      </c>
      <c r="B1996" t="s">
        <v>2933</v>
      </c>
      <c r="C1996" s="1">
        <v>44929</v>
      </c>
      <c r="D1996" s="2">
        <v>558538</v>
      </c>
      <c r="E1996">
        <v>63</v>
      </c>
      <c r="F1996">
        <v>30</v>
      </c>
      <c r="G1996" s="2">
        <v>42031</v>
      </c>
      <c r="H1996">
        <v>71</v>
      </c>
      <c r="I1996" s="2">
        <v>557643224</v>
      </c>
      <c r="L1996">
        <v>0</v>
      </c>
      <c r="M1996" t="str">
        <f t="shared" si="31"/>
        <v>After 2020</v>
      </c>
    </row>
    <row r="1997" spans="1:13" hidden="1">
      <c r="A1997" t="s">
        <v>2934</v>
      </c>
      <c r="B1997" t="s">
        <v>2935</v>
      </c>
      <c r="C1997" s="1">
        <v>44967</v>
      </c>
      <c r="E1997">
        <v>5</v>
      </c>
      <c r="G1997" s="2">
        <v>392842852</v>
      </c>
      <c r="H1997" s="2">
        <v>1919579</v>
      </c>
      <c r="L1997">
        <v>0</v>
      </c>
      <c r="M1997" t="str">
        <f t="shared" si="31"/>
        <v>After 2020</v>
      </c>
    </row>
    <row r="1998" spans="1:13">
      <c r="A1998" t="s">
        <v>2936</v>
      </c>
      <c r="B1998" t="s">
        <v>2937</v>
      </c>
      <c r="C1998" s="1">
        <v>42809</v>
      </c>
      <c r="D1998" s="2">
        <v>491634627</v>
      </c>
      <c r="E1998" s="2">
        <v>75806</v>
      </c>
      <c r="F1998">
        <v>62</v>
      </c>
      <c r="G1998" s="2">
        <v>188680059</v>
      </c>
      <c r="H1998" s="2">
        <v>1804608</v>
      </c>
      <c r="I1998" s="2">
        <v>541006747</v>
      </c>
      <c r="J1998">
        <v>44</v>
      </c>
      <c r="K1998">
        <v>72</v>
      </c>
      <c r="L1998">
        <v>0</v>
      </c>
      <c r="M1998" t="str">
        <f t="shared" si="31"/>
        <v>2010-2020</v>
      </c>
    </row>
    <row r="1999" spans="1:13" hidden="1">
      <c r="A1999" t="s">
        <v>2938</v>
      </c>
      <c r="B1999" t="s">
        <v>99</v>
      </c>
      <c r="C1999" s="1">
        <v>45422</v>
      </c>
      <c r="D1999" s="2">
        <v>28658023</v>
      </c>
      <c r="E1999" s="2">
        <v>4184</v>
      </c>
      <c r="F1999">
        <v>77</v>
      </c>
      <c r="G1999" s="2">
        <v>3724826</v>
      </c>
      <c r="H1999" s="2">
        <v>56851</v>
      </c>
      <c r="K1999">
        <v>3</v>
      </c>
      <c r="L1999">
        <v>1</v>
      </c>
      <c r="M1999" t="str">
        <f t="shared" si="31"/>
        <v>After 2020</v>
      </c>
    </row>
    <row r="2000" spans="1:13" hidden="1">
      <c r="A2000" t="s">
        <v>2939</v>
      </c>
      <c r="B2000" t="s">
        <v>2696</v>
      </c>
      <c r="C2000" s="1">
        <v>45282</v>
      </c>
      <c r="D2000" s="2">
        <v>76959761</v>
      </c>
      <c r="E2000" s="2">
        <v>18706</v>
      </c>
      <c r="F2000">
        <v>76</v>
      </c>
      <c r="J2000">
        <v>33</v>
      </c>
      <c r="L2000">
        <v>0</v>
      </c>
      <c r="M2000" t="str">
        <f t="shared" si="31"/>
        <v>After 2020</v>
      </c>
    </row>
    <row r="2001" spans="1:13">
      <c r="A2001" t="s">
        <v>2940</v>
      </c>
      <c r="B2001" t="s">
        <v>1831</v>
      </c>
      <c r="C2001" s="1">
        <v>44687</v>
      </c>
      <c r="D2001" s="2">
        <v>193854805</v>
      </c>
      <c r="E2001" s="2">
        <v>33972</v>
      </c>
      <c r="F2001">
        <v>68</v>
      </c>
      <c r="G2001" s="2">
        <v>24154881</v>
      </c>
      <c r="H2001" s="2">
        <v>173205</v>
      </c>
      <c r="I2001" s="2">
        <v>35905755</v>
      </c>
      <c r="J2001">
        <v>25</v>
      </c>
      <c r="K2001">
        <v>208</v>
      </c>
      <c r="L2001">
        <v>0</v>
      </c>
      <c r="M2001" t="str">
        <f t="shared" si="31"/>
        <v>After 2020</v>
      </c>
    </row>
    <row r="2002" spans="1:13">
      <c r="A2002" t="s">
        <v>2941</v>
      </c>
      <c r="B2002" t="s">
        <v>2942</v>
      </c>
      <c r="C2002" s="1">
        <v>44447</v>
      </c>
      <c r="D2002" s="2">
        <v>503972431</v>
      </c>
      <c r="E2002" s="2">
        <v>90920</v>
      </c>
      <c r="F2002">
        <v>68</v>
      </c>
      <c r="G2002" s="2">
        <v>169044079</v>
      </c>
      <c r="H2002" s="2">
        <v>1342959</v>
      </c>
      <c r="I2002" s="2">
        <v>544513130</v>
      </c>
      <c r="J2002">
        <v>77</v>
      </c>
      <c r="K2002">
        <v>37</v>
      </c>
      <c r="L2002">
        <v>1</v>
      </c>
      <c r="M2002" t="str">
        <f t="shared" si="31"/>
        <v>After 2020</v>
      </c>
    </row>
    <row r="2003" spans="1:13">
      <c r="A2003" t="s">
        <v>2943</v>
      </c>
      <c r="B2003" t="s">
        <v>260</v>
      </c>
      <c r="C2003" s="1">
        <v>42433</v>
      </c>
      <c r="D2003" s="2">
        <v>614050155</v>
      </c>
      <c r="E2003" s="2">
        <v>70723</v>
      </c>
      <c r="F2003">
        <v>69</v>
      </c>
      <c r="G2003" s="2">
        <v>787010459</v>
      </c>
      <c r="H2003" s="2">
        <v>6661292</v>
      </c>
      <c r="I2003" s="2">
        <v>3071891173</v>
      </c>
      <c r="J2003">
        <v>78</v>
      </c>
      <c r="K2003">
        <v>24</v>
      </c>
      <c r="L2003">
        <v>0</v>
      </c>
      <c r="M2003" t="str">
        <f t="shared" si="31"/>
        <v>2010-2020</v>
      </c>
    </row>
    <row r="2004" spans="1:13">
      <c r="A2004" t="s">
        <v>2944</v>
      </c>
      <c r="B2004" t="s">
        <v>336</v>
      </c>
      <c r="C2004" s="1">
        <v>43525</v>
      </c>
      <c r="D2004" s="2">
        <v>614313540</v>
      </c>
      <c r="E2004" s="2">
        <v>55782</v>
      </c>
      <c r="F2004">
        <v>64</v>
      </c>
      <c r="G2004" s="2">
        <v>978997170</v>
      </c>
      <c r="H2004" s="2">
        <v>4042367</v>
      </c>
      <c r="I2004" s="2">
        <v>48469382</v>
      </c>
      <c r="J2004">
        <v>59</v>
      </c>
      <c r="K2004">
        <v>125</v>
      </c>
      <c r="L2004">
        <v>1</v>
      </c>
      <c r="M2004" t="str">
        <f t="shared" si="31"/>
        <v>2010-2020</v>
      </c>
    </row>
    <row r="2005" spans="1:13" hidden="1">
      <c r="A2005" t="s">
        <v>2945</v>
      </c>
      <c r="B2005" t="s">
        <v>1436</v>
      </c>
      <c r="C2005" s="1">
        <v>45156</v>
      </c>
      <c r="D2005" s="2">
        <v>190634973</v>
      </c>
      <c r="E2005" s="2">
        <v>37824</v>
      </c>
      <c r="F2005">
        <v>79</v>
      </c>
      <c r="G2005" s="2">
        <v>12371887</v>
      </c>
      <c r="H2005" s="2">
        <v>154516</v>
      </c>
      <c r="J2005">
        <v>3</v>
      </c>
      <c r="L2005">
        <v>1</v>
      </c>
      <c r="M2005" t="str">
        <f t="shared" si="31"/>
        <v>After 2020</v>
      </c>
    </row>
    <row r="2006" spans="1:13">
      <c r="A2006" t="s">
        <v>2946</v>
      </c>
      <c r="B2006" t="s">
        <v>1280</v>
      </c>
      <c r="C2006" s="1">
        <v>43266</v>
      </c>
      <c r="D2006" s="2">
        <v>671869078</v>
      </c>
      <c r="E2006" s="2">
        <v>64411</v>
      </c>
      <c r="F2006">
        <v>65</v>
      </c>
      <c r="G2006" s="2">
        <v>686180183</v>
      </c>
      <c r="H2006" s="2">
        <v>6533684</v>
      </c>
      <c r="I2006" s="2">
        <v>184425042</v>
      </c>
      <c r="J2006">
        <v>5</v>
      </c>
      <c r="K2006">
        <v>31</v>
      </c>
      <c r="L2006">
        <v>0</v>
      </c>
      <c r="M2006" t="str">
        <f t="shared" si="31"/>
        <v>2010-2020</v>
      </c>
    </row>
    <row r="2007" spans="1:13" hidden="1">
      <c r="A2007" t="s">
        <v>2947</v>
      </c>
      <c r="B2007" t="s">
        <v>141</v>
      </c>
      <c r="C2007" s="1">
        <v>44687</v>
      </c>
      <c r="D2007" s="2">
        <v>500671737</v>
      </c>
      <c r="E2007" s="2">
        <v>57541</v>
      </c>
      <c r="F2007">
        <v>70</v>
      </c>
      <c r="G2007" s="2">
        <v>204437602</v>
      </c>
      <c r="H2007" s="2">
        <v>1398859</v>
      </c>
      <c r="I2007" s="2">
        <v>66367676</v>
      </c>
      <c r="J2007">
        <v>12</v>
      </c>
      <c r="L2007">
        <v>0</v>
      </c>
      <c r="M2007" t="str">
        <f t="shared" si="31"/>
        <v>After 2020</v>
      </c>
    </row>
    <row r="2008" spans="1:13" hidden="1">
      <c r="A2008" t="s">
        <v>2948</v>
      </c>
      <c r="B2008" t="s">
        <v>2949</v>
      </c>
      <c r="C2008" s="1">
        <v>45197</v>
      </c>
      <c r="D2008" s="2">
        <v>57956846</v>
      </c>
      <c r="E2008" s="2">
        <v>10382</v>
      </c>
      <c r="I2008" s="2">
        <v>525525</v>
      </c>
      <c r="J2008">
        <v>16</v>
      </c>
      <c r="K2008">
        <v>64</v>
      </c>
      <c r="L2008">
        <v>0</v>
      </c>
      <c r="M2008" t="str">
        <f t="shared" si="31"/>
        <v>After 2020</v>
      </c>
    </row>
    <row r="2009" spans="1:13" hidden="1">
      <c r="A2009" t="s">
        <v>2950</v>
      </c>
      <c r="B2009" t="s">
        <v>2951</v>
      </c>
      <c r="C2009" s="1">
        <v>45394</v>
      </c>
      <c r="D2009" s="2">
        <v>46650884</v>
      </c>
      <c r="E2009" s="2">
        <v>2613</v>
      </c>
      <c r="F2009">
        <v>75</v>
      </c>
      <c r="G2009" s="2">
        <v>23179014</v>
      </c>
      <c r="H2009" s="2">
        <v>100874</v>
      </c>
      <c r="J2009">
        <v>8</v>
      </c>
      <c r="L2009">
        <v>0</v>
      </c>
      <c r="M2009" t="str">
        <f t="shared" si="31"/>
        <v>After 2020</v>
      </c>
    </row>
    <row r="2010" spans="1:13">
      <c r="A2010" t="s">
        <v>2952</v>
      </c>
      <c r="B2010" t="s">
        <v>51</v>
      </c>
      <c r="C2010" s="1">
        <v>45055</v>
      </c>
      <c r="D2010" s="2">
        <v>366169549</v>
      </c>
      <c r="E2010" s="2">
        <v>36901</v>
      </c>
      <c r="F2010">
        <v>78</v>
      </c>
      <c r="G2010" s="2">
        <v>11642653</v>
      </c>
      <c r="H2010" s="2">
        <v>461148</v>
      </c>
      <c r="I2010" s="2">
        <v>242969046</v>
      </c>
      <c r="J2010">
        <v>5</v>
      </c>
      <c r="K2010">
        <v>307</v>
      </c>
      <c r="L2010">
        <v>0</v>
      </c>
      <c r="M2010" t="str">
        <f t="shared" si="31"/>
        <v>After 2020</v>
      </c>
    </row>
    <row r="2011" spans="1:13">
      <c r="A2011" t="s">
        <v>2953</v>
      </c>
      <c r="B2011" t="s">
        <v>357</v>
      </c>
      <c r="C2011" s="1">
        <v>40909</v>
      </c>
      <c r="D2011" s="2">
        <v>885944426</v>
      </c>
      <c r="E2011" s="2">
        <v>129982</v>
      </c>
      <c r="F2011">
        <v>73</v>
      </c>
      <c r="G2011" s="2">
        <v>1106757714</v>
      </c>
      <c r="H2011" s="2">
        <v>4773915</v>
      </c>
      <c r="I2011" s="2">
        <v>469737119</v>
      </c>
      <c r="J2011">
        <v>45</v>
      </c>
      <c r="K2011">
        <v>188</v>
      </c>
      <c r="L2011">
        <v>0</v>
      </c>
      <c r="M2011" t="str">
        <f t="shared" si="31"/>
        <v>2010-2020</v>
      </c>
    </row>
    <row r="2012" spans="1:13" hidden="1">
      <c r="A2012" t="s">
        <v>1290</v>
      </c>
      <c r="B2012" t="s">
        <v>1291</v>
      </c>
      <c r="C2012" s="1">
        <v>43343</v>
      </c>
      <c r="D2012" s="2">
        <v>634333924</v>
      </c>
      <c r="E2012" s="2">
        <v>20562</v>
      </c>
      <c r="I2012" s="2">
        <v>7021777484</v>
      </c>
      <c r="L2012">
        <v>0</v>
      </c>
      <c r="M2012" t="str">
        <f t="shared" si="31"/>
        <v>2010-2020</v>
      </c>
    </row>
    <row r="2013" spans="1:13" hidden="1">
      <c r="A2013" t="s">
        <v>2954</v>
      </c>
      <c r="B2013" t="s">
        <v>2955</v>
      </c>
      <c r="C2013" s="1">
        <v>44652</v>
      </c>
      <c r="D2013" s="2">
        <v>243125642</v>
      </c>
      <c r="E2013" s="2">
        <v>77523</v>
      </c>
      <c r="F2013">
        <v>74</v>
      </c>
      <c r="G2013" s="2">
        <v>173482368</v>
      </c>
      <c r="H2013" s="2">
        <v>821531</v>
      </c>
      <c r="I2013" s="2">
        <v>70560340</v>
      </c>
      <c r="J2013">
        <v>8</v>
      </c>
      <c r="L2013">
        <v>0</v>
      </c>
      <c r="M2013" t="str">
        <f t="shared" si="31"/>
        <v>After 2020</v>
      </c>
    </row>
    <row r="2014" spans="1:13">
      <c r="A2014" t="s">
        <v>2956</v>
      </c>
      <c r="B2014" t="s">
        <v>2957</v>
      </c>
      <c r="C2014" s="1">
        <v>43385</v>
      </c>
      <c r="D2014" s="2">
        <v>757001327</v>
      </c>
      <c r="E2014" s="2">
        <v>53221</v>
      </c>
      <c r="F2014">
        <v>65</v>
      </c>
      <c r="G2014" s="2">
        <v>1178040262</v>
      </c>
      <c r="H2014" s="2">
        <v>4145589</v>
      </c>
      <c r="I2014" s="2">
        <v>41170418</v>
      </c>
      <c r="J2014">
        <v>54</v>
      </c>
      <c r="K2014">
        <v>10</v>
      </c>
      <c r="L2014">
        <v>1</v>
      </c>
      <c r="M2014" t="str">
        <f t="shared" si="31"/>
        <v>2010-2020</v>
      </c>
    </row>
    <row r="2015" spans="1:13">
      <c r="A2015" t="s">
        <v>2958</v>
      </c>
      <c r="B2015" t="s">
        <v>805</v>
      </c>
      <c r="C2015" s="1">
        <v>43903</v>
      </c>
      <c r="D2015" s="2">
        <v>706711575</v>
      </c>
      <c r="E2015" s="2">
        <v>170468</v>
      </c>
      <c r="F2015">
        <v>69</v>
      </c>
      <c r="G2015" s="2">
        <v>133159545</v>
      </c>
      <c r="H2015" s="2">
        <v>1623904</v>
      </c>
      <c r="I2015" s="2">
        <v>1092802231</v>
      </c>
      <c r="J2015">
        <v>70</v>
      </c>
      <c r="K2015">
        <v>203</v>
      </c>
      <c r="L2015">
        <v>1</v>
      </c>
      <c r="M2015" t="str">
        <f t="shared" si="31"/>
        <v>2010-2020</v>
      </c>
    </row>
    <row r="2016" spans="1:13" hidden="1">
      <c r="A2016" t="s">
        <v>2959</v>
      </c>
      <c r="B2016" t="s">
        <v>2960</v>
      </c>
      <c r="C2016" s="1">
        <v>45053</v>
      </c>
      <c r="D2016" s="2">
        <v>88673935</v>
      </c>
      <c r="E2016" s="2">
        <v>17012</v>
      </c>
      <c r="F2016">
        <v>69</v>
      </c>
      <c r="G2016" s="2">
        <v>171113686</v>
      </c>
      <c r="H2016" s="2">
        <v>2566181</v>
      </c>
      <c r="I2016" s="2">
        <v>332392194</v>
      </c>
      <c r="J2016">
        <v>1</v>
      </c>
      <c r="L2016">
        <v>0</v>
      </c>
      <c r="M2016" t="str">
        <f t="shared" si="31"/>
        <v>After 2020</v>
      </c>
    </row>
    <row r="2017" spans="1:13">
      <c r="A2017" t="s">
        <v>2961</v>
      </c>
      <c r="B2017" t="s">
        <v>24</v>
      </c>
      <c r="C2017" s="1">
        <v>41275</v>
      </c>
      <c r="D2017" s="2">
        <v>970858824</v>
      </c>
      <c r="E2017" s="2">
        <v>117008</v>
      </c>
      <c r="F2017">
        <v>71</v>
      </c>
      <c r="G2017" s="2">
        <v>1310779877</v>
      </c>
      <c r="H2017" s="2">
        <v>7274419</v>
      </c>
      <c r="I2017" s="2">
        <v>343153571</v>
      </c>
      <c r="J2017">
        <v>140</v>
      </c>
      <c r="K2017">
        <v>72</v>
      </c>
      <c r="L2017">
        <v>0</v>
      </c>
      <c r="M2017" t="str">
        <f t="shared" si="31"/>
        <v>2010-2020</v>
      </c>
    </row>
    <row r="2018" spans="1:13">
      <c r="A2018" t="s">
        <v>2962</v>
      </c>
      <c r="B2018" t="s">
        <v>2451</v>
      </c>
      <c r="C2018" s="1">
        <v>44337</v>
      </c>
      <c r="D2018" s="2">
        <v>457254811</v>
      </c>
      <c r="E2018" s="2">
        <v>51641</v>
      </c>
      <c r="F2018">
        <v>77</v>
      </c>
      <c r="G2018" s="2">
        <v>26485095</v>
      </c>
      <c r="H2018" s="2">
        <v>208483</v>
      </c>
      <c r="I2018" s="2">
        <v>280557815</v>
      </c>
      <c r="J2018">
        <v>34</v>
      </c>
      <c r="K2018">
        <v>229</v>
      </c>
      <c r="L2018">
        <v>0</v>
      </c>
      <c r="M2018" t="str">
        <f t="shared" si="31"/>
        <v>After 2020</v>
      </c>
    </row>
    <row r="2019" spans="1:13">
      <c r="A2019" t="s">
        <v>2963</v>
      </c>
      <c r="B2019" t="s">
        <v>200</v>
      </c>
      <c r="C2019" s="1">
        <v>45020</v>
      </c>
      <c r="D2019" s="2">
        <v>253711656</v>
      </c>
      <c r="E2019" s="2">
        <v>26015</v>
      </c>
      <c r="F2019">
        <v>66</v>
      </c>
      <c r="G2019" s="2">
        <v>148812952</v>
      </c>
      <c r="H2019" s="2">
        <v>859486</v>
      </c>
      <c r="I2019" s="2">
        <v>79415641</v>
      </c>
      <c r="J2019">
        <v>17</v>
      </c>
      <c r="K2019">
        <v>5</v>
      </c>
      <c r="L2019">
        <v>1</v>
      </c>
      <c r="M2019" t="str">
        <f t="shared" si="31"/>
        <v>After 2020</v>
      </c>
    </row>
    <row r="2020" spans="1:13" hidden="1">
      <c r="A2020" t="s">
        <v>2964</v>
      </c>
      <c r="B2020" t="s">
        <v>2337</v>
      </c>
      <c r="C2020" s="1">
        <v>44035</v>
      </c>
      <c r="D2020" s="2">
        <v>515582705</v>
      </c>
      <c r="E2020" s="2">
        <v>65906</v>
      </c>
      <c r="F2020">
        <v>76</v>
      </c>
      <c r="G2020" s="2">
        <v>606811318</v>
      </c>
      <c r="H2020" s="2">
        <v>5460826</v>
      </c>
      <c r="I2020" s="2">
        <v>348605056</v>
      </c>
      <c r="J2020">
        <v>51</v>
      </c>
      <c r="L2020">
        <v>0</v>
      </c>
      <c r="M2020" t="str">
        <f t="shared" si="31"/>
        <v>2010-2020</v>
      </c>
    </row>
    <row r="2021" spans="1:13" hidden="1">
      <c r="A2021" t="s">
        <v>2965</v>
      </c>
      <c r="B2021" t="s">
        <v>1703</v>
      </c>
      <c r="C2021" s="1">
        <v>45212</v>
      </c>
      <c r="D2021" s="2">
        <v>97155109</v>
      </c>
      <c r="E2021" s="2">
        <v>35187</v>
      </c>
      <c r="G2021" s="2">
        <v>4542549</v>
      </c>
      <c r="H2021" s="2">
        <v>51897</v>
      </c>
      <c r="I2021" s="2">
        <v>55497007</v>
      </c>
      <c r="J2021">
        <v>1</v>
      </c>
      <c r="K2021">
        <v>327</v>
      </c>
      <c r="L2021">
        <v>1</v>
      </c>
      <c r="M2021" t="str">
        <f t="shared" si="31"/>
        <v>After 2020</v>
      </c>
    </row>
    <row r="2022" spans="1:13" hidden="1">
      <c r="A2022" t="s">
        <v>2966</v>
      </c>
      <c r="B2022" t="s">
        <v>252</v>
      </c>
      <c r="C2022" s="1">
        <v>43336</v>
      </c>
      <c r="D2022" s="2">
        <v>800203170</v>
      </c>
      <c r="E2022" s="2">
        <v>9924</v>
      </c>
      <c r="F2022">
        <v>57</v>
      </c>
      <c r="G2022" s="2">
        <v>1349952981</v>
      </c>
      <c r="H2022" s="2">
        <v>25782597</v>
      </c>
      <c r="J2022">
        <v>12</v>
      </c>
      <c r="L2022">
        <v>0</v>
      </c>
      <c r="M2022" t="str">
        <f t="shared" si="31"/>
        <v>2010-2020</v>
      </c>
    </row>
    <row r="2023" spans="1:13">
      <c r="A2023" t="s">
        <v>2967</v>
      </c>
      <c r="B2023" t="s">
        <v>2968</v>
      </c>
      <c r="C2023" s="1">
        <v>42005</v>
      </c>
      <c r="D2023" s="2">
        <v>777947820</v>
      </c>
      <c r="E2023" s="2">
        <v>135133</v>
      </c>
      <c r="F2023">
        <v>70</v>
      </c>
      <c r="G2023" s="2">
        <v>1442138188</v>
      </c>
      <c r="H2023" s="2">
        <v>9765818</v>
      </c>
      <c r="I2023" s="2">
        <v>297856843</v>
      </c>
      <c r="J2023">
        <v>18</v>
      </c>
      <c r="K2023">
        <v>38</v>
      </c>
      <c r="L2023">
        <v>0</v>
      </c>
      <c r="M2023" t="str">
        <f t="shared" si="31"/>
        <v>2010-2020</v>
      </c>
    </row>
    <row r="2024" spans="1:13">
      <c r="A2024" t="s">
        <v>2969</v>
      </c>
      <c r="B2024" t="s">
        <v>1109</v>
      </c>
      <c r="C2024" s="1">
        <v>44323</v>
      </c>
      <c r="D2024" s="2">
        <v>349603788</v>
      </c>
      <c r="E2024" s="2">
        <v>52095</v>
      </c>
      <c r="F2024">
        <v>63</v>
      </c>
      <c r="G2024" s="2">
        <v>137534459</v>
      </c>
      <c r="H2024" s="2">
        <v>1529839</v>
      </c>
      <c r="I2024" s="2">
        <v>343629235</v>
      </c>
      <c r="J2024">
        <v>151</v>
      </c>
      <c r="K2024">
        <v>85</v>
      </c>
      <c r="L2024">
        <v>0</v>
      </c>
      <c r="M2024" t="str">
        <f t="shared" si="31"/>
        <v>After 2020</v>
      </c>
    </row>
    <row r="2025" spans="1:13">
      <c r="A2025" t="s">
        <v>2970</v>
      </c>
      <c r="B2025" t="s">
        <v>2971</v>
      </c>
      <c r="C2025" s="1">
        <v>43751</v>
      </c>
      <c r="D2025" s="2">
        <v>402007889</v>
      </c>
      <c r="E2025" s="2">
        <v>119524</v>
      </c>
      <c r="F2025">
        <v>72</v>
      </c>
      <c r="G2025" s="2">
        <v>275482156</v>
      </c>
      <c r="H2025" s="2">
        <v>4928693</v>
      </c>
      <c r="I2025" s="2">
        <v>2141282045</v>
      </c>
      <c r="J2025">
        <v>8</v>
      </c>
      <c r="K2025">
        <v>1</v>
      </c>
      <c r="L2025">
        <v>0</v>
      </c>
      <c r="M2025" t="str">
        <f t="shared" si="31"/>
        <v>2010-2020</v>
      </c>
    </row>
    <row r="2026" spans="1:13">
      <c r="A2026" t="s">
        <v>2972</v>
      </c>
      <c r="B2026" t="s">
        <v>557</v>
      </c>
      <c r="C2026" s="1">
        <v>37987</v>
      </c>
      <c r="D2026" s="2">
        <v>1307469137</v>
      </c>
      <c r="E2026" s="2">
        <v>255327</v>
      </c>
      <c r="F2026">
        <v>80</v>
      </c>
      <c r="G2026" s="2">
        <v>1200224642</v>
      </c>
      <c r="H2026" s="2">
        <v>8294174</v>
      </c>
      <c r="I2026" s="2">
        <v>1599320816</v>
      </c>
      <c r="J2026">
        <v>289</v>
      </c>
      <c r="K2026">
        <v>185</v>
      </c>
      <c r="L2026">
        <v>0</v>
      </c>
      <c r="M2026" t="str">
        <f t="shared" si="31"/>
        <v>Before 2010</v>
      </c>
    </row>
    <row r="2027" spans="1:13" hidden="1">
      <c r="A2027" t="s">
        <v>2973</v>
      </c>
      <c r="B2027" t="s">
        <v>1745</v>
      </c>
      <c r="C2027" s="1">
        <v>45422</v>
      </c>
      <c r="D2027" s="2">
        <v>7785021</v>
      </c>
      <c r="E2027" s="2">
        <v>1971</v>
      </c>
      <c r="F2027">
        <v>1</v>
      </c>
      <c r="G2027" s="2">
        <v>3973551</v>
      </c>
      <c r="H2027" s="2">
        <v>90879</v>
      </c>
      <c r="J2027">
        <v>17</v>
      </c>
      <c r="K2027">
        <v>5</v>
      </c>
      <c r="L2027">
        <v>1</v>
      </c>
      <c r="M2027" t="str">
        <f t="shared" si="31"/>
        <v>After 2020</v>
      </c>
    </row>
    <row r="2028" spans="1:13" hidden="1">
      <c r="A2028" t="s">
        <v>2974</v>
      </c>
      <c r="B2028" t="s">
        <v>332</v>
      </c>
      <c r="C2028" s="1">
        <v>44818</v>
      </c>
      <c r="D2028" s="2">
        <v>289624210</v>
      </c>
      <c r="E2028" s="2">
        <v>36819</v>
      </c>
      <c r="F2028">
        <v>70</v>
      </c>
      <c r="G2028" s="2">
        <v>201168669</v>
      </c>
      <c r="H2028" s="2">
        <v>890146</v>
      </c>
      <c r="I2028" s="2">
        <v>298398790</v>
      </c>
      <c r="J2028">
        <v>27</v>
      </c>
      <c r="L2028">
        <v>0</v>
      </c>
      <c r="M2028" t="str">
        <f t="shared" si="31"/>
        <v>After 2020</v>
      </c>
    </row>
    <row r="2029" spans="1:13" hidden="1">
      <c r="A2029" t="s">
        <v>2975</v>
      </c>
      <c r="B2029" t="s">
        <v>19</v>
      </c>
      <c r="C2029" s="1">
        <v>42839</v>
      </c>
      <c r="D2029" s="2">
        <v>1343672718</v>
      </c>
      <c r="E2029" s="2">
        <v>207632</v>
      </c>
      <c r="F2029">
        <v>79</v>
      </c>
      <c r="I2029" s="2">
        <v>221728131</v>
      </c>
      <c r="J2029">
        <v>146</v>
      </c>
      <c r="L2029">
        <v>1</v>
      </c>
      <c r="M2029" t="str">
        <f t="shared" si="31"/>
        <v>2010-2020</v>
      </c>
    </row>
    <row r="2030" spans="1:13" hidden="1">
      <c r="A2030" t="s">
        <v>2976</v>
      </c>
      <c r="B2030" t="s">
        <v>2977</v>
      </c>
      <c r="C2030" s="1">
        <v>42900</v>
      </c>
      <c r="D2030" s="2">
        <v>191584138</v>
      </c>
      <c r="E2030" s="2">
        <v>1656</v>
      </c>
      <c r="F2030">
        <v>34</v>
      </c>
      <c r="G2030" s="2">
        <v>1924788325</v>
      </c>
      <c r="H2030" s="2">
        <v>15940525</v>
      </c>
      <c r="J2030">
        <v>10</v>
      </c>
      <c r="L2030">
        <v>1</v>
      </c>
      <c r="M2030" t="str">
        <f t="shared" si="31"/>
        <v>2010-2020</v>
      </c>
    </row>
    <row r="2031" spans="1:13" hidden="1">
      <c r="A2031" t="s">
        <v>2978</v>
      </c>
      <c r="B2031" t="s">
        <v>2979</v>
      </c>
      <c r="C2031" s="1">
        <v>45247</v>
      </c>
      <c r="D2031" s="2">
        <v>139208438</v>
      </c>
      <c r="E2031" s="2">
        <v>13863</v>
      </c>
      <c r="F2031">
        <v>77</v>
      </c>
      <c r="G2031" s="2">
        <v>13279195</v>
      </c>
      <c r="H2031" s="2">
        <v>355386</v>
      </c>
      <c r="I2031" s="2">
        <v>599656685</v>
      </c>
      <c r="J2031">
        <v>4</v>
      </c>
      <c r="L2031">
        <v>0</v>
      </c>
      <c r="M2031" t="str">
        <f t="shared" si="31"/>
        <v>After 2020</v>
      </c>
    </row>
    <row r="2032" spans="1:13">
      <c r="A2032" t="s">
        <v>2980</v>
      </c>
      <c r="B2032" t="s">
        <v>2981</v>
      </c>
      <c r="C2032" s="1">
        <v>44736</v>
      </c>
      <c r="D2032" s="2">
        <v>167668390</v>
      </c>
      <c r="E2032" s="2">
        <v>54358</v>
      </c>
      <c r="F2032">
        <v>71</v>
      </c>
      <c r="G2032" s="2">
        <v>185746447</v>
      </c>
      <c r="H2032" s="2">
        <v>988971</v>
      </c>
      <c r="I2032" s="2">
        <v>984682218</v>
      </c>
      <c r="J2032">
        <v>44</v>
      </c>
      <c r="K2032">
        <v>143</v>
      </c>
      <c r="L2032">
        <v>0</v>
      </c>
      <c r="M2032" t="str">
        <f t="shared" si="31"/>
        <v>After 2020</v>
      </c>
    </row>
    <row r="2033" spans="1:13" hidden="1">
      <c r="A2033" t="s">
        <v>2982</v>
      </c>
      <c r="B2033" t="s">
        <v>141</v>
      </c>
      <c r="C2033" s="1">
        <v>45212</v>
      </c>
      <c r="D2033" s="2">
        <v>138855240</v>
      </c>
      <c r="E2033" s="2">
        <v>27705</v>
      </c>
      <c r="G2033" s="2">
        <v>33615045</v>
      </c>
      <c r="H2033" s="2">
        <v>376469</v>
      </c>
      <c r="J2033">
        <v>6</v>
      </c>
      <c r="L2033">
        <v>1</v>
      </c>
      <c r="M2033" t="str">
        <f t="shared" si="31"/>
        <v>After 2020</v>
      </c>
    </row>
    <row r="2034" spans="1:13" hidden="1">
      <c r="A2034" t="s">
        <v>2983</v>
      </c>
      <c r="B2034" t="s">
        <v>288</v>
      </c>
      <c r="C2034" s="1">
        <v>45276</v>
      </c>
      <c r="D2034" s="2">
        <v>70180212</v>
      </c>
      <c r="E2034" s="2">
        <v>15523</v>
      </c>
      <c r="G2034" s="2">
        <v>17251406</v>
      </c>
      <c r="H2034" s="2">
        <v>381254</v>
      </c>
      <c r="J2034">
        <v>3</v>
      </c>
      <c r="K2034">
        <v>8</v>
      </c>
      <c r="L2034">
        <v>1</v>
      </c>
      <c r="M2034" t="str">
        <f t="shared" si="31"/>
        <v>After 2020</v>
      </c>
    </row>
    <row r="2035" spans="1:13">
      <c r="A2035" t="s">
        <v>2984</v>
      </c>
      <c r="B2035" t="s">
        <v>2985</v>
      </c>
      <c r="C2035" s="1">
        <v>43294</v>
      </c>
      <c r="D2035" s="2">
        <v>542480898</v>
      </c>
      <c r="E2035" s="2">
        <v>81834</v>
      </c>
      <c r="F2035">
        <v>68</v>
      </c>
      <c r="G2035" s="2">
        <v>435065136</v>
      </c>
      <c r="H2035" s="2">
        <v>3809205</v>
      </c>
      <c r="I2035" s="2">
        <v>401544074</v>
      </c>
      <c r="J2035">
        <v>96</v>
      </c>
      <c r="K2035">
        <v>66</v>
      </c>
      <c r="L2035">
        <v>0</v>
      </c>
      <c r="M2035" t="str">
        <f t="shared" si="31"/>
        <v>2010-2020</v>
      </c>
    </row>
    <row r="2036" spans="1:13">
      <c r="A2036" t="s">
        <v>2986</v>
      </c>
      <c r="B2036" t="s">
        <v>2055</v>
      </c>
      <c r="C2036" s="1">
        <v>44957</v>
      </c>
      <c r="D2036" s="2">
        <v>137204273</v>
      </c>
      <c r="E2036" s="2">
        <v>42638</v>
      </c>
      <c r="F2036">
        <v>69</v>
      </c>
      <c r="G2036" s="2">
        <v>105245546</v>
      </c>
      <c r="H2036" s="2">
        <v>1284515</v>
      </c>
      <c r="I2036" s="2">
        <v>77626486</v>
      </c>
      <c r="J2036">
        <v>9</v>
      </c>
      <c r="K2036">
        <v>24</v>
      </c>
      <c r="L2036">
        <v>1</v>
      </c>
      <c r="M2036" t="str">
        <f t="shared" si="31"/>
        <v>After 2020</v>
      </c>
    </row>
    <row r="2037" spans="1:13" hidden="1">
      <c r="A2037" t="s">
        <v>2987</v>
      </c>
      <c r="B2037" t="s">
        <v>739</v>
      </c>
      <c r="C2037" s="1">
        <v>45124</v>
      </c>
      <c r="D2037" s="2">
        <v>143053873</v>
      </c>
      <c r="E2037" s="2">
        <v>6149</v>
      </c>
      <c r="F2037">
        <v>61</v>
      </c>
      <c r="G2037" s="2">
        <v>199585965</v>
      </c>
      <c r="H2037" s="2">
        <v>1829386</v>
      </c>
      <c r="I2037" s="2">
        <v>2909357</v>
      </c>
      <c r="J2037">
        <v>5</v>
      </c>
      <c r="L2037">
        <v>0</v>
      </c>
      <c r="M2037" t="str">
        <f t="shared" si="31"/>
        <v>After 2020</v>
      </c>
    </row>
    <row r="2038" spans="1:13" hidden="1">
      <c r="A2038" t="s">
        <v>2988</v>
      </c>
      <c r="B2038" t="s">
        <v>2989</v>
      </c>
      <c r="C2038" s="1">
        <v>45149</v>
      </c>
      <c r="D2038" s="2">
        <v>159980783</v>
      </c>
      <c r="E2038" s="2">
        <v>17289</v>
      </c>
      <c r="F2038">
        <v>68</v>
      </c>
      <c r="G2038" s="2">
        <v>118381181</v>
      </c>
      <c r="H2038" s="2">
        <v>1270496</v>
      </c>
      <c r="I2038" s="2">
        <v>21262061</v>
      </c>
      <c r="J2038">
        <v>17</v>
      </c>
      <c r="L2038">
        <v>0</v>
      </c>
      <c r="M2038" t="str">
        <f t="shared" si="31"/>
        <v>After 2020</v>
      </c>
    </row>
    <row r="2039" spans="1:13" hidden="1">
      <c r="A2039" t="s">
        <v>2990</v>
      </c>
      <c r="B2039" t="s">
        <v>2991</v>
      </c>
      <c r="C2039" s="1">
        <v>45386</v>
      </c>
      <c r="D2039" s="2">
        <v>44035743</v>
      </c>
      <c r="E2039" s="2">
        <v>2761</v>
      </c>
      <c r="G2039" s="2">
        <v>25128340</v>
      </c>
      <c r="H2039" s="2">
        <v>318423</v>
      </c>
      <c r="J2039">
        <v>24</v>
      </c>
      <c r="K2039">
        <v>133</v>
      </c>
      <c r="L2039">
        <v>0</v>
      </c>
      <c r="M2039" t="str">
        <f t="shared" si="31"/>
        <v>After 2020</v>
      </c>
    </row>
    <row r="2040" spans="1:13">
      <c r="A2040" t="s">
        <v>2992</v>
      </c>
      <c r="B2040" t="s">
        <v>1857</v>
      </c>
      <c r="C2040" s="1">
        <v>43349</v>
      </c>
      <c r="D2040" s="2">
        <v>703089599</v>
      </c>
      <c r="E2040" s="2">
        <v>126449</v>
      </c>
      <c r="F2040">
        <v>65</v>
      </c>
      <c r="G2040" s="2">
        <v>761321778</v>
      </c>
      <c r="H2040" s="2">
        <v>9012438</v>
      </c>
      <c r="I2040" s="2">
        <v>154119835</v>
      </c>
      <c r="J2040">
        <v>52</v>
      </c>
      <c r="K2040">
        <v>118</v>
      </c>
      <c r="L2040">
        <v>1</v>
      </c>
      <c r="M2040" t="str">
        <f t="shared" si="31"/>
        <v>2010-2020</v>
      </c>
    </row>
    <row r="2041" spans="1:13" hidden="1">
      <c r="A2041" t="s">
        <v>2993</v>
      </c>
      <c r="B2041" t="s">
        <v>2994</v>
      </c>
      <c r="C2041" s="1">
        <v>43423</v>
      </c>
      <c r="D2041" s="2">
        <v>478086665</v>
      </c>
      <c r="E2041" s="2">
        <v>80058</v>
      </c>
      <c r="F2041">
        <v>73</v>
      </c>
      <c r="G2041" s="2">
        <v>121801747</v>
      </c>
      <c r="H2041" s="2">
        <v>1355380</v>
      </c>
      <c r="I2041" s="2">
        <v>1196836319</v>
      </c>
      <c r="J2041">
        <v>29</v>
      </c>
      <c r="L2041">
        <v>0</v>
      </c>
      <c r="M2041" t="str">
        <f t="shared" si="31"/>
        <v>2010-2020</v>
      </c>
    </row>
    <row r="2042" spans="1:13" hidden="1">
      <c r="A2042" t="s">
        <v>2995</v>
      </c>
      <c r="B2042" t="s">
        <v>2996</v>
      </c>
      <c r="C2042" s="1">
        <v>44958</v>
      </c>
      <c r="D2042" s="2">
        <v>103132095</v>
      </c>
      <c r="E2042" s="2">
        <v>16094</v>
      </c>
      <c r="F2042">
        <v>63</v>
      </c>
      <c r="G2042" s="2">
        <v>224457485</v>
      </c>
      <c r="H2042" s="2">
        <v>1342976</v>
      </c>
      <c r="I2042" s="2">
        <v>285847760</v>
      </c>
      <c r="J2042">
        <v>6</v>
      </c>
      <c r="L2042">
        <v>0</v>
      </c>
      <c r="M2042" t="str">
        <f t="shared" si="31"/>
        <v>After 2020</v>
      </c>
    </row>
    <row r="2043" spans="1:13" hidden="1">
      <c r="A2043" t="s">
        <v>2997</v>
      </c>
      <c r="B2043" t="s">
        <v>2998</v>
      </c>
      <c r="C2043" s="1">
        <v>45247</v>
      </c>
      <c r="D2043" s="2">
        <v>125445403</v>
      </c>
      <c r="E2043" s="2">
        <v>28349</v>
      </c>
      <c r="F2043">
        <v>77</v>
      </c>
      <c r="G2043" s="2">
        <v>328527</v>
      </c>
      <c r="H2043" s="2">
        <v>4004</v>
      </c>
      <c r="J2043">
        <v>32</v>
      </c>
      <c r="L2043">
        <v>1</v>
      </c>
      <c r="M2043" t="str">
        <f t="shared" si="31"/>
        <v>After 2020</v>
      </c>
    </row>
    <row r="2044" spans="1:13">
      <c r="A2044" t="s">
        <v>2999</v>
      </c>
      <c r="B2044" t="s">
        <v>2272</v>
      </c>
      <c r="C2044" s="1">
        <v>45119</v>
      </c>
      <c r="D2044" s="2">
        <v>160320384</v>
      </c>
      <c r="E2044" s="2">
        <v>29292</v>
      </c>
      <c r="F2044">
        <v>64</v>
      </c>
      <c r="G2044" s="2">
        <v>27712131</v>
      </c>
      <c r="H2044" s="2">
        <v>449186</v>
      </c>
      <c r="I2044" s="2">
        <v>2200000</v>
      </c>
      <c r="J2044">
        <v>1</v>
      </c>
      <c r="K2044">
        <v>26</v>
      </c>
      <c r="L2044">
        <v>1</v>
      </c>
      <c r="M2044" t="str">
        <f t="shared" si="31"/>
        <v>After 2020</v>
      </c>
    </row>
    <row r="2045" spans="1:13">
      <c r="A2045" t="s">
        <v>3000</v>
      </c>
      <c r="B2045" t="s">
        <v>1613</v>
      </c>
      <c r="C2045" s="1">
        <v>45023</v>
      </c>
      <c r="D2045" s="2">
        <v>127558523</v>
      </c>
      <c r="E2045" s="2">
        <v>29689</v>
      </c>
      <c r="F2045">
        <v>68</v>
      </c>
      <c r="G2045" s="2">
        <v>56328016</v>
      </c>
      <c r="H2045" s="2">
        <v>701370</v>
      </c>
      <c r="I2045" s="2">
        <v>37060287</v>
      </c>
      <c r="J2045">
        <v>20</v>
      </c>
      <c r="K2045">
        <v>37</v>
      </c>
      <c r="L2045">
        <v>0</v>
      </c>
      <c r="M2045" t="str">
        <f t="shared" si="31"/>
        <v>After 2020</v>
      </c>
    </row>
    <row r="2046" spans="1:13">
      <c r="A2046" t="s">
        <v>3001</v>
      </c>
      <c r="B2046" t="s">
        <v>391</v>
      </c>
      <c r="C2046" s="1">
        <v>42590</v>
      </c>
      <c r="D2046" s="2">
        <v>534374502</v>
      </c>
      <c r="E2046" s="2">
        <v>43033</v>
      </c>
      <c r="F2046">
        <v>68</v>
      </c>
      <c r="G2046" s="2">
        <v>1785015062</v>
      </c>
      <c r="H2046" s="2">
        <v>18123231</v>
      </c>
      <c r="I2046" s="2">
        <v>368912538</v>
      </c>
      <c r="J2046">
        <v>14</v>
      </c>
      <c r="K2046">
        <v>9</v>
      </c>
      <c r="L2046">
        <v>0</v>
      </c>
      <c r="M2046" t="str">
        <f t="shared" si="31"/>
        <v>2010-2020</v>
      </c>
    </row>
    <row r="2047" spans="1:13" hidden="1">
      <c r="A2047" t="s">
        <v>3002</v>
      </c>
      <c r="B2047" t="s">
        <v>3003</v>
      </c>
      <c r="C2047" s="1">
        <v>44685</v>
      </c>
      <c r="D2047" s="2">
        <v>24195796</v>
      </c>
      <c r="E2047" s="2">
        <v>7751</v>
      </c>
      <c r="F2047">
        <v>52</v>
      </c>
      <c r="G2047" s="2">
        <v>513974720</v>
      </c>
      <c r="H2047" s="2">
        <v>3902623</v>
      </c>
      <c r="I2047" s="2">
        <v>40801186</v>
      </c>
      <c r="J2047">
        <v>4</v>
      </c>
      <c r="L2047">
        <v>0</v>
      </c>
      <c r="M2047" t="str">
        <f t="shared" si="31"/>
        <v>After 2020</v>
      </c>
    </row>
    <row r="2048" spans="1:13">
      <c r="A2048" t="s">
        <v>3004</v>
      </c>
      <c r="B2048" t="s">
        <v>2594</v>
      </c>
      <c r="C2048" s="1">
        <v>44777</v>
      </c>
      <c r="D2048" s="2">
        <v>516560181</v>
      </c>
      <c r="E2048" s="2">
        <v>60949</v>
      </c>
      <c r="F2048">
        <v>74</v>
      </c>
      <c r="G2048" s="2">
        <v>110114094</v>
      </c>
      <c r="H2048" s="2">
        <v>814675</v>
      </c>
      <c r="I2048" s="2">
        <v>544497354</v>
      </c>
      <c r="J2048">
        <v>17</v>
      </c>
      <c r="K2048">
        <v>3</v>
      </c>
      <c r="L2048">
        <v>1</v>
      </c>
      <c r="M2048" t="str">
        <f t="shared" si="31"/>
        <v>After 2020</v>
      </c>
    </row>
    <row r="2049" spans="1:13">
      <c r="A2049" t="s">
        <v>3005</v>
      </c>
      <c r="B2049" t="s">
        <v>3006</v>
      </c>
      <c r="C2049" s="1">
        <v>44050</v>
      </c>
      <c r="D2049" s="2">
        <v>682383223</v>
      </c>
      <c r="E2049" s="2">
        <v>115706</v>
      </c>
      <c r="F2049">
        <v>68</v>
      </c>
      <c r="G2049" s="2">
        <v>183898967</v>
      </c>
      <c r="H2049" s="2">
        <v>1760357</v>
      </c>
      <c r="I2049" s="2">
        <v>8328967</v>
      </c>
      <c r="J2049">
        <v>80</v>
      </c>
      <c r="K2049" s="2">
        <v>1039</v>
      </c>
      <c r="L2049">
        <v>1</v>
      </c>
      <c r="M2049" t="str">
        <f t="shared" si="31"/>
        <v>2010-2020</v>
      </c>
    </row>
    <row r="2050" spans="1:13" hidden="1">
      <c r="A2050" t="s">
        <v>3007</v>
      </c>
      <c r="B2050" t="s">
        <v>336</v>
      </c>
      <c r="C2050" s="1">
        <v>44063</v>
      </c>
      <c r="D2050" s="2">
        <v>423582537</v>
      </c>
      <c r="E2050" s="2">
        <v>58315</v>
      </c>
      <c r="F2050">
        <v>61</v>
      </c>
      <c r="G2050" s="2">
        <v>491738603</v>
      </c>
      <c r="H2050" s="2">
        <v>2883634</v>
      </c>
      <c r="I2050" s="2">
        <v>642003320</v>
      </c>
      <c r="J2050">
        <v>64</v>
      </c>
      <c r="L2050">
        <v>0</v>
      </c>
      <c r="M2050" t="str">
        <f t="shared" si="31"/>
        <v>2010-2020</v>
      </c>
    </row>
    <row r="2051" spans="1:13" hidden="1">
      <c r="A2051" t="s">
        <v>3008</v>
      </c>
      <c r="B2051" t="s">
        <v>3009</v>
      </c>
      <c r="C2051" s="1">
        <v>45183</v>
      </c>
      <c r="D2051" s="2">
        <v>83521812</v>
      </c>
      <c r="E2051" s="2">
        <v>10789</v>
      </c>
      <c r="F2051">
        <v>66</v>
      </c>
      <c r="G2051" s="2">
        <v>127280465</v>
      </c>
      <c r="H2051" s="2">
        <v>489928</v>
      </c>
      <c r="I2051" s="2">
        <v>52933390</v>
      </c>
      <c r="J2051">
        <v>1</v>
      </c>
      <c r="L2051">
        <v>1</v>
      </c>
      <c r="M2051" t="str">
        <f t="shared" ref="M2051:M2114" si="32">IF(YEAR(C2051)&lt;2010,"Before 2010",IF(YEAR(C2051)&lt;=2020,"2010-2020","After 2020"))</f>
        <v>After 2020</v>
      </c>
    </row>
    <row r="2052" spans="1:13">
      <c r="A2052" t="s">
        <v>3010</v>
      </c>
      <c r="B2052" t="s">
        <v>336</v>
      </c>
      <c r="C2052" s="1">
        <v>42184</v>
      </c>
      <c r="D2052" s="2">
        <v>761287318</v>
      </c>
      <c r="E2052" s="2">
        <v>58967</v>
      </c>
      <c r="F2052">
        <v>76</v>
      </c>
      <c r="G2052" s="2">
        <v>1659052720</v>
      </c>
      <c r="H2052" s="2">
        <v>4919965</v>
      </c>
      <c r="I2052" s="2">
        <v>150155845</v>
      </c>
      <c r="J2052">
        <v>66</v>
      </c>
      <c r="K2052">
        <v>25</v>
      </c>
      <c r="L2052">
        <v>0</v>
      </c>
      <c r="M2052" t="str">
        <f t="shared" si="32"/>
        <v>2010-2020</v>
      </c>
    </row>
    <row r="2053" spans="1:13">
      <c r="A2053" t="s">
        <v>3011</v>
      </c>
      <c r="B2053" t="s">
        <v>1913</v>
      </c>
      <c r="C2053" s="1">
        <v>42902</v>
      </c>
      <c r="D2053" s="2">
        <v>1164638213</v>
      </c>
      <c r="E2053" s="2">
        <v>145513</v>
      </c>
      <c r="F2053">
        <v>74</v>
      </c>
      <c r="G2053" s="2">
        <v>27823167</v>
      </c>
      <c r="H2053" s="2">
        <v>239547</v>
      </c>
      <c r="I2053" s="2">
        <v>86703560</v>
      </c>
      <c r="J2053">
        <v>281</v>
      </c>
      <c r="K2053">
        <v>69</v>
      </c>
      <c r="L2053">
        <v>1</v>
      </c>
      <c r="M2053" t="str">
        <f t="shared" si="32"/>
        <v>2010-2020</v>
      </c>
    </row>
    <row r="2054" spans="1:13" hidden="1">
      <c r="A2054" t="s">
        <v>3012</v>
      </c>
      <c r="B2054" t="s">
        <v>3013</v>
      </c>
      <c r="C2054" s="1">
        <v>45373</v>
      </c>
      <c r="D2054" s="2">
        <v>41788648</v>
      </c>
      <c r="E2054" s="2">
        <v>2056</v>
      </c>
      <c r="F2054">
        <v>72</v>
      </c>
      <c r="G2054" s="2">
        <v>34701839</v>
      </c>
      <c r="H2054" s="2">
        <v>218997</v>
      </c>
      <c r="J2054">
        <v>12</v>
      </c>
      <c r="L2054">
        <v>0</v>
      </c>
      <c r="M2054" t="str">
        <f t="shared" si="32"/>
        <v>After 2020</v>
      </c>
    </row>
    <row r="2055" spans="1:13">
      <c r="A2055" t="s">
        <v>3014</v>
      </c>
      <c r="B2055" t="s">
        <v>3015</v>
      </c>
      <c r="C2055" s="1">
        <v>42059</v>
      </c>
      <c r="D2055" s="2">
        <v>1100392417</v>
      </c>
      <c r="E2055" s="2">
        <v>117948</v>
      </c>
      <c r="F2055">
        <v>69</v>
      </c>
      <c r="G2055" s="2">
        <v>1343498789</v>
      </c>
      <c r="H2055" s="2">
        <v>7017961</v>
      </c>
      <c r="I2055" s="2">
        <v>1292397</v>
      </c>
      <c r="J2055">
        <v>11</v>
      </c>
      <c r="K2055">
        <v>74</v>
      </c>
      <c r="L2055">
        <v>0</v>
      </c>
      <c r="M2055" t="str">
        <f t="shared" si="32"/>
        <v>2010-2020</v>
      </c>
    </row>
    <row r="2056" spans="1:13">
      <c r="A2056" t="s">
        <v>3016</v>
      </c>
      <c r="B2056" t="s">
        <v>313</v>
      </c>
      <c r="C2056" s="1">
        <v>43979</v>
      </c>
      <c r="D2056" s="2">
        <v>447192467</v>
      </c>
      <c r="E2056" s="2">
        <v>93245</v>
      </c>
      <c r="F2056">
        <v>61</v>
      </c>
      <c r="G2056" s="2">
        <v>304553514</v>
      </c>
      <c r="H2056" s="2">
        <v>4676461</v>
      </c>
      <c r="I2056" s="2">
        <v>1990567953</v>
      </c>
      <c r="J2056">
        <v>141</v>
      </c>
      <c r="K2056">
        <v>181</v>
      </c>
      <c r="L2056">
        <v>0</v>
      </c>
      <c r="M2056" t="str">
        <f t="shared" si="32"/>
        <v>2010-2020</v>
      </c>
    </row>
    <row r="2057" spans="1:13" hidden="1">
      <c r="A2057" t="s">
        <v>3017</v>
      </c>
      <c r="B2057" t="s">
        <v>61</v>
      </c>
      <c r="C2057" s="1">
        <v>45400</v>
      </c>
      <c r="D2057" s="2">
        <v>115748552</v>
      </c>
      <c r="E2057" s="2">
        <v>3133</v>
      </c>
      <c r="G2057" s="2">
        <v>9659878</v>
      </c>
      <c r="H2057" s="2">
        <v>139519</v>
      </c>
      <c r="J2057">
        <v>18</v>
      </c>
      <c r="L2057">
        <v>1</v>
      </c>
      <c r="M2057" t="str">
        <f t="shared" si="32"/>
        <v>After 2020</v>
      </c>
    </row>
    <row r="2058" spans="1:13">
      <c r="A2058" t="s">
        <v>3018</v>
      </c>
      <c r="B2058" t="s">
        <v>3019</v>
      </c>
      <c r="C2058" s="1">
        <v>44428</v>
      </c>
      <c r="D2058" s="2">
        <v>263986575</v>
      </c>
      <c r="E2058" s="2">
        <v>37945</v>
      </c>
      <c r="F2058">
        <v>67</v>
      </c>
      <c r="G2058" s="2">
        <v>138793735</v>
      </c>
      <c r="H2058" s="2">
        <v>1535505</v>
      </c>
      <c r="I2058" s="2">
        <v>1575405115</v>
      </c>
      <c r="J2058">
        <v>21</v>
      </c>
      <c r="K2058">
        <v>2</v>
      </c>
      <c r="L2058">
        <v>0</v>
      </c>
      <c r="M2058" t="str">
        <f t="shared" si="32"/>
        <v>After 2020</v>
      </c>
    </row>
    <row r="2059" spans="1:13">
      <c r="A2059" t="s">
        <v>3020</v>
      </c>
      <c r="B2059" t="s">
        <v>127</v>
      </c>
      <c r="C2059" s="1">
        <v>43910</v>
      </c>
      <c r="D2059" s="2">
        <v>940914292</v>
      </c>
      <c r="E2059" s="2">
        <v>130934</v>
      </c>
      <c r="F2059">
        <v>70</v>
      </c>
      <c r="G2059" s="2">
        <v>166787290</v>
      </c>
      <c r="H2059" s="2">
        <v>2132781</v>
      </c>
      <c r="I2059" s="2">
        <v>600906044</v>
      </c>
      <c r="J2059">
        <v>115</v>
      </c>
      <c r="K2059">
        <v>126</v>
      </c>
      <c r="L2059">
        <v>1</v>
      </c>
      <c r="M2059" t="str">
        <f t="shared" si="32"/>
        <v>2010-2020</v>
      </c>
    </row>
    <row r="2060" spans="1:13">
      <c r="A2060" t="s">
        <v>3021</v>
      </c>
      <c r="B2060" t="s">
        <v>3022</v>
      </c>
      <c r="C2060" s="1">
        <v>45240</v>
      </c>
      <c r="D2060" s="2">
        <v>10292715</v>
      </c>
      <c r="E2060" s="2">
        <v>1666</v>
      </c>
      <c r="F2060">
        <v>9</v>
      </c>
      <c r="G2060" s="2">
        <v>2441458</v>
      </c>
      <c r="H2060" s="2">
        <v>29255</v>
      </c>
      <c r="I2060" s="2">
        <v>725724</v>
      </c>
      <c r="J2060">
        <v>13</v>
      </c>
      <c r="K2060">
        <v>87</v>
      </c>
      <c r="L2060">
        <v>0</v>
      </c>
      <c r="M2060" t="str">
        <f t="shared" si="32"/>
        <v>After 2020</v>
      </c>
    </row>
    <row r="2061" spans="1:13">
      <c r="A2061" t="s">
        <v>3023</v>
      </c>
      <c r="B2061" t="s">
        <v>357</v>
      </c>
      <c r="C2061" s="1">
        <v>42654</v>
      </c>
      <c r="D2061" s="2">
        <v>946757383</v>
      </c>
      <c r="E2061" s="2">
        <v>87426</v>
      </c>
      <c r="F2061">
        <v>64</v>
      </c>
      <c r="G2061" s="2">
        <v>936997565</v>
      </c>
      <c r="H2061" s="2">
        <v>5406952</v>
      </c>
      <c r="I2061" s="2">
        <v>49143641</v>
      </c>
      <c r="J2061">
        <v>93</v>
      </c>
      <c r="K2061">
        <v>47</v>
      </c>
      <c r="L2061">
        <v>0</v>
      </c>
      <c r="M2061" t="str">
        <f t="shared" si="32"/>
        <v>2010-2020</v>
      </c>
    </row>
    <row r="2062" spans="1:13" hidden="1">
      <c r="A2062" t="s">
        <v>3024</v>
      </c>
      <c r="B2062" t="s">
        <v>1396</v>
      </c>
      <c r="C2062" s="1">
        <v>45372</v>
      </c>
      <c r="D2062" s="2">
        <v>68372540</v>
      </c>
      <c r="E2062" s="2">
        <v>2469</v>
      </c>
      <c r="F2062">
        <v>77</v>
      </c>
      <c r="G2062" s="2">
        <v>41802961</v>
      </c>
      <c r="H2062" s="2">
        <v>232946</v>
      </c>
      <c r="I2062" s="2">
        <v>486300</v>
      </c>
      <c r="J2062">
        <v>11</v>
      </c>
      <c r="L2062">
        <v>0</v>
      </c>
      <c r="M2062" t="str">
        <f t="shared" si="32"/>
        <v>After 2020</v>
      </c>
    </row>
    <row r="2063" spans="1:13">
      <c r="A2063" t="s">
        <v>622</v>
      </c>
      <c r="B2063" t="s">
        <v>66</v>
      </c>
      <c r="C2063" s="1">
        <v>43812</v>
      </c>
      <c r="D2063" s="2">
        <v>1225776509</v>
      </c>
      <c r="E2063" s="2">
        <v>135760</v>
      </c>
      <c r="F2063">
        <v>75</v>
      </c>
      <c r="G2063" s="2">
        <v>308365869</v>
      </c>
      <c r="H2063" s="2">
        <v>5355909</v>
      </c>
      <c r="I2063" s="2">
        <v>188148281</v>
      </c>
      <c r="J2063">
        <v>114</v>
      </c>
      <c r="K2063">
        <v>60</v>
      </c>
      <c r="L2063">
        <v>0</v>
      </c>
      <c r="M2063" t="str">
        <f t="shared" si="32"/>
        <v>2010-2020</v>
      </c>
    </row>
    <row r="2064" spans="1:13">
      <c r="A2064" t="s">
        <v>3025</v>
      </c>
      <c r="B2064" t="s">
        <v>357</v>
      </c>
      <c r="C2064" s="1">
        <v>41640</v>
      </c>
      <c r="D2064" s="2">
        <v>1676528402</v>
      </c>
      <c r="E2064" s="2">
        <v>191597</v>
      </c>
      <c r="F2064">
        <v>79</v>
      </c>
      <c r="G2064" s="2">
        <v>942734894</v>
      </c>
      <c r="H2064" s="2">
        <v>4766947</v>
      </c>
      <c r="I2064" s="2">
        <v>152847615</v>
      </c>
      <c r="J2064">
        <v>62</v>
      </c>
      <c r="K2064">
        <v>45</v>
      </c>
      <c r="L2064">
        <v>0</v>
      </c>
      <c r="M2064" t="str">
        <f t="shared" si="32"/>
        <v>2010-2020</v>
      </c>
    </row>
    <row r="2065" spans="1:13">
      <c r="A2065" t="s">
        <v>3026</v>
      </c>
      <c r="B2065" t="s">
        <v>112</v>
      </c>
      <c r="C2065" s="1">
        <v>44238</v>
      </c>
      <c r="D2065" s="2">
        <v>515693079</v>
      </c>
      <c r="E2065" s="2">
        <v>56753</v>
      </c>
      <c r="F2065">
        <v>62</v>
      </c>
      <c r="G2065" s="2">
        <v>139617172</v>
      </c>
      <c r="H2065" s="2">
        <v>1511209</v>
      </c>
      <c r="I2065" s="2">
        <v>200621230</v>
      </c>
      <c r="J2065">
        <v>106</v>
      </c>
      <c r="K2065">
        <v>162</v>
      </c>
      <c r="L2065">
        <v>0</v>
      </c>
      <c r="M2065" t="str">
        <f t="shared" si="32"/>
        <v>After 2020</v>
      </c>
    </row>
    <row r="2066" spans="1:13">
      <c r="A2066" t="s">
        <v>3027</v>
      </c>
      <c r="B2066" t="s">
        <v>3028</v>
      </c>
      <c r="C2066" s="1">
        <v>44463</v>
      </c>
      <c r="D2066" s="2">
        <v>115647691</v>
      </c>
      <c r="E2066" s="2">
        <v>51136</v>
      </c>
      <c r="F2066">
        <v>58</v>
      </c>
      <c r="G2066" s="2">
        <v>215744090</v>
      </c>
      <c r="H2066" s="2">
        <v>1282316</v>
      </c>
      <c r="I2066" s="2">
        <v>388440929</v>
      </c>
      <c r="J2066">
        <v>48</v>
      </c>
      <c r="K2066">
        <v>225</v>
      </c>
      <c r="L2066">
        <v>0</v>
      </c>
      <c r="M2066" t="str">
        <f t="shared" si="32"/>
        <v>After 2020</v>
      </c>
    </row>
    <row r="2067" spans="1:13">
      <c r="A2067" t="s">
        <v>3029</v>
      </c>
      <c r="B2067" t="s">
        <v>2291</v>
      </c>
      <c r="C2067" s="1">
        <v>42664</v>
      </c>
      <c r="D2067" s="2">
        <v>1024198691</v>
      </c>
      <c r="E2067" s="2">
        <v>168424</v>
      </c>
      <c r="F2067">
        <v>76</v>
      </c>
      <c r="G2067" s="2">
        <v>251585070</v>
      </c>
      <c r="H2067" s="2">
        <v>1895986</v>
      </c>
      <c r="I2067" s="2">
        <v>101238385</v>
      </c>
      <c r="J2067">
        <v>172</v>
      </c>
      <c r="K2067">
        <v>138</v>
      </c>
      <c r="L2067">
        <v>0</v>
      </c>
      <c r="M2067" t="str">
        <f t="shared" si="32"/>
        <v>2010-2020</v>
      </c>
    </row>
    <row r="2068" spans="1:13">
      <c r="A2068" t="s">
        <v>3030</v>
      </c>
      <c r="B2068" t="s">
        <v>3031</v>
      </c>
      <c r="C2068" s="1">
        <v>43035</v>
      </c>
      <c r="D2068" s="2">
        <v>1187784950</v>
      </c>
      <c r="E2068" s="2">
        <v>148513</v>
      </c>
      <c r="F2068">
        <v>74</v>
      </c>
      <c r="G2068" s="2">
        <v>295487246</v>
      </c>
      <c r="H2068" s="2">
        <v>1776887</v>
      </c>
      <c r="I2068" s="2">
        <v>130962355</v>
      </c>
      <c r="J2068">
        <v>173</v>
      </c>
      <c r="K2068">
        <v>410</v>
      </c>
      <c r="L2068">
        <v>0</v>
      </c>
      <c r="M2068" t="str">
        <f t="shared" si="32"/>
        <v>2010-2020</v>
      </c>
    </row>
    <row r="2069" spans="1:13">
      <c r="A2069" t="s">
        <v>3032</v>
      </c>
      <c r="B2069" t="s">
        <v>301</v>
      </c>
      <c r="C2069" s="1">
        <v>44897</v>
      </c>
      <c r="D2069" s="2">
        <v>249576970</v>
      </c>
      <c r="E2069" s="2">
        <v>31843</v>
      </c>
      <c r="F2069">
        <v>70</v>
      </c>
      <c r="G2069" s="2">
        <v>39198931</v>
      </c>
      <c r="H2069" s="2">
        <v>239096</v>
      </c>
      <c r="I2069" s="2">
        <v>37058831</v>
      </c>
      <c r="J2069">
        <v>20</v>
      </c>
      <c r="K2069">
        <v>46</v>
      </c>
      <c r="L2069">
        <v>0</v>
      </c>
      <c r="M2069" t="str">
        <f t="shared" si="32"/>
        <v>After 2020</v>
      </c>
    </row>
    <row r="2070" spans="1:13" hidden="1">
      <c r="A2070" t="s">
        <v>3033</v>
      </c>
      <c r="B2070" t="s">
        <v>952</v>
      </c>
      <c r="C2070" s="1">
        <v>45132</v>
      </c>
      <c r="D2070" s="2">
        <v>99865431</v>
      </c>
      <c r="E2070" s="2">
        <v>12217</v>
      </c>
      <c r="F2070">
        <v>64</v>
      </c>
      <c r="G2070" s="2">
        <v>169676605</v>
      </c>
      <c r="H2070" s="2">
        <v>490029</v>
      </c>
      <c r="J2070">
        <v>1</v>
      </c>
      <c r="L2070">
        <v>0</v>
      </c>
      <c r="M2070" t="str">
        <f t="shared" si="32"/>
        <v>After 2020</v>
      </c>
    </row>
    <row r="2071" spans="1:13">
      <c r="A2071">
        <v>911</v>
      </c>
      <c r="B2071" t="s">
        <v>1296</v>
      </c>
      <c r="C2071" s="1">
        <v>44232</v>
      </c>
      <c r="D2071" s="2">
        <v>352258962</v>
      </c>
      <c r="E2071" s="2">
        <v>68202</v>
      </c>
      <c r="F2071">
        <v>55</v>
      </c>
      <c r="G2071" s="2">
        <v>415445675</v>
      </c>
      <c r="H2071" s="2">
        <v>2300245</v>
      </c>
      <c r="I2071" s="2">
        <v>425874947</v>
      </c>
      <c r="J2071">
        <v>43</v>
      </c>
      <c r="K2071">
        <v>92</v>
      </c>
      <c r="L2071">
        <v>1</v>
      </c>
      <c r="M2071" t="str">
        <f t="shared" si="32"/>
        <v>After 2020</v>
      </c>
    </row>
    <row r="2072" spans="1:13" hidden="1">
      <c r="A2072" t="s">
        <v>3034</v>
      </c>
      <c r="B2072" t="s">
        <v>1534</v>
      </c>
      <c r="C2072" s="1">
        <v>45182</v>
      </c>
      <c r="D2072" s="2">
        <v>56903153</v>
      </c>
      <c r="E2072" s="2">
        <v>11259</v>
      </c>
      <c r="G2072" s="2">
        <v>19153480</v>
      </c>
      <c r="H2072" s="2">
        <v>247547</v>
      </c>
      <c r="I2072" s="2">
        <v>63874274</v>
      </c>
      <c r="J2072">
        <v>3</v>
      </c>
      <c r="L2072">
        <v>0</v>
      </c>
      <c r="M2072" t="str">
        <f t="shared" si="32"/>
        <v>After 2020</v>
      </c>
    </row>
    <row r="2073" spans="1:13" hidden="1">
      <c r="A2073" t="s">
        <v>3035</v>
      </c>
      <c r="B2073" t="s">
        <v>3036</v>
      </c>
      <c r="C2073" s="1">
        <v>45310</v>
      </c>
      <c r="D2073" s="2">
        <v>91969282</v>
      </c>
      <c r="E2073" s="2">
        <v>8656</v>
      </c>
      <c r="G2073" s="2">
        <v>51683164</v>
      </c>
      <c r="H2073" s="2">
        <v>844140</v>
      </c>
      <c r="J2073">
        <v>3</v>
      </c>
      <c r="L2073">
        <v>1</v>
      </c>
      <c r="M2073" t="str">
        <f t="shared" si="32"/>
        <v>After 2020</v>
      </c>
    </row>
    <row r="2074" spans="1:13" hidden="1">
      <c r="A2074" t="s">
        <v>1499</v>
      </c>
      <c r="B2074" t="s">
        <v>3037</v>
      </c>
      <c r="C2074" s="1">
        <v>42793</v>
      </c>
      <c r="D2074" s="2">
        <v>13112</v>
      </c>
      <c r="E2074">
        <v>5</v>
      </c>
      <c r="G2074" s="2">
        <v>75926</v>
      </c>
      <c r="H2074" s="2">
        <v>1615</v>
      </c>
      <c r="L2074">
        <v>0</v>
      </c>
      <c r="M2074" t="str">
        <f t="shared" si="32"/>
        <v>2010-2020</v>
      </c>
    </row>
    <row r="2075" spans="1:13">
      <c r="A2075" t="s">
        <v>3038</v>
      </c>
      <c r="B2075" t="s">
        <v>1262</v>
      </c>
      <c r="C2075" s="1">
        <v>43126</v>
      </c>
      <c r="D2075" s="2">
        <v>461456306</v>
      </c>
      <c r="E2075" s="2">
        <v>39872</v>
      </c>
      <c r="F2075">
        <v>5</v>
      </c>
      <c r="G2075" s="2">
        <v>149557856</v>
      </c>
      <c r="H2075" s="2">
        <v>1484925</v>
      </c>
      <c r="I2075" s="2">
        <v>48036714</v>
      </c>
      <c r="J2075">
        <v>5</v>
      </c>
      <c r="K2075">
        <v>25</v>
      </c>
      <c r="L2075">
        <v>0</v>
      </c>
      <c r="M2075" t="str">
        <f t="shared" si="32"/>
        <v>2010-2020</v>
      </c>
    </row>
    <row r="2076" spans="1:13" hidden="1">
      <c r="A2076" t="s">
        <v>3039</v>
      </c>
      <c r="B2076" t="s">
        <v>3040</v>
      </c>
      <c r="C2076" s="1">
        <v>45434</v>
      </c>
      <c r="D2076" s="2">
        <v>3084236</v>
      </c>
      <c r="E2076">
        <v>396</v>
      </c>
      <c r="F2076">
        <v>62</v>
      </c>
      <c r="G2076" s="2">
        <v>16220723</v>
      </c>
      <c r="H2076" s="2">
        <v>20462</v>
      </c>
      <c r="J2076">
        <v>2</v>
      </c>
      <c r="L2076">
        <v>0</v>
      </c>
      <c r="M2076" t="str">
        <f t="shared" si="32"/>
        <v>After 2020</v>
      </c>
    </row>
    <row r="2077" spans="1:13">
      <c r="A2077" t="s">
        <v>3041</v>
      </c>
      <c r="B2077" t="s">
        <v>315</v>
      </c>
      <c r="C2077" s="1">
        <v>43525</v>
      </c>
      <c r="D2077" s="2">
        <v>647501734</v>
      </c>
      <c r="E2077" s="2">
        <v>112493</v>
      </c>
      <c r="F2077">
        <v>62</v>
      </c>
      <c r="G2077" s="2">
        <v>447330965</v>
      </c>
      <c r="H2077" s="2">
        <v>3838459</v>
      </c>
      <c r="I2077" s="2">
        <v>435082308</v>
      </c>
      <c r="J2077">
        <v>90</v>
      </c>
      <c r="K2077">
        <v>384</v>
      </c>
      <c r="L2077">
        <v>1</v>
      </c>
      <c r="M2077" t="str">
        <f t="shared" si="32"/>
        <v>2010-2020</v>
      </c>
    </row>
    <row r="2078" spans="1:13" hidden="1">
      <c r="A2078" t="s">
        <v>3042</v>
      </c>
      <c r="B2078" t="s">
        <v>182</v>
      </c>
      <c r="C2078" s="1">
        <v>43455</v>
      </c>
      <c r="D2078" s="2">
        <v>637055162</v>
      </c>
      <c r="E2078" s="2">
        <v>167409</v>
      </c>
      <c r="F2078">
        <v>77</v>
      </c>
      <c r="G2078" s="2">
        <v>138716504</v>
      </c>
      <c r="H2078" s="2">
        <v>1556410</v>
      </c>
      <c r="I2078" s="2">
        <v>29554904</v>
      </c>
      <c r="J2078">
        <v>19</v>
      </c>
      <c r="L2078">
        <v>1</v>
      </c>
      <c r="M2078" t="str">
        <f t="shared" si="32"/>
        <v>2010-2020</v>
      </c>
    </row>
    <row r="2079" spans="1:13">
      <c r="A2079" t="s">
        <v>3043</v>
      </c>
      <c r="B2079" t="s">
        <v>291</v>
      </c>
      <c r="C2079" s="1">
        <v>43396</v>
      </c>
      <c r="D2079" s="2">
        <v>580625472</v>
      </c>
      <c r="E2079" s="2">
        <v>62829</v>
      </c>
      <c r="F2079">
        <v>65</v>
      </c>
      <c r="G2079" s="2">
        <v>551699941</v>
      </c>
      <c r="H2079" s="2">
        <v>5832935</v>
      </c>
      <c r="I2079" s="2">
        <v>1855716339</v>
      </c>
      <c r="J2079">
        <v>73</v>
      </c>
      <c r="K2079">
        <v>223</v>
      </c>
      <c r="L2079">
        <v>1</v>
      </c>
      <c r="M2079" t="str">
        <f t="shared" si="32"/>
        <v>2010-2020</v>
      </c>
    </row>
    <row r="2080" spans="1:13" hidden="1">
      <c r="A2080" t="s">
        <v>3044</v>
      </c>
      <c r="B2080" t="s">
        <v>3045</v>
      </c>
      <c r="C2080" s="1">
        <v>44934</v>
      </c>
      <c r="D2080" s="2">
        <v>162396159</v>
      </c>
      <c r="E2080" s="2">
        <v>44113</v>
      </c>
      <c r="F2080">
        <v>66</v>
      </c>
      <c r="G2080" s="2">
        <v>120017704</v>
      </c>
      <c r="H2080" s="2">
        <v>1180096</v>
      </c>
      <c r="I2080" s="2">
        <v>276521416</v>
      </c>
      <c r="J2080">
        <v>24</v>
      </c>
      <c r="L2080">
        <v>0</v>
      </c>
      <c r="M2080" t="str">
        <f t="shared" si="32"/>
        <v>After 2020</v>
      </c>
    </row>
    <row r="2081" spans="1:13" hidden="1">
      <c r="A2081" t="s">
        <v>3046</v>
      </c>
      <c r="B2081" t="s">
        <v>633</v>
      </c>
      <c r="C2081" s="1">
        <v>43980</v>
      </c>
      <c r="D2081" s="2">
        <v>657768560</v>
      </c>
      <c r="E2081" s="2">
        <v>87832</v>
      </c>
      <c r="F2081">
        <v>71</v>
      </c>
      <c r="G2081" s="2">
        <v>485818371</v>
      </c>
      <c r="H2081" s="2">
        <v>2230333</v>
      </c>
      <c r="I2081" s="2">
        <v>48119818</v>
      </c>
      <c r="J2081">
        <v>93</v>
      </c>
      <c r="L2081">
        <v>1</v>
      </c>
      <c r="M2081" t="str">
        <f t="shared" si="32"/>
        <v>2010-2020</v>
      </c>
    </row>
    <row r="2082" spans="1:13" hidden="1">
      <c r="A2082" t="s">
        <v>3047</v>
      </c>
      <c r="B2082" t="s">
        <v>1326</v>
      </c>
      <c r="C2082" s="1">
        <v>45387</v>
      </c>
      <c r="D2082" s="2">
        <v>36824548</v>
      </c>
      <c r="E2082" s="2">
        <v>6647</v>
      </c>
      <c r="G2082" s="2">
        <v>7143716</v>
      </c>
      <c r="H2082" s="2">
        <v>141721</v>
      </c>
      <c r="J2082">
        <v>10</v>
      </c>
      <c r="L2082">
        <v>1</v>
      </c>
      <c r="M2082" t="str">
        <f t="shared" si="32"/>
        <v>After 2020</v>
      </c>
    </row>
    <row r="2083" spans="1:13" hidden="1">
      <c r="A2083" t="s">
        <v>3048</v>
      </c>
      <c r="B2083" t="s">
        <v>1563</v>
      </c>
      <c r="C2083" s="1">
        <v>45001</v>
      </c>
      <c r="D2083" s="2">
        <v>43921455</v>
      </c>
      <c r="E2083" s="2">
        <v>1924</v>
      </c>
      <c r="F2083">
        <v>44</v>
      </c>
      <c r="G2083" s="2">
        <v>329678889</v>
      </c>
      <c r="H2083" s="2">
        <v>1854891</v>
      </c>
      <c r="I2083" s="2">
        <v>6144992</v>
      </c>
      <c r="J2083">
        <v>8</v>
      </c>
      <c r="L2083">
        <v>0</v>
      </c>
      <c r="M2083" t="str">
        <f t="shared" si="32"/>
        <v>After 2020</v>
      </c>
    </row>
    <row r="2084" spans="1:13">
      <c r="A2084" t="s">
        <v>3049</v>
      </c>
      <c r="B2084" t="s">
        <v>1803</v>
      </c>
      <c r="C2084" s="1">
        <v>41898</v>
      </c>
      <c r="D2084" s="2">
        <v>584277301</v>
      </c>
      <c r="E2084" s="2">
        <v>124262</v>
      </c>
      <c r="F2084">
        <v>64</v>
      </c>
      <c r="G2084" s="2">
        <v>902705161</v>
      </c>
      <c r="H2084" s="2">
        <v>5564747</v>
      </c>
      <c r="I2084" s="2">
        <v>510652592</v>
      </c>
      <c r="J2084">
        <v>64</v>
      </c>
      <c r="K2084">
        <v>6</v>
      </c>
      <c r="L2084">
        <v>1</v>
      </c>
      <c r="M2084" t="str">
        <f t="shared" si="32"/>
        <v>2010-2020</v>
      </c>
    </row>
    <row r="2085" spans="1:13" hidden="1">
      <c r="A2085" t="s">
        <v>427</v>
      </c>
      <c r="B2085" t="s">
        <v>161</v>
      </c>
      <c r="C2085" s="1">
        <v>44279</v>
      </c>
      <c r="D2085" s="2">
        <v>1902241314</v>
      </c>
      <c r="E2085" s="2">
        <v>7736</v>
      </c>
      <c r="F2085">
        <v>44</v>
      </c>
      <c r="G2085" s="2">
        <v>577007299</v>
      </c>
      <c r="H2085" s="2">
        <v>11124112</v>
      </c>
      <c r="J2085">
        <v>94</v>
      </c>
      <c r="L2085">
        <v>0</v>
      </c>
      <c r="M2085" t="str">
        <f t="shared" si="32"/>
        <v>After 2020</v>
      </c>
    </row>
    <row r="2086" spans="1:13" hidden="1">
      <c r="A2086" t="s">
        <v>2494</v>
      </c>
      <c r="B2086" t="s">
        <v>598</v>
      </c>
      <c r="C2086" s="1">
        <v>43814</v>
      </c>
      <c r="D2086" s="2">
        <v>588095934</v>
      </c>
      <c r="E2086" s="2">
        <v>82659</v>
      </c>
      <c r="F2086">
        <v>67</v>
      </c>
      <c r="G2086" s="2">
        <v>690674947</v>
      </c>
      <c r="H2086" s="2">
        <v>5232424</v>
      </c>
      <c r="I2086" s="2">
        <v>613017696</v>
      </c>
      <c r="J2086">
        <v>59</v>
      </c>
      <c r="L2086">
        <v>0</v>
      </c>
      <c r="M2086" t="str">
        <f t="shared" si="32"/>
        <v>2010-2020</v>
      </c>
    </row>
    <row r="2087" spans="1:13">
      <c r="A2087" t="s">
        <v>3050</v>
      </c>
      <c r="B2087" t="s">
        <v>301</v>
      </c>
      <c r="C2087" s="1">
        <v>44204</v>
      </c>
      <c r="D2087" s="2">
        <v>379462137</v>
      </c>
      <c r="E2087" s="2">
        <v>52985</v>
      </c>
      <c r="F2087">
        <v>72</v>
      </c>
      <c r="G2087" s="2">
        <v>144996999</v>
      </c>
      <c r="H2087" s="2">
        <v>759185</v>
      </c>
      <c r="I2087" s="2">
        <v>137402135</v>
      </c>
      <c r="J2087">
        <v>23</v>
      </c>
      <c r="K2087">
        <v>89</v>
      </c>
      <c r="L2087">
        <v>0</v>
      </c>
      <c r="M2087" t="str">
        <f t="shared" si="32"/>
        <v>After 2020</v>
      </c>
    </row>
    <row r="2088" spans="1:13" hidden="1">
      <c r="A2088" t="s">
        <v>3051</v>
      </c>
      <c r="B2088" t="s">
        <v>3052</v>
      </c>
      <c r="C2088" s="1">
        <v>45365</v>
      </c>
      <c r="D2088" s="2">
        <v>41746</v>
      </c>
      <c r="E2088">
        <v>2</v>
      </c>
      <c r="G2088" s="2">
        <v>65576399</v>
      </c>
      <c r="H2088" s="2">
        <v>290795</v>
      </c>
      <c r="L2088">
        <v>0</v>
      </c>
      <c r="M2088" t="str">
        <f t="shared" si="32"/>
        <v>After 2020</v>
      </c>
    </row>
    <row r="2089" spans="1:13" hidden="1">
      <c r="A2089" t="s">
        <v>3053</v>
      </c>
      <c r="B2089" t="s">
        <v>3054</v>
      </c>
      <c r="C2089" s="1">
        <v>44343</v>
      </c>
      <c r="D2089" s="2">
        <v>167885356</v>
      </c>
      <c r="E2089" s="2">
        <v>35425</v>
      </c>
      <c r="F2089">
        <v>59</v>
      </c>
      <c r="G2089" s="2">
        <v>623156045</v>
      </c>
      <c r="H2089" s="2">
        <v>4494258</v>
      </c>
      <c r="I2089" s="2">
        <v>35359820</v>
      </c>
      <c r="J2089">
        <v>14</v>
      </c>
      <c r="L2089">
        <v>1</v>
      </c>
      <c r="M2089" t="str">
        <f t="shared" si="32"/>
        <v>After 2020</v>
      </c>
    </row>
    <row r="2090" spans="1:13">
      <c r="A2090" t="s">
        <v>3055</v>
      </c>
      <c r="B2090" t="s">
        <v>3056</v>
      </c>
      <c r="C2090" s="1">
        <v>44518</v>
      </c>
      <c r="D2090" s="2">
        <v>216354398</v>
      </c>
      <c r="E2090" s="2">
        <v>90545</v>
      </c>
      <c r="F2090">
        <v>64</v>
      </c>
      <c r="G2090" s="2">
        <v>92356896</v>
      </c>
      <c r="H2090" s="2">
        <v>647095</v>
      </c>
      <c r="I2090" s="2">
        <v>148927892</v>
      </c>
      <c r="J2090">
        <v>14</v>
      </c>
      <c r="K2090">
        <v>10</v>
      </c>
      <c r="L2090">
        <v>1</v>
      </c>
      <c r="M2090" t="str">
        <f t="shared" si="32"/>
        <v>After 2020</v>
      </c>
    </row>
    <row r="2091" spans="1:13" hidden="1">
      <c r="A2091" t="s">
        <v>3057</v>
      </c>
      <c r="B2091" t="s">
        <v>3013</v>
      </c>
      <c r="C2091" s="1">
        <v>45329</v>
      </c>
      <c r="D2091" s="2">
        <v>85967228</v>
      </c>
      <c r="E2091" s="2">
        <v>4033</v>
      </c>
      <c r="F2091">
        <v>71</v>
      </c>
      <c r="G2091" s="2">
        <v>55372624</v>
      </c>
      <c r="H2091" s="2">
        <v>370683</v>
      </c>
      <c r="J2091">
        <v>14</v>
      </c>
      <c r="L2091">
        <v>0</v>
      </c>
      <c r="M2091" t="str">
        <f t="shared" si="32"/>
        <v>After 2020</v>
      </c>
    </row>
    <row r="2092" spans="1:13" hidden="1">
      <c r="A2092" t="s">
        <v>3058</v>
      </c>
      <c r="B2092" t="s">
        <v>311</v>
      </c>
      <c r="C2092" s="1">
        <v>44155</v>
      </c>
      <c r="D2092" s="2">
        <v>606018960</v>
      </c>
      <c r="E2092" s="2">
        <v>77941</v>
      </c>
      <c r="F2092">
        <v>61</v>
      </c>
      <c r="G2092" s="2">
        <v>249997553</v>
      </c>
      <c r="H2092" s="2">
        <v>4474871</v>
      </c>
      <c r="I2092" s="2">
        <v>177089056</v>
      </c>
      <c r="J2092">
        <v>129</v>
      </c>
      <c r="L2092">
        <v>0</v>
      </c>
      <c r="M2092" t="str">
        <f t="shared" si="32"/>
        <v>2010-2020</v>
      </c>
    </row>
    <row r="2093" spans="1:13">
      <c r="A2093" t="s">
        <v>3059</v>
      </c>
      <c r="B2093" t="s">
        <v>479</v>
      </c>
      <c r="C2093" s="1">
        <v>40179</v>
      </c>
      <c r="D2093" s="2">
        <v>1144535829</v>
      </c>
      <c r="E2093" s="2">
        <v>170779</v>
      </c>
      <c r="F2093">
        <v>71</v>
      </c>
      <c r="G2093" s="2">
        <v>1604084148</v>
      </c>
      <c r="H2093" s="2">
        <v>8081370</v>
      </c>
      <c r="I2093" s="2">
        <v>592235618</v>
      </c>
      <c r="J2093">
        <v>85</v>
      </c>
      <c r="K2093">
        <v>79</v>
      </c>
      <c r="L2093">
        <v>0</v>
      </c>
      <c r="M2093" t="str">
        <f t="shared" si="32"/>
        <v>2010-2020</v>
      </c>
    </row>
    <row r="2094" spans="1:13">
      <c r="A2094" t="s">
        <v>3060</v>
      </c>
      <c r="B2094" t="s">
        <v>295</v>
      </c>
      <c r="C2094" s="1">
        <v>44869</v>
      </c>
      <c r="D2094" s="2">
        <v>201467069</v>
      </c>
      <c r="E2094" s="2">
        <v>74719</v>
      </c>
      <c r="F2094">
        <v>65</v>
      </c>
      <c r="G2094" s="2">
        <v>20937003</v>
      </c>
      <c r="H2094" s="2">
        <v>225873</v>
      </c>
      <c r="I2094" s="2">
        <v>119899800</v>
      </c>
      <c r="J2094">
        <v>25</v>
      </c>
      <c r="K2094">
        <v>633</v>
      </c>
      <c r="L2094">
        <v>1</v>
      </c>
      <c r="M2094" t="str">
        <f t="shared" si="32"/>
        <v>After 2020</v>
      </c>
    </row>
    <row r="2095" spans="1:13" hidden="1">
      <c r="A2095" t="s">
        <v>402</v>
      </c>
      <c r="B2095" t="s">
        <v>68</v>
      </c>
      <c r="C2095" s="1">
        <v>44294</v>
      </c>
      <c r="D2095" s="2">
        <v>1823871908</v>
      </c>
      <c r="E2095" s="2">
        <v>8460</v>
      </c>
      <c r="F2095">
        <v>46</v>
      </c>
      <c r="G2095" s="2">
        <v>462218257</v>
      </c>
      <c r="H2095" s="2">
        <v>4949298</v>
      </c>
      <c r="J2095">
        <v>90</v>
      </c>
      <c r="L2095">
        <v>0</v>
      </c>
      <c r="M2095" t="str">
        <f t="shared" si="32"/>
        <v>After 2020</v>
      </c>
    </row>
    <row r="2096" spans="1:13" hidden="1">
      <c r="A2096" t="s">
        <v>3061</v>
      </c>
      <c r="B2096" t="s">
        <v>1380</v>
      </c>
      <c r="C2096" s="1">
        <v>45037</v>
      </c>
      <c r="D2096" s="2">
        <v>141252425</v>
      </c>
      <c r="E2096" s="2">
        <v>15291</v>
      </c>
      <c r="F2096">
        <v>69</v>
      </c>
      <c r="G2096" s="2">
        <v>194066158</v>
      </c>
      <c r="H2096" s="2">
        <v>587390</v>
      </c>
      <c r="I2096" s="2">
        <v>23818069</v>
      </c>
      <c r="J2096">
        <v>11</v>
      </c>
      <c r="L2096">
        <v>0</v>
      </c>
      <c r="M2096" t="str">
        <f t="shared" si="32"/>
        <v>After 2020</v>
      </c>
    </row>
    <row r="2097" spans="1:13">
      <c r="A2097" t="s">
        <v>3062</v>
      </c>
      <c r="B2097" t="s">
        <v>3063</v>
      </c>
      <c r="C2097" s="1">
        <v>44784</v>
      </c>
      <c r="D2097" s="2">
        <v>290154153</v>
      </c>
      <c r="E2097" s="2">
        <v>78735</v>
      </c>
      <c r="F2097">
        <v>68</v>
      </c>
      <c r="G2097" s="2">
        <v>23082946</v>
      </c>
      <c r="H2097" s="2">
        <v>421187</v>
      </c>
      <c r="I2097" s="2">
        <v>914597307</v>
      </c>
      <c r="J2097">
        <v>8</v>
      </c>
      <c r="K2097">
        <v>3</v>
      </c>
      <c r="L2097">
        <v>1</v>
      </c>
      <c r="M2097" t="str">
        <f t="shared" si="32"/>
        <v>After 2020</v>
      </c>
    </row>
    <row r="2098" spans="1:13" hidden="1">
      <c r="A2098" t="s">
        <v>3064</v>
      </c>
      <c r="B2098" t="s">
        <v>3065</v>
      </c>
      <c r="C2098" s="1">
        <v>44685</v>
      </c>
      <c r="D2098" s="2">
        <v>17675254</v>
      </c>
      <c r="E2098">
        <v>894</v>
      </c>
      <c r="F2098">
        <v>55</v>
      </c>
      <c r="G2098" s="2">
        <v>573015231</v>
      </c>
      <c r="H2098" s="2">
        <v>1299244</v>
      </c>
      <c r="L2098">
        <v>0</v>
      </c>
      <c r="M2098" t="str">
        <f t="shared" si="32"/>
        <v>After 2020</v>
      </c>
    </row>
    <row r="2099" spans="1:13" hidden="1">
      <c r="A2099" t="s">
        <v>3066</v>
      </c>
      <c r="B2099" t="s">
        <v>3067</v>
      </c>
      <c r="C2099" s="1">
        <v>44078</v>
      </c>
      <c r="D2099" s="2">
        <v>16483067</v>
      </c>
      <c r="E2099" s="2">
        <v>1547</v>
      </c>
      <c r="F2099">
        <v>53</v>
      </c>
      <c r="G2099" s="2">
        <v>1019712247</v>
      </c>
      <c r="H2099" s="2">
        <v>4023690</v>
      </c>
      <c r="L2099">
        <v>0</v>
      </c>
      <c r="M2099" t="str">
        <f t="shared" si="32"/>
        <v>2010-2020</v>
      </c>
    </row>
    <row r="2100" spans="1:13">
      <c r="A2100" t="s">
        <v>3068</v>
      </c>
      <c r="B2100" t="s">
        <v>1923</v>
      </c>
      <c r="C2100" s="1">
        <v>42370</v>
      </c>
      <c r="D2100" s="2">
        <v>654612558</v>
      </c>
      <c r="E2100" s="2">
        <v>69811</v>
      </c>
      <c r="F2100">
        <v>63</v>
      </c>
      <c r="G2100" s="2">
        <v>1571210815</v>
      </c>
      <c r="H2100" s="2">
        <v>5796659</v>
      </c>
      <c r="I2100" s="2">
        <v>57898629</v>
      </c>
      <c r="J2100">
        <v>81</v>
      </c>
      <c r="K2100">
        <v>80</v>
      </c>
      <c r="L2100">
        <v>0</v>
      </c>
      <c r="M2100" t="str">
        <f t="shared" si="32"/>
        <v>2010-2020</v>
      </c>
    </row>
    <row r="2101" spans="1:13" hidden="1">
      <c r="A2101" t="s">
        <v>3069</v>
      </c>
      <c r="B2101" t="s">
        <v>3070</v>
      </c>
      <c r="C2101" s="1">
        <v>45351</v>
      </c>
      <c r="D2101" s="2">
        <v>52925522</v>
      </c>
      <c r="E2101" s="2">
        <v>4755</v>
      </c>
      <c r="F2101">
        <v>79</v>
      </c>
      <c r="G2101" s="2">
        <v>35640835</v>
      </c>
      <c r="H2101" s="2">
        <v>468153</v>
      </c>
      <c r="I2101" s="2">
        <v>7397500</v>
      </c>
      <c r="J2101">
        <v>37</v>
      </c>
      <c r="L2101">
        <v>0</v>
      </c>
      <c r="M2101" t="str">
        <f t="shared" si="32"/>
        <v>After 2020</v>
      </c>
    </row>
    <row r="2102" spans="1:13">
      <c r="A2102" t="s">
        <v>3071</v>
      </c>
      <c r="B2102" t="s">
        <v>3072</v>
      </c>
      <c r="C2102" s="1">
        <v>45414</v>
      </c>
      <c r="D2102" s="2">
        <v>23649304</v>
      </c>
      <c r="E2102" s="2">
        <v>1089</v>
      </c>
      <c r="F2102">
        <v>73</v>
      </c>
      <c r="G2102" s="2">
        <v>18261218</v>
      </c>
      <c r="H2102" s="2">
        <v>229451</v>
      </c>
      <c r="I2102" s="2">
        <v>1395100</v>
      </c>
      <c r="J2102">
        <v>5</v>
      </c>
      <c r="K2102">
        <v>85</v>
      </c>
      <c r="L2102">
        <v>0</v>
      </c>
      <c r="M2102" t="str">
        <f t="shared" si="32"/>
        <v>After 2020</v>
      </c>
    </row>
    <row r="2103" spans="1:13">
      <c r="A2103" t="s">
        <v>3073</v>
      </c>
      <c r="B2103" t="s">
        <v>2596</v>
      </c>
      <c r="C2103" s="1">
        <v>45262</v>
      </c>
      <c r="D2103" s="2">
        <v>145332157</v>
      </c>
      <c r="E2103" s="2">
        <v>8065</v>
      </c>
      <c r="F2103">
        <v>80</v>
      </c>
      <c r="G2103" s="2">
        <v>79026835</v>
      </c>
      <c r="H2103" s="2">
        <v>407599</v>
      </c>
      <c r="I2103" s="2">
        <v>670588</v>
      </c>
      <c r="J2103">
        <v>8</v>
      </c>
      <c r="K2103">
        <v>7</v>
      </c>
      <c r="L2103">
        <v>0</v>
      </c>
      <c r="M2103" t="str">
        <f t="shared" si="32"/>
        <v>After 2020</v>
      </c>
    </row>
    <row r="2104" spans="1:13" hidden="1">
      <c r="A2104" t="s">
        <v>3074</v>
      </c>
      <c r="B2104" t="s">
        <v>920</v>
      </c>
      <c r="C2104" s="1">
        <v>45212</v>
      </c>
      <c r="D2104" s="2">
        <v>97738080</v>
      </c>
      <c r="E2104" s="2">
        <v>9673</v>
      </c>
      <c r="G2104" s="2">
        <v>105403652</v>
      </c>
      <c r="H2104" s="2">
        <v>1173505</v>
      </c>
      <c r="I2104" s="2">
        <v>599706698</v>
      </c>
      <c r="J2104">
        <v>13</v>
      </c>
      <c r="K2104">
        <v>39</v>
      </c>
      <c r="L2104">
        <v>0</v>
      </c>
      <c r="M2104" t="str">
        <f t="shared" si="32"/>
        <v>After 2020</v>
      </c>
    </row>
    <row r="2105" spans="1:13">
      <c r="A2105" t="s">
        <v>3075</v>
      </c>
      <c r="B2105" t="s">
        <v>24</v>
      </c>
      <c r="C2105" s="1">
        <v>44155</v>
      </c>
      <c r="D2105" s="2">
        <v>795449825</v>
      </c>
      <c r="E2105" s="2">
        <v>89489</v>
      </c>
      <c r="F2105">
        <v>67</v>
      </c>
      <c r="G2105" s="2">
        <v>156172635</v>
      </c>
      <c r="H2105" s="2">
        <v>2182645</v>
      </c>
      <c r="I2105" s="2">
        <v>248223677</v>
      </c>
      <c r="J2105">
        <v>199</v>
      </c>
      <c r="K2105">
        <v>65</v>
      </c>
      <c r="L2105">
        <v>0</v>
      </c>
      <c r="M2105" t="str">
        <f t="shared" si="32"/>
        <v>2010-2020</v>
      </c>
    </row>
    <row r="2106" spans="1:13" hidden="1">
      <c r="A2106" t="s">
        <v>3076</v>
      </c>
      <c r="B2106" t="s">
        <v>3077</v>
      </c>
      <c r="C2106" s="1">
        <v>44652</v>
      </c>
      <c r="D2106" s="2">
        <v>187925725</v>
      </c>
      <c r="E2106" s="2">
        <v>56849</v>
      </c>
      <c r="F2106">
        <v>64</v>
      </c>
      <c r="G2106" s="2">
        <v>132788074</v>
      </c>
      <c r="H2106" s="2">
        <v>1959343</v>
      </c>
      <c r="I2106" s="2">
        <v>790515512</v>
      </c>
      <c r="J2106">
        <v>12</v>
      </c>
      <c r="L2106">
        <v>1</v>
      </c>
      <c r="M2106" t="str">
        <f t="shared" si="32"/>
        <v>After 2020</v>
      </c>
    </row>
    <row r="2107" spans="1:13" hidden="1">
      <c r="A2107" t="s">
        <v>3078</v>
      </c>
      <c r="B2107" t="s">
        <v>355</v>
      </c>
      <c r="C2107" s="1">
        <v>44015</v>
      </c>
      <c r="D2107" s="2">
        <v>501468322</v>
      </c>
      <c r="E2107" s="2">
        <v>167938</v>
      </c>
      <c r="F2107">
        <v>67</v>
      </c>
      <c r="G2107" s="2">
        <v>145512290</v>
      </c>
      <c r="H2107" s="2">
        <v>2125906</v>
      </c>
      <c r="I2107" s="2">
        <v>199737055</v>
      </c>
      <c r="J2107">
        <v>8</v>
      </c>
      <c r="L2107">
        <v>1</v>
      </c>
      <c r="M2107" t="str">
        <f t="shared" si="32"/>
        <v>2010-2020</v>
      </c>
    </row>
    <row r="2108" spans="1:13" hidden="1">
      <c r="A2108" t="s">
        <v>3079</v>
      </c>
      <c r="B2108" t="s">
        <v>81</v>
      </c>
      <c r="C2108" s="1">
        <v>45359</v>
      </c>
      <c r="D2108" s="2">
        <v>216386557</v>
      </c>
      <c r="E2108" s="2">
        <v>6696</v>
      </c>
      <c r="F2108">
        <v>82</v>
      </c>
      <c r="G2108" s="2">
        <v>4613304</v>
      </c>
      <c r="H2108" s="2">
        <v>63775</v>
      </c>
      <c r="J2108">
        <v>15</v>
      </c>
      <c r="L2108">
        <v>1</v>
      </c>
      <c r="M2108" t="str">
        <f t="shared" si="32"/>
        <v>After 2020</v>
      </c>
    </row>
    <row r="2109" spans="1:13">
      <c r="A2109" t="s">
        <v>3080</v>
      </c>
      <c r="B2109" t="s">
        <v>2809</v>
      </c>
      <c r="C2109" s="1">
        <v>34335</v>
      </c>
      <c r="D2109" s="2">
        <v>1810649765</v>
      </c>
      <c r="E2109" s="2">
        <v>109411</v>
      </c>
      <c r="F2109">
        <v>60</v>
      </c>
      <c r="G2109" s="2">
        <v>824500156</v>
      </c>
      <c r="H2109" s="2">
        <v>7455155</v>
      </c>
      <c r="I2109" s="2">
        <v>15963128797</v>
      </c>
      <c r="J2109">
        <v>418</v>
      </c>
      <c r="K2109">
        <v>139</v>
      </c>
      <c r="L2109">
        <v>0</v>
      </c>
      <c r="M2109" t="str">
        <f t="shared" si="32"/>
        <v>Before 2010</v>
      </c>
    </row>
    <row r="2110" spans="1:13">
      <c r="A2110" t="s">
        <v>3081</v>
      </c>
      <c r="B2110" t="s">
        <v>418</v>
      </c>
      <c r="C2110" s="1">
        <v>42748</v>
      </c>
      <c r="D2110" s="2">
        <v>526264393</v>
      </c>
      <c r="E2110" s="2">
        <v>48041</v>
      </c>
      <c r="F2110">
        <v>66</v>
      </c>
      <c r="G2110" s="2">
        <v>1423626083</v>
      </c>
      <c r="H2110" s="2">
        <v>4711667</v>
      </c>
      <c r="I2110" s="2">
        <v>34073736</v>
      </c>
      <c r="J2110">
        <v>38</v>
      </c>
      <c r="K2110">
        <v>51</v>
      </c>
      <c r="L2110">
        <v>0</v>
      </c>
      <c r="M2110" t="str">
        <f t="shared" si="32"/>
        <v>2010-2020</v>
      </c>
    </row>
    <row r="2111" spans="1:13" hidden="1">
      <c r="A2111" t="s">
        <v>3082</v>
      </c>
      <c r="B2111" t="s">
        <v>1139</v>
      </c>
      <c r="C2111" s="1">
        <v>45225</v>
      </c>
      <c r="D2111" s="2">
        <v>83544478</v>
      </c>
      <c r="E2111" s="2">
        <v>7535</v>
      </c>
      <c r="F2111">
        <v>66</v>
      </c>
      <c r="G2111" s="2">
        <v>106772777</v>
      </c>
      <c r="H2111" s="2">
        <v>296327</v>
      </c>
      <c r="I2111" s="2">
        <v>19661922</v>
      </c>
      <c r="J2111">
        <v>2</v>
      </c>
      <c r="L2111">
        <v>0</v>
      </c>
      <c r="M2111" t="str">
        <f t="shared" si="32"/>
        <v>After 2020</v>
      </c>
    </row>
    <row r="2112" spans="1:13" hidden="1">
      <c r="A2112" t="s">
        <v>3083</v>
      </c>
      <c r="B2112" t="s">
        <v>3084</v>
      </c>
      <c r="C2112" s="1">
        <v>45359</v>
      </c>
      <c r="D2112" s="2">
        <v>190342124</v>
      </c>
      <c r="E2112">
        <v>60</v>
      </c>
      <c r="L2112">
        <v>0</v>
      </c>
      <c r="M2112" t="str">
        <f t="shared" si="32"/>
        <v>After 2020</v>
      </c>
    </row>
    <row r="2113" spans="1:13" hidden="1">
      <c r="A2113" t="s">
        <v>3085</v>
      </c>
      <c r="B2113" t="s">
        <v>3086</v>
      </c>
      <c r="C2113" s="1">
        <v>44901</v>
      </c>
      <c r="D2113" s="2">
        <v>3211473</v>
      </c>
      <c r="E2113">
        <v>678</v>
      </c>
      <c r="I2113" s="2">
        <v>1451994379</v>
      </c>
      <c r="L2113">
        <v>0</v>
      </c>
      <c r="M2113" t="str">
        <f t="shared" si="32"/>
        <v>After 2020</v>
      </c>
    </row>
    <row r="2114" spans="1:13" hidden="1">
      <c r="A2114" t="s">
        <v>3087</v>
      </c>
      <c r="B2114" t="s">
        <v>141</v>
      </c>
      <c r="C2114" s="1">
        <v>43457</v>
      </c>
      <c r="D2114" s="2">
        <v>893876704</v>
      </c>
      <c r="E2114" s="2">
        <v>86788</v>
      </c>
      <c r="F2114">
        <v>75</v>
      </c>
      <c r="G2114" s="2">
        <v>824238458</v>
      </c>
      <c r="H2114" s="2">
        <v>5274687</v>
      </c>
      <c r="I2114" s="2">
        <v>127896618</v>
      </c>
      <c r="J2114">
        <v>21</v>
      </c>
      <c r="L2114">
        <v>1</v>
      </c>
      <c r="M2114" t="str">
        <f t="shared" si="32"/>
        <v>2010-2020</v>
      </c>
    </row>
    <row r="2115" spans="1:13" hidden="1">
      <c r="A2115">
        <v>360</v>
      </c>
      <c r="B2115" t="s">
        <v>3088</v>
      </c>
      <c r="C2115" s="1">
        <v>45422</v>
      </c>
      <c r="D2115" s="2">
        <v>31940305</v>
      </c>
      <c r="E2115" s="2">
        <v>3363</v>
      </c>
      <c r="F2115">
        <v>76</v>
      </c>
      <c r="G2115" s="2">
        <v>3784807</v>
      </c>
      <c r="H2115" s="2">
        <v>147917</v>
      </c>
      <c r="J2115">
        <v>85</v>
      </c>
      <c r="K2115">
        <v>132</v>
      </c>
      <c r="L2115">
        <v>1</v>
      </c>
      <c r="M2115" t="str">
        <f t="shared" ref="M2115:M2178" si="33">IF(YEAR(C2115)&lt;2010,"Before 2010",IF(YEAR(C2115)&lt;=2020,"2010-2020","After 2020"))</f>
        <v>After 2020</v>
      </c>
    </row>
    <row r="2116" spans="1:13" hidden="1">
      <c r="A2116" t="s">
        <v>3089</v>
      </c>
      <c r="B2116" t="s">
        <v>35</v>
      </c>
      <c r="C2116" s="1">
        <v>45324</v>
      </c>
      <c r="D2116" s="2">
        <v>668280514</v>
      </c>
      <c r="E2116">
        <v>3</v>
      </c>
      <c r="L2116">
        <v>0</v>
      </c>
      <c r="M2116" t="str">
        <f t="shared" si="33"/>
        <v>After 2020</v>
      </c>
    </row>
    <row r="2117" spans="1:13">
      <c r="A2117" t="s">
        <v>3090</v>
      </c>
      <c r="B2117" t="s">
        <v>981</v>
      </c>
      <c r="C2117" s="1">
        <v>40867</v>
      </c>
      <c r="D2117" s="2">
        <v>869024663</v>
      </c>
      <c r="E2117" s="2">
        <v>91687</v>
      </c>
      <c r="F2117">
        <v>69</v>
      </c>
      <c r="G2117" s="2">
        <v>1937330456</v>
      </c>
      <c r="H2117" s="2">
        <v>6059523</v>
      </c>
      <c r="I2117" s="2">
        <v>67188077</v>
      </c>
      <c r="J2117">
        <v>111</v>
      </c>
      <c r="K2117">
        <v>78</v>
      </c>
      <c r="L2117">
        <v>0</v>
      </c>
      <c r="M2117" t="str">
        <f t="shared" si="33"/>
        <v>2010-2020</v>
      </c>
    </row>
    <row r="2118" spans="1:13" hidden="1">
      <c r="A2118" t="s">
        <v>3091</v>
      </c>
      <c r="B2118" t="s">
        <v>1794</v>
      </c>
      <c r="C2118" s="1">
        <v>42869</v>
      </c>
      <c r="D2118" s="2">
        <v>402970867</v>
      </c>
      <c r="E2118" s="2">
        <v>78206</v>
      </c>
      <c r="F2118">
        <v>5</v>
      </c>
      <c r="G2118" s="2">
        <v>101938749</v>
      </c>
      <c r="H2118" s="2">
        <v>1029804</v>
      </c>
      <c r="I2118" s="2">
        <v>249602373</v>
      </c>
      <c r="J2118">
        <v>51</v>
      </c>
      <c r="L2118">
        <v>1</v>
      </c>
      <c r="M2118" t="str">
        <f t="shared" si="33"/>
        <v>2010-2020</v>
      </c>
    </row>
    <row r="2119" spans="1:13">
      <c r="A2119" t="s">
        <v>3092</v>
      </c>
      <c r="B2119" t="s">
        <v>19</v>
      </c>
      <c r="C2119" s="1">
        <v>44694</v>
      </c>
      <c r="D2119" s="2">
        <v>318340376</v>
      </c>
      <c r="E2119" s="2">
        <v>83638</v>
      </c>
      <c r="F2119">
        <v>71</v>
      </c>
      <c r="G2119" s="2">
        <v>43714392</v>
      </c>
      <c r="H2119" s="2">
        <v>491664</v>
      </c>
      <c r="I2119" s="2">
        <v>11351079</v>
      </c>
      <c r="J2119">
        <v>36</v>
      </c>
      <c r="K2119">
        <v>121</v>
      </c>
      <c r="L2119">
        <v>1</v>
      </c>
      <c r="M2119" t="str">
        <f t="shared" si="33"/>
        <v>After 2020</v>
      </c>
    </row>
    <row r="2120" spans="1:13" hidden="1">
      <c r="A2120" t="s">
        <v>3093</v>
      </c>
      <c r="B2120" t="s">
        <v>3094</v>
      </c>
      <c r="C2120" s="1">
        <v>45145</v>
      </c>
      <c r="D2120" s="2">
        <v>447624</v>
      </c>
      <c r="E2120">
        <v>133</v>
      </c>
      <c r="F2120">
        <v>29</v>
      </c>
      <c r="G2120" s="2">
        <v>20172</v>
      </c>
      <c r="H2120">
        <v>453</v>
      </c>
      <c r="I2120" s="2">
        <v>479314735</v>
      </c>
      <c r="L2120">
        <v>0</v>
      </c>
      <c r="M2120" t="str">
        <f t="shared" si="33"/>
        <v>After 2020</v>
      </c>
    </row>
    <row r="2121" spans="1:13">
      <c r="A2121" t="s">
        <v>3095</v>
      </c>
      <c r="B2121" t="s">
        <v>3096</v>
      </c>
      <c r="C2121" s="1">
        <v>45086</v>
      </c>
      <c r="D2121" s="2">
        <v>76305266</v>
      </c>
      <c r="E2121" s="2">
        <v>31142</v>
      </c>
      <c r="F2121">
        <v>66</v>
      </c>
      <c r="G2121" s="2">
        <v>59140995</v>
      </c>
      <c r="H2121" s="2">
        <v>748335</v>
      </c>
      <c r="I2121" s="2">
        <v>159434907</v>
      </c>
      <c r="J2121">
        <v>8</v>
      </c>
      <c r="K2121">
        <v>19</v>
      </c>
      <c r="L2121">
        <v>0</v>
      </c>
      <c r="M2121" t="str">
        <f t="shared" si="33"/>
        <v>After 2020</v>
      </c>
    </row>
    <row r="2122" spans="1:13" hidden="1">
      <c r="A2122" t="s">
        <v>3097</v>
      </c>
      <c r="B2122" t="s">
        <v>1880</v>
      </c>
      <c r="C2122" s="1">
        <v>45315</v>
      </c>
      <c r="D2122" s="2">
        <v>124020754</v>
      </c>
      <c r="E2122" s="2">
        <v>8723</v>
      </c>
      <c r="F2122">
        <v>74</v>
      </c>
      <c r="G2122" s="2">
        <v>32907129</v>
      </c>
      <c r="H2122" s="2">
        <v>291898</v>
      </c>
      <c r="J2122">
        <v>17</v>
      </c>
      <c r="K2122">
        <v>38</v>
      </c>
      <c r="L2122">
        <v>1</v>
      </c>
      <c r="M2122" t="str">
        <f t="shared" si="33"/>
        <v>After 2020</v>
      </c>
    </row>
    <row r="2123" spans="1:13">
      <c r="A2123" t="s">
        <v>3098</v>
      </c>
      <c r="B2123" t="s">
        <v>3099</v>
      </c>
      <c r="C2123" s="1">
        <v>45380</v>
      </c>
      <c r="D2123" s="2">
        <v>58496778</v>
      </c>
      <c r="E2123" s="2">
        <v>5573</v>
      </c>
      <c r="F2123">
        <v>74</v>
      </c>
      <c r="G2123" s="2">
        <v>6718753</v>
      </c>
      <c r="H2123" s="2">
        <v>63141</v>
      </c>
      <c r="I2123" s="2">
        <v>50112477</v>
      </c>
      <c r="J2123">
        <v>22</v>
      </c>
      <c r="K2123">
        <v>10</v>
      </c>
      <c r="L2123">
        <v>1</v>
      </c>
      <c r="M2123" t="str">
        <f t="shared" si="33"/>
        <v>After 2020</v>
      </c>
    </row>
    <row r="2124" spans="1:13">
      <c r="A2124" t="s">
        <v>3100</v>
      </c>
      <c r="B2124" t="s">
        <v>276</v>
      </c>
      <c r="C2124" s="1">
        <v>42985</v>
      </c>
      <c r="D2124" s="2">
        <v>660710453</v>
      </c>
      <c r="E2124" s="2">
        <v>90212</v>
      </c>
      <c r="F2124">
        <v>62</v>
      </c>
      <c r="G2124" s="2">
        <v>814200168</v>
      </c>
      <c r="H2124" s="2">
        <v>5248262</v>
      </c>
      <c r="I2124" s="2">
        <v>50335494</v>
      </c>
      <c r="J2124">
        <v>122</v>
      </c>
      <c r="K2124">
        <v>100</v>
      </c>
      <c r="L2124">
        <v>1</v>
      </c>
      <c r="M2124" t="str">
        <f t="shared" si="33"/>
        <v>2010-2020</v>
      </c>
    </row>
    <row r="2125" spans="1:13" hidden="1">
      <c r="A2125" t="s">
        <v>3101</v>
      </c>
      <c r="B2125" t="s">
        <v>1770</v>
      </c>
      <c r="C2125" s="1">
        <v>45212</v>
      </c>
      <c r="D2125" s="2">
        <v>80795111</v>
      </c>
      <c r="E2125" s="2">
        <v>29807</v>
      </c>
      <c r="G2125" s="2">
        <v>3922613</v>
      </c>
      <c r="H2125" s="2">
        <v>53253</v>
      </c>
      <c r="J2125">
        <v>30</v>
      </c>
      <c r="K2125">
        <v>45</v>
      </c>
      <c r="L2125">
        <v>0</v>
      </c>
      <c r="M2125" t="str">
        <f t="shared" si="33"/>
        <v>After 2020</v>
      </c>
    </row>
    <row r="2126" spans="1:13" hidden="1">
      <c r="A2126" t="s">
        <v>3102</v>
      </c>
      <c r="B2126" t="s">
        <v>3103</v>
      </c>
      <c r="C2126" s="1">
        <v>45205</v>
      </c>
      <c r="D2126" s="2">
        <v>87323895</v>
      </c>
      <c r="E2126" s="2">
        <v>31519</v>
      </c>
      <c r="I2126" s="2">
        <v>119926922</v>
      </c>
      <c r="J2126">
        <v>20</v>
      </c>
      <c r="L2126">
        <v>0</v>
      </c>
      <c r="M2126" t="str">
        <f t="shared" si="33"/>
        <v>After 2020</v>
      </c>
    </row>
    <row r="2127" spans="1:13" hidden="1">
      <c r="A2127" t="s">
        <v>3104</v>
      </c>
      <c r="B2127" t="s">
        <v>3105</v>
      </c>
      <c r="C2127" s="1">
        <v>44337</v>
      </c>
      <c r="D2127" s="2">
        <v>120054361</v>
      </c>
      <c r="E2127" s="2">
        <v>36872</v>
      </c>
      <c r="F2127">
        <v>56</v>
      </c>
      <c r="G2127" s="2">
        <v>468441213</v>
      </c>
      <c r="H2127" s="2">
        <v>5119403</v>
      </c>
      <c r="I2127" s="2">
        <v>1160667367</v>
      </c>
      <c r="J2127">
        <v>6</v>
      </c>
      <c r="L2127">
        <v>1</v>
      </c>
      <c r="M2127" t="str">
        <f t="shared" si="33"/>
        <v>After 2020</v>
      </c>
    </row>
    <row r="2128" spans="1:13" hidden="1">
      <c r="A2128" t="s">
        <v>3106</v>
      </c>
      <c r="B2128" t="s">
        <v>1613</v>
      </c>
      <c r="C2128" s="1">
        <v>44973</v>
      </c>
      <c r="D2128" s="2">
        <v>164875589</v>
      </c>
      <c r="E2128" s="2">
        <v>40366</v>
      </c>
      <c r="F2128">
        <v>64</v>
      </c>
      <c r="G2128" s="2">
        <v>124609202</v>
      </c>
      <c r="H2128" s="2">
        <v>2299632</v>
      </c>
      <c r="I2128" s="2">
        <v>261238878</v>
      </c>
      <c r="J2128">
        <v>10</v>
      </c>
      <c r="L2128">
        <v>0</v>
      </c>
      <c r="M2128" t="str">
        <f t="shared" si="33"/>
        <v>After 2020</v>
      </c>
    </row>
    <row r="2129" spans="1:13" hidden="1">
      <c r="A2129" t="s">
        <v>3107</v>
      </c>
      <c r="B2129" t="s">
        <v>1055</v>
      </c>
      <c r="C2129" s="1">
        <v>43545</v>
      </c>
      <c r="D2129" s="2">
        <v>670068696</v>
      </c>
      <c r="E2129" s="2">
        <v>75834</v>
      </c>
      <c r="F2129">
        <v>67</v>
      </c>
      <c r="G2129" s="2">
        <v>665558958</v>
      </c>
      <c r="H2129" s="2">
        <v>11599426</v>
      </c>
      <c r="I2129" s="2">
        <v>713445624</v>
      </c>
      <c r="J2129">
        <v>57</v>
      </c>
      <c r="L2129">
        <v>1</v>
      </c>
      <c r="M2129" t="str">
        <f t="shared" si="33"/>
        <v>2010-2020</v>
      </c>
    </row>
    <row r="2130" spans="1:13">
      <c r="A2130" t="s">
        <v>3108</v>
      </c>
      <c r="B2130" t="s">
        <v>61</v>
      </c>
      <c r="C2130" s="1">
        <v>43630</v>
      </c>
      <c r="D2130" s="2">
        <v>935098853</v>
      </c>
      <c r="E2130" s="2">
        <v>63937</v>
      </c>
      <c r="F2130">
        <v>75</v>
      </c>
      <c r="G2130" s="2">
        <v>437794062</v>
      </c>
      <c r="H2130" s="2">
        <v>5982989</v>
      </c>
      <c r="I2130" s="2">
        <v>255624404</v>
      </c>
      <c r="J2130">
        <v>159</v>
      </c>
      <c r="K2130">
        <v>379</v>
      </c>
      <c r="L2130">
        <v>0</v>
      </c>
      <c r="M2130" t="str">
        <f t="shared" si="33"/>
        <v>2010-2020</v>
      </c>
    </row>
    <row r="2131" spans="1:13">
      <c r="A2131" t="s">
        <v>3109</v>
      </c>
      <c r="B2131" t="s">
        <v>2602</v>
      </c>
      <c r="C2131" s="1">
        <v>44792</v>
      </c>
      <c r="D2131" s="2">
        <v>142607318</v>
      </c>
      <c r="E2131" s="2">
        <v>17721</v>
      </c>
      <c r="F2131">
        <v>67</v>
      </c>
      <c r="G2131" s="2">
        <v>13270587</v>
      </c>
      <c r="H2131" s="2">
        <v>89854</v>
      </c>
      <c r="I2131" s="2">
        <v>40035442</v>
      </c>
      <c r="J2131">
        <v>28</v>
      </c>
      <c r="K2131">
        <v>131</v>
      </c>
      <c r="L2131">
        <v>0</v>
      </c>
      <c r="M2131" t="str">
        <f t="shared" si="33"/>
        <v>After 2020</v>
      </c>
    </row>
    <row r="2132" spans="1:13">
      <c r="A2132" t="s">
        <v>3110</v>
      </c>
      <c r="B2132" t="s">
        <v>1071</v>
      </c>
      <c r="C2132" s="1">
        <v>44070</v>
      </c>
      <c r="D2132" s="2">
        <v>320586187</v>
      </c>
      <c r="E2132" s="2">
        <v>52739</v>
      </c>
      <c r="F2132">
        <v>71</v>
      </c>
      <c r="G2132" s="2">
        <v>174357045</v>
      </c>
      <c r="H2132" s="2">
        <v>850627</v>
      </c>
      <c r="I2132" s="2">
        <v>50043423</v>
      </c>
      <c r="J2132">
        <v>50</v>
      </c>
      <c r="K2132">
        <v>86</v>
      </c>
      <c r="L2132">
        <v>0</v>
      </c>
      <c r="M2132" t="str">
        <f t="shared" si="33"/>
        <v>2010-2020</v>
      </c>
    </row>
    <row r="2133" spans="1:13" hidden="1">
      <c r="A2133">
        <v>295</v>
      </c>
      <c r="B2133" t="s">
        <v>3111</v>
      </c>
      <c r="C2133" s="1">
        <v>44331</v>
      </c>
      <c r="D2133" s="2">
        <v>267897492</v>
      </c>
      <c r="E2133" s="2">
        <v>21677</v>
      </c>
      <c r="F2133">
        <v>68</v>
      </c>
      <c r="G2133" s="2">
        <v>677472355</v>
      </c>
      <c r="H2133" s="2">
        <v>11160045</v>
      </c>
      <c r="I2133" s="2">
        <v>98802368</v>
      </c>
      <c r="J2133">
        <v>8</v>
      </c>
      <c r="L2133">
        <v>0</v>
      </c>
      <c r="M2133" t="str">
        <f t="shared" si="33"/>
        <v>After 2020</v>
      </c>
    </row>
    <row r="2134" spans="1:13" hidden="1">
      <c r="A2134" t="s">
        <v>3112</v>
      </c>
      <c r="B2134" t="s">
        <v>2880</v>
      </c>
      <c r="C2134" s="1">
        <v>45149</v>
      </c>
      <c r="D2134" s="2">
        <v>1666699743</v>
      </c>
      <c r="E2134">
        <v>7</v>
      </c>
      <c r="F2134">
        <v>13</v>
      </c>
      <c r="L2134">
        <v>0</v>
      </c>
      <c r="M2134" t="str">
        <f t="shared" si="33"/>
        <v>After 2020</v>
      </c>
    </row>
    <row r="2135" spans="1:13" hidden="1">
      <c r="A2135" t="s">
        <v>3113</v>
      </c>
      <c r="B2135" t="s">
        <v>3114</v>
      </c>
      <c r="C2135" s="1">
        <v>45134</v>
      </c>
      <c r="D2135" s="2">
        <v>17389541</v>
      </c>
      <c r="E2135" s="2">
        <v>1613</v>
      </c>
      <c r="F2135">
        <v>53</v>
      </c>
      <c r="G2135" s="2">
        <v>219300210</v>
      </c>
      <c r="H2135" s="2">
        <v>1776778</v>
      </c>
      <c r="I2135" s="2">
        <v>38956</v>
      </c>
      <c r="L2135">
        <v>0</v>
      </c>
      <c r="M2135" t="str">
        <f t="shared" si="33"/>
        <v>After 2020</v>
      </c>
    </row>
    <row r="2136" spans="1:13">
      <c r="A2136" t="s">
        <v>3115</v>
      </c>
      <c r="B2136" t="s">
        <v>141</v>
      </c>
      <c r="C2136" s="1">
        <v>44687</v>
      </c>
      <c r="D2136" s="2">
        <v>426439016</v>
      </c>
      <c r="E2136" s="2">
        <v>58352</v>
      </c>
      <c r="F2136">
        <v>71</v>
      </c>
      <c r="G2136" s="2">
        <v>187059915</v>
      </c>
      <c r="H2136" s="2">
        <v>1140762</v>
      </c>
      <c r="I2136" s="2">
        <v>232987490</v>
      </c>
      <c r="J2136">
        <v>15</v>
      </c>
      <c r="K2136">
        <v>2</v>
      </c>
      <c r="L2136">
        <v>0</v>
      </c>
      <c r="M2136" t="str">
        <f t="shared" si="33"/>
        <v>After 2020</v>
      </c>
    </row>
    <row r="2137" spans="1:13" hidden="1">
      <c r="A2137" t="s">
        <v>3116</v>
      </c>
      <c r="B2137" t="s">
        <v>3117</v>
      </c>
      <c r="C2137" s="1">
        <v>45247</v>
      </c>
      <c r="D2137" s="2">
        <v>49630584</v>
      </c>
      <c r="E2137" s="2">
        <v>7644</v>
      </c>
      <c r="G2137" s="2">
        <v>102074133</v>
      </c>
      <c r="H2137" s="2">
        <v>305216</v>
      </c>
      <c r="I2137" s="2">
        <v>6598274</v>
      </c>
      <c r="J2137">
        <v>3</v>
      </c>
      <c r="L2137">
        <v>0</v>
      </c>
      <c r="M2137" t="str">
        <f t="shared" si="33"/>
        <v>After 2020</v>
      </c>
    </row>
    <row r="2138" spans="1:13">
      <c r="A2138" t="s">
        <v>3118</v>
      </c>
      <c r="B2138" t="s">
        <v>3119</v>
      </c>
      <c r="C2138" s="1">
        <v>44687</v>
      </c>
      <c r="D2138" s="2">
        <v>133353888</v>
      </c>
      <c r="E2138" s="2">
        <v>40696</v>
      </c>
      <c r="F2138">
        <v>69</v>
      </c>
      <c r="G2138" s="2">
        <v>152140804</v>
      </c>
      <c r="H2138" s="2">
        <v>845642</v>
      </c>
      <c r="I2138" s="2">
        <v>614798320</v>
      </c>
      <c r="J2138">
        <v>43</v>
      </c>
      <c r="K2138">
        <v>17</v>
      </c>
      <c r="L2138">
        <v>1</v>
      </c>
      <c r="M2138" t="str">
        <f t="shared" si="33"/>
        <v>After 2020</v>
      </c>
    </row>
    <row r="2139" spans="1:13" hidden="1">
      <c r="A2139" t="s">
        <v>3120</v>
      </c>
      <c r="B2139" t="s">
        <v>3121</v>
      </c>
      <c r="C2139" s="1">
        <v>45121</v>
      </c>
      <c r="D2139" s="2">
        <v>7403756</v>
      </c>
      <c r="E2139" s="2">
        <v>2938</v>
      </c>
      <c r="F2139">
        <v>19</v>
      </c>
      <c r="G2139" s="2">
        <v>13523535</v>
      </c>
      <c r="H2139" s="2">
        <v>99905</v>
      </c>
      <c r="I2139" s="2">
        <v>519353900</v>
      </c>
      <c r="J2139">
        <v>7</v>
      </c>
      <c r="L2139">
        <v>0</v>
      </c>
      <c r="M2139" t="str">
        <f t="shared" si="33"/>
        <v>After 2020</v>
      </c>
    </row>
    <row r="2140" spans="1:13">
      <c r="A2140" t="s">
        <v>3122</v>
      </c>
      <c r="B2140" t="s">
        <v>3123</v>
      </c>
      <c r="C2140" s="1">
        <v>44838</v>
      </c>
      <c r="D2140" s="2">
        <v>142817891</v>
      </c>
      <c r="E2140" s="2">
        <v>52177</v>
      </c>
      <c r="F2140">
        <v>58</v>
      </c>
      <c r="G2140" s="2">
        <v>9564773</v>
      </c>
      <c r="H2140" s="2">
        <v>374693</v>
      </c>
      <c r="I2140" s="2">
        <v>134444259</v>
      </c>
      <c r="J2140">
        <v>30</v>
      </c>
      <c r="K2140" s="2">
        <v>1846</v>
      </c>
      <c r="L2140">
        <v>1</v>
      </c>
      <c r="M2140" t="str">
        <f t="shared" si="33"/>
        <v>After 2020</v>
      </c>
    </row>
    <row r="2141" spans="1:13" hidden="1">
      <c r="A2141" t="s">
        <v>3124</v>
      </c>
      <c r="B2141" t="s">
        <v>2633</v>
      </c>
      <c r="C2141" s="1">
        <v>45281</v>
      </c>
      <c r="D2141" s="2">
        <v>6172030</v>
      </c>
      <c r="E2141" s="2">
        <v>1159</v>
      </c>
      <c r="G2141" s="2">
        <v>107931540</v>
      </c>
      <c r="H2141" s="2">
        <v>709294</v>
      </c>
      <c r="J2141">
        <v>1</v>
      </c>
      <c r="K2141">
        <v>167</v>
      </c>
      <c r="L2141">
        <v>1</v>
      </c>
      <c r="M2141" t="str">
        <f t="shared" si="33"/>
        <v>After 2020</v>
      </c>
    </row>
    <row r="2142" spans="1:13" hidden="1">
      <c r="A2142" t="s">
        <v>3125</v>
      </c>
      <c r="B2142" t="s">
        <v>522</v>
      </c>
      <c r="C2142" s="1">
        <v>45331</v>
      </c>
      <c r="D2142" s="2">
        <v>69834726</v>
      </c>
      <c r="E2142" s="2">
        <v>3512</v>
      </c>
      <c r="G2142" s="2">
        <v>51351887</v>
      </c>
      <c r="H2142" s="2">
        <v>269848</v>
      </c>
      <c r="I2142" s="2">
        <v>8104799</v>
      </c>
      <c r="J2142">
        <v>14</v>
      </c>
      <c r="L2142">
        <v>0</v>
      </c>
      <c r="M2142" t="str">
        <f t="shared" si="33"/>
        <v>After 2020</v>
      </c>
    </row>
    <row r="2143" spans="1:13" hidden="1">
      <c r="A2143" t="s">
        <v>3126</v>
      </c>
      <c r="B2143" t="s">
        <v>3127</v>
      </c>
      <c r="C2143" s="1">
        <v>45198</v>
      </c>
      <c r="D2143" s="2">
        <v>71190581</v>
      </c>
      <c r="E2143" s="2">
        <v>7887</v>
      </c>
      <c r="F2143">
        <v>70</v>
      </c>
      <c r="G2143" s="2">
        <v>127886162</v>
      </c>
      <c r="H2143" s="2">
        <v>447006</v>
      </c>
      <c r="I2143" s="2">
        <v>16097834</v>
      </c>
      <c r="J2143">
        <v>5</v>
      </c>
      <c r="L2143">
        <v>0</v>
      </c>
      <c r="M2143" t="str">
        <f t="shared" si="33"/>
        <v>After 2020</v>
      </c>
    </row>
    <row r="2144" spans="1:13" hidden="1">
      <c r="A2144" t="s">
        <v>3128</v>
      </c>
      <c r="B2144" t="s">
        <v>343</v>
      </c>
      <c r="C2144" s="1">
        <v>45436</v>
      </c>
      <c r="D2144" s="2">
        <v>13671209</v>
      </c>
      <c r="E2144" s="2">
        <v>1332</v>
      </c>
      <c r="F2144">
        <v>71</v>
      </c>
      <c r="G2144" s="2">
        <v>3143016</v>
      </c>
      <c r="H2144" s="2">
        <v>58858</v>
      </c>
      <c r="I2144" s="2">
        <v>400300</v>
      </c>
      <c r="J2144">
        <v>42</v>
      </c>
      <c r="L2144">
        <v>1</v>
      </c>
      <c r="M2144" t="str">
        <f t="shared" si="33"/>
        <v>After 2020</v>
      </c>
    </row>
    <row r="2145" spans="1:13" hidden="1">
      <c r="A2145" t="s">
        <v>3129</v>
      </c>
      <c r="B2145" t="s">
        <v>3130</v>
      </c>
      <c r="C2145" s="1">
        <v>42405</v>
      </c>
      <c r="D2145" s="2">
        <v>769295129</v>
      </c>
      <c r="E2145" s="2">
        <v>195653</v>
      </c>
      <c r="F2145">
        <v>71</v>
      </c>
      <c r="G2145" s="2">
        <v>706646464</v>
      </c>
      <c r="H2145" s="2">
        <v>7579662</v>
      </c>
      <c r="I2145" s="2">
        <v>3016090659</v>
      </c>
      <c r="J2145">
        <v>10</v>
      </c>
      <c r="L2145">
        <v>0</v>
      </c>
      <c r="M2145" t="str">
        <f t="shared" si="33"/>
        <v>2010-2020</v>
      </c>
    </row>
    <row r="2146" spans="1:13" hidden="1">
      <c r="A2146" t="s">
        <v>3131</v>
      </c>
      <c r="B2146" t="s">
        <v>1326</v>
      </c>
      <c r="C2146" s="1">
        <v>44330</v>
      </c>
      <c r="D2146" s="2">
        <v>436133194</v>
      </c>
      <c r="E2146" s="2">
        <v>124236</v>
      </c>
      <c r="F2146">
        <v>68</v>
      </c>
      <c r="G2146" s="2">
        <v>78305305</v>
      </c>
      <c r="H2146" s="2">
        <v>910889</v>
      </c>
      <c r="J2146">
        <v>78</v>
      </c>
      <c r="K2146">
        <v>14</v>
      </c>
      <c r="L2146">
        <v>1</v>
      </c>
      <c r="M2146" t="str">
        <f t="shared" si="33"/>
        <v>After 2020</v>
      </c>
    </row>
    <row r="2147" spans="1:13">
      <c r="A2147" t="s">
        <v>3132</v>
      </c>
      <c r="B2147" t="s">
        <v>3133</v>
      </c>
      <c r="C2147" s="1">
        <v>39448</v>
      </c>
      <c r="D2147" s="2">
        <v>1878098512</v>
      </c>
      <c r="E2147" s="2">
        <v>241725</v>
      </c>
      <c r="F2147">
        <v>72</v>
      </c>
      <c r="G2147" s="2">
        <v>359866287</v>
      </c>
      <c r="H2147" s="2">
        <v>1614148</v>
      </c>
      <c r="I2147" s="2">
        <v>175364993</v>
      </c>
      <c r="J2147">
        <v>230</v>
      </c>
      <c r="K2147">
        <v>257</v>
      </c>
      <c r="L2147">
        <v>0</v>
      </c>
      <c r="M2147" t="str">
        <f t="shared" si="33"/>
        <v>Before 2010</v>
      </c>
    </row>
    <row r="2148" spans="1:13">
      <c r="A2148" t="s">
        <v>3134</v>
      </c>
      <c r="B2148" t="s">
        <v>221</v>
      </c>
      <c r="C2148" s="1">
        <v>44736</v>
      </c>
      <c r="D2148" s="2">
        <v>192633758</v>
      </c>
      <c r="E2148" s="2">
        <v>25097</v>
      </c>
      <c r="F2148">
        <v>72</v>
      </c>
      <c r="G2148" s="2">
        <v>43607584</v>
      </c>
      <c r="H2148" s="2">
        <v>203727</v>
      </c>
      <c r="I2148" s="2">
        <v>45564333</v>
      </c>
      <c r="J2148">
        <v>12</v>
      </c>
      <c r="K2148">
        <v>199</v>
      </c>
      <c r="L2148">
        <v>0</v>
      </c>
      <c r="M2148" t="str">
        <f t="shared" si="33"/>
        <v>After 2020</v>
      </c>
    </row>
    <row r="2149" spans="1:13" hidden="1">
      <c r="A2149" t="s">
        <v>3135</v>
      </c>
      <c r="B2149" t="s">
        <v>860</v>
      </c>
      <c r="C2149" s="1">
        <v>45317</v>
      </c>
      <c r="D2149" s="2">
        <v>80952546</v>
      </c>
      <c r="E2149" s="2">
        <v>6104</v>
      </c>
      <c r="G2149" s="2">
        <v>45378271</v>
      </c>
      <c r="H2149" s="2">
        <v>1259297</v>
      </c>
      <c r="I2149" s="2">
        <v>3270700</v>
      </c>
      <c r="J2149">
        <v>26</v>
      </c>
      <c r="K2149">
        <v>43</v>
      </c>
      <c r="L2149">
        <v>1</v>
      </c>
      <c r="M2149" t="str">
        <f t="shared" si="33"/>
        <v>After 2020</v>
      </c>
    </row>
    <row r="2150" spans="1:13" hidden="1">
      <c r="A2150" t="s">
        <v>3136</v>
      </c>
      <c r="B2150" t="s">
        <v>1905</v>
      </c>
      <c r="C2150" s="1">
        <v>44282</v>
      </c>
      <c r="D2150" s="2">
        <v>53064181</v>
      </c>
      <c r="E2150" s="2">
        <v>6163</v>
      </c>
      <c r="F2150">
        <v>53</v>
      </c>
      <c r="G2150" s="2">
        <v>700321521</v>
      </c>
      <c r="H2150" s="2">
        <v>7293139</v>
      </c>
      <c r="I2150" s="2">
        <v>144528086</v>
      </c>
      <c r="J2150">
        <v>1</v>
      </c>
      <c r="L2150">
        <v>0</v>
      </c>
      <c r="M2150" t="str">
        <f t="shared" si="33"/>
        <v>After 2020</v>
      </c>
    </row>
    <row r="2151" spans="1:13" hidden="1">
      <c r="A2151" t="s">
        <v>3137</v>
      </c>
      <c r="B2151" t="s">
        <v>3138</v>
      </c>
      <c r="C2151" s="1">
        <v>44948</v>
      </c>
      <c r="D2151" s="2">
        <v>39899018</v>
      </c>
      <c r="E2151" s="2">
        <v>2423</v>
      </c>
      <c r="F2151">
        <v>49</v>
      </c>
      <c r="G2151" s="2">
        <v>279246643</v>
      </c>
      <c r="H2151" s="2">
        <v>4502050</v>
      </c>
      <c r="I2151" s="2">
        <v>93470365</v>
      </c>
      <c r="L2151">
        <v>0</v>
      </c>
      <c r="M2151" t="str">
        <f t="shared" si="33"/>
        <v>After 2020</v>
      </c>
    </row>
    <row r="2152" spans="1:13" hidden="1">
      <c r="A2152" t="s">
        <v>1520</v>
      </c>
      <c r="B2152" t="s">
        <v>266</v>
      </c>
      <c r="C2152" s="1">
        <v>45177</v>
      </c>
      <c r="D2152" s="2">
        <v>287164579</v>
      </c>
      <c r="E2152" s="2">
        <v>1732</v>
      </c>
      <c r="J2152">
        <v>15</v>
      </c>
      <c r="L2152">
        <v>0</v>
      </c>
      <c r="M2152" t="str">
        <f t="shared" si="33"/>
        <v>After 2020</v>
      </c>
    </row>
    <row r="2153" spans="1:13" hidden="1">
      <c r="A2153" t="s">
        <v>3139</v>
      </c>
      <c r="B2153" t="s">
        <v>200</v>
      </c>
      <c r="C2153" s="1">
        <v>45099</v>
      </c>
      <c r="D2153" s="2">
        <v>261311116</v>
      </c>
      <c r="E2153" s="2">
        <v>21917</v>
      </c>
      <c r="F2153">
        <v>75</v>
      </c>
      <c r="G2153" s="2">
        <v>73174350</v>
      </c>
      <c r="H2153" s="2">
        <v>286276</v>
      </c>
      <c r="I2153" s="2">
        <v>10791305</v>
      </c>
      <c r="J2153">
        <v>4</v>
      </c>
      <c r="L2153">
        <v>1</v>
      </c>
      <c r="M2153" t="str">
        <f t="shared" si="33"/>
        <v>After 2020</v>
      </c>
    </row>
    <row r="2154" spans="1:13" hidden="1">
      <c r="A2154" t="s">
        <v>3140</v>
      </c>
      <c r="B2154" t="s">
        <v>3141</v>
      </c>
      <c r="C2154" s="1">
        <v>45058</v>
      </c>
      <c r="D2154" s="2">
        <v>185914923</v>
      </c>
      <c r="E2154" s="2">
        <v>28387</v>
      </c>
      <c r="F2154">
        <v>72</v>
      </c>
      <c r="G2154" s="2">
        <v>114153936</v>
      </c>
      <c r="H2154" s="2">
        <v>1500822</v>
      </c>
      <c r="J2154">
        <v>1</v>
      </c>
      <c r="L2154">
        <v>1</v>
      </c>
      <c r="M2154" t="str">
        <f t="shared" si="33"/>
        <v>After 2020</v>
      </c>
    </row>
    <row r="2155" spans="1:13">
      <c r="A2155" t="s">
        <v>3142</v>
      </c>
      <c r="B2155" t="s">
        <v>3143</v>
      </c>
      <c r="C2155" s="1">
        <v>44939</v>
      </c>
      <c r="D2155" s="2">
        <v>137897920</v>
      </c>
      <c r="E2155" s="2">
        <v>26625</v>
      </c>
      <c r="F2155">
        <v>69</v>
      </c>
      <c r="G2155" s="2">
        <v>61438933</v>
      </c>
      <c r="H2155" s="2">
        <v>366832</v>
      </c>
      <c r="I2155" s="2">
        <v>33714095</v>
      </c>
      <c r="J2155">
        <v>73</v>
      </c>
      <c r="K2155">
        <v>7</v>
      </c>
      <c r="L2155">
        <v>0</v>
      </c>
      <c r="M2155" t="str">
        <f t="shared" si="33"/>
        <v>After 2020</v>
      </c>
    </row>
    <row r="2156" spans="1:13">
      <c r="A2156" t="s">
        <v>3144</v>
      </c>
      <c r="B2156" t="s">
        <v>170</v>
      </c>
      <c r="C2156" s="1">
        <v>43588</v>
      </c>
      <c r="D2156" s="2">
        <v>312111545</v>
      </c>
      <c r="E2156" s="2">
        <v>30520</v>
      </c>
      <c r="F2156">
        <v>66</v>
      </c>
      <c r="G2156" s="2">
        <v>722096242</v>
      </c>
      <c r="H2156" s="2">
        <v>5368740</v>
      </c>
      <c r="I2156" s="2">
        <v>661920679</v>
      </c>
      <c r="J2156">
        <v>32</v>
      </c>
      <c r="K2156">
        <v>392</v>
      </c>
      <c r="L2156">
        <v>0</v>
      </c>
      <c r="M2156" t="str">
        <f t="shared" si="33"/>
        <v>2010-2020</v>
      </c>
    </row>
    <row r="2157" spans="1:13">
      <c r="A2157" t="s">
        <v>3145</v>
      </c>
      <c r="B2157" t="s">
        <v>233</v>
      </c>
      <c r="C2157" s="1">
        <v>44379</v>
      </c>
      <c r="D2157" s="2">
        <v>309587427</v>
      </c>
      <c r="E2157" s="2">
        <v>57487</v>
      </c>
      <c r="F2157">
        <v>64</v>
      </c>
      <c r="G2157" s="2">
        <v>199356851</v>
      </c>
      <c r="H2157" s="2">
        <v>1545728</v>
      </c>
      <c r="I2157" s="2">
        <v>34312597</v>
      </c>
      <c r="J2157">
        <v>38</v>
      </c>
      <c r="K2157">
        <v>64</v>
      </c>
      <c r="L2157">
        <v>0</v>
      </c>
      <c r="M2157" t="str">
        <f t="shared" si="33"/>
        <v>After 2020</v>
      </c>
    </row>
    <row r="2158" spans="1:13" hidden="1">
      <c r="A2158" t="s">
        <v>3146</v>
      </c>
      <c r="B2158" t="s">
        <v>1887</v>
      </c>
      <c r="C2158" s="1">
        <v>45317</v>
      </c>
      <c r="D2158" s="2">
        <v>82013588</v>
      </c>
      <c r="E2158" s="2">
        <v>8321</v>
      </c>
      <c r="G2158" s="2">
        <v>35869265</v>
      </c>
      <c r="H2158" s="2">
        <v>594381</v>
      </c>
      <c r="I2158" s="2">
        <v>40600</v>
      </c>
      <c r="J2158">
        <v>15</v>
      </c>
      <c r="K2158">
        <v>514</v>
      </c>
      <c r="L2158">
        <v>1</v>
      </c>
      <c r="M2158" t="str">
        <f t="shared" si="33"/>
        <v>After 2020</v>
      </c>
    </row>
    <row r="2159" spans="1:13" hidden="1">
      <c r="A2159" t="s">
        <v>3147</v>
      </c>
      <c r="B2159" t="s">
        <v>2989</v>
      </c>
      <c r="C2159" s="1">
        <v>44092</v>
      </c>
      <c r="D2159" s="2">
        <v>267617808</v>
      </c>
      <c r="E2159" s="2">
        <v>37741</v>
      </c>
      <c r="F2159">
        <v>64</v>
      </c>
      <c r="G2159" s="2">
        <v>756395439</v>
      </c>
      <c r="H2159" s="2">
        <v>7889556</v>
      </c>
      <c r="I2159" s="2">
        <v>182472232</v>
      </c>
      <c r="J2159">
        <v>20</v>
      </c>
      <c r="L2159">
        <v>0</v>
      </c>
      <c r="M2159" t="str">
        <f t="shared" si="33"/>
        <v>2010-2020</v>
      </c>
    </row>
    <row r="2160" spans="1:13" hidden="1">
      <c r="A2160" t="s">
        <v>3148</v>
      </c>
      <c r="B2160" t="s">
        <v>3149</v>
      </c>
      <c r="C2160" s="1">
        <v>45224</v>
      </c>
      <c r="D2160" s="2">
        <v>15483918</v>
      </c>
      <c r="E2160">
        <v>978</v>
      </c>
      <c r="G2160" s="2">
        <v>159198721</v>
      </c>
      <c r="H2160" s="2">
        <v>831982</v>
      </c>
      <c r="J2160">
        <v>1</v>
      </c>
      <c r="L2160">
        <v>0</v>
      </c>
      <c r="M2160" t="str">
        <f t="shared" si="33"/>
        <v>After 2020</v>
      </c>
    </row>
    <row r="2161" spans="1:13">
      <c r="A2161" t="s">
        <v>3150</v>
      </c>
      <c r="B2161" t="s">
        <v>81</v>
      </c>
      <c r="C2161" s="1">
        <v>44134</v>
      </c>
      <c r="D2161" s="2">
        <v>541397856</v>
      </c>
      <c r="E2161" s="2">
        <v>62958</v>
      </c>
      <c r="F2161">
        <v>66</v>
      </c>
      <c r="G2161" s="2">
        <v>195125143</v>
      </c>
      <c r="H2161" s="2">
        <v>1921318</v>
      </c>
      <c r="I2161" s="2">
        <v>1082235761</v>
      </c>
      <c r="J2161">
        <v>47</v>
      </c>
      <c r="K2161">
        <v>328</v>
      </c>
      <c r="L2161">
        <v>0</v>
      </c>
      <c r="M2161" t="str">
        <f t="shared" si="33"/>
        <v>2010-2020</v>
      </c>
    </row>
    <row r="2162" spans="1:13" hidden="1">
      <c r="A2162" t="s">
        <v>3151</v>
      </c>
      <c r="B2162" t="s">
        <v>1469</v>
      </c>
      <c r="C2162" s="1">
        <v>42440</v>
      </c>
      <c r="D2162" s="2">
        <v>1232373956</v>
      </c>
      <c r="E2162" s="2">
        <v>134807</v>
      </c>
      <c r="F2162">
        <v>74</v>
      </c>
      <c r="G2162" s="2">
        <v>823692209</v>
      </c>
      <c r="H2162" s="2">
        <v>4889435</v>
      </c>
      <c r="I2162" s="2">
        <v>58183913</v>
      </c>
      <c r="J2162">
        <v>101</v>
      </c>
      <c r="L2162">
        <v>0</v>
      </c>
      <c r="M2162" t="str">
        <f t="shared" si="33"/>
        <v>2010-2020</v>
      </c>
    </row>
    <row r="2163" spans="1:13">
      <c r="A2163" t="s">
        <v>3152</v>
      </c>
      <c r="B2163" t="s">
        <v>133</v>
      </c>
      <c r="C2163" s="1">
        <v>40867</v>
      </c>
      <c r="D2163" s="2">
        <v>2086460781</v>
      </c>
      <c r="E2163" s="2">
        <v>167759</v>
      </c>
      <c r="F2163">
        <v>77</v>
      </c>
      <c r="G2163" s="2">
        <v>212889507</v>
      </c>
      <c r="H2163" s="2">
        <v>1603354</v>
      </c>
      <c r="I2163" s="2">
        <v>264665397</v>
      </c>
      <c r="J2163">
        <v>259</v>
      </c>
      <c r="K2163" s="2">
        <v>1073</v>
      </c>
      <c r="L2163">
        <v>0</v>
      </c>
      <c r="M2163" t="str">
        <f t="shared" si="33"/>
        <v>2010-2020</v>
      </c>
    </row>
    <row r="2164" spans="1:13" hidden="1">
      <c r="A2164" t="s">
        <v>3153</v>
      </c>
      <c r="B2164" t="s">
        <v>2602</v>
      </c>
      <c r="C2164" s="1">
        <v>45177</v>
      </c>
      <c r="D2164" s="2">
        <v>26917389</v>
      </c>
      <c r="E2164" s="2">
        <v>3411</v>
      </c>
      <c r="G2164" s="2">
        <v>2749241</v>
      </c>
      <c r="H2164" s="2">
        <v>22965</v>
      </c>
      <c r="I2164" s="2">
        <v>7726317</v>
      </c>
      <c r="J2164">
        <v>17</v>
      </c>
      <c r="K2164">
        <v>5</v>
      </c>
      <c r="L2164">
        <v>0</v>
      </c>
      <c r="M2164" t="str">
        <f t="shared" si="33"/>
        <v>After 2020</v>
      </c>
    </row>
    <row r="2165" spans="1:13" hidden="1">
      <c r="A2165" t="s">
        <v>3154</v>
      </c>
      <c r="B2165" t="s">
        <v>3155</v>
      </c>
      <c r="C2165" s="1">
        <v>45407</v>
      </c>
      <c r="D2165" s="2">
        <v>21670034</v>
      </c>
      <c r="E2165" s="2">
        <v>1989</v>
      </c>
      <c r="F2165">
        <v>73</v>
      </c>
      <c r="G2165" s="2">
        <v>15271196</v>
      </c>
      <c r="H2165" s="2">
        <v>123620</v>
      </c>
      <c r="J2165">
        <v>20</v>
      </c>
      <c r="L2165">
        <v>1</v>
      </c>
      <c r="M2165" t="str">
        <f t="shared" si="33"/>
        <v>After 2020</v>
      </c>
    </row>
    <row r="2166" spans="1:13">
      <c r="A2166" t="s">
        <v>3156</v>
      </c>
      <c r="B2166" t="s">
        <v>576</v>
      </c>
      <c r="C2166" s="1">
        <v>44350</v>
      </c>
      <c r="D2166" s="2">
        <v>254118106</v>
      </c>
      <c r="E2166" s="2">
        <v>38980</v>
      </c>
      <c r="F2166">
        <v>58</v>
      </c>
      <c r="G2166" s="2">
        <v>404064054</v>
      </c>
      <c r="H2166" s="2">
        <v>2732944</v>
      </c>
      <c r="I2166" s="2">
        <v>2737871422</v>
      </c>
      <c r="J2166">
        <v>70</v>
      </c>
      <c r="K2166">
        <v>421</v>
      </c>
      <c r="L2166">
        <v>0</v>
      </c>
      <c r="M2166" t="str">
        <f t="shared" si="33"/>
        <v>After 2020</v>
      </c>
    </row>
    <row r="2167" spans="1:13" hidden="1">
      <c r="A2167" t="s">
        <v>3157</v>
      </c>
      <c r="B2167" t="s">
        <v>3158</v>
      </c>
      <c r="C2167" s="1">
        <v>44827</v>
      </c>
      <c r="D2167" s="2">
        <v>10296798</v>
      </c>
      <c r="E2167" s="2">
        <v>1307</v>
      </c>
      <c r="F2167">
        <v>58</v>
      </c>
      <c r="G2167" s="2">
        <v>11726419</v>
      </c>
      <c r="H2167" s="2">
        <v>125802</v>
      </c>
      <c r="I2167" s="2">
        <v>11601159321</v>
      </c>
      <c r="J2167">
        <v>5</v>
      </c>
      <c r="L2167">
        <v>0</v>
      </c>
      <c r="M2167" t="str">
        <f t="shared" si="33"/>
        <v>After 2020</v>
      </c>
    </row>
    <row r="2168" spans="1:13" hidden="1">
      <c r="A2168" t="s">
        <v>3159</v>
      </c>
      <c r="B2168" t="s">
        <v>3160</v>
      </c>
      <c r="C2168" s="1">
        <v>45078</v>
      </c>
      <c r="D2168" s="2">
        <v>74769930</v>
      </c>
      <c r="E2168" s="2">
        <v>34206</v>
      </c>
      <c r="F2168">
        <v>60</v>
      </c>
      <c r="G2168" s="2">
        <v>72559154</v>
      </c>
      <c r="H2168" s="2">
        <v>484307</v>
      </c>
      <c r="I2168" s="2">
        <v>36415193</v>
      </c>
      <c r="J2168">
        <v>12</v>
      </c>
      <c r="L2168">
        <v>0</v>
      </c>
      <c r="M2168" t="str">
        <f t="shared" si="33"/>
        <v>After 2020</v>
      </c>
    </row>
    <row r="2169" spans="1:13">
      <c r="A2169" t="s">
        <v>3161</v>
      </c>
      <c r="B2169" t="s">
        <v>755</v>
      </c>
      <c r="C2169" s="1">
        <v>44638</v>
      </c>
      <c r="D2169" s="2">
        <v>293724552</v>
      </c>
      <c r="E2169" s="2">
        <v>27089</v>
      </c>
      <c r="F2169">
        <v>68</v>
      </c>
      <c r="G2169" s="2">
        <v>343273995</v>
      </c>
      <c r="H2169" s="2">
        <v>6840494</v>
      </c>
      <c r="I2169" s="2">
        <v>866409009</v>
      </c>
      <c r="J2169">
        <v>7</v>
      </c>
      <c r="K2169">
        <v>255</v>
      </c>
      <c r="L2169">
        <v>0</v>
      </c>
      <c r="M2169" t="str">
        <f t="shared" si="33"/>
        <v>After 2020</v>
      </c>
    </row>
    <row r="2170" spans="1:13" hidden="1">
      <c r="A2170" t="s">
        <v>3162</v>
      </c>
      <c r="B2170" t="s">
        <v>3163</v>
      </c>
      <c r="C2170" s="1">
        <v>45436</v>
      </c>
      <c r="D2170" s="2">
        <v>17255</v>
      </c>
      <c r="E2170">
        <v>17</v>
      </c>
      <c r="G2170" s="2">
        <v>24805</v>
      </c>
      <c r="H2170">
        <v>335</v>
      </c>
      <c r="J2170">
        <v>2</v>
      </c>
      <c r="L2170">
        <v>0</v>
      </c>
      <c r="M2170" t="str">
        <f t="shared" si="33"/>
        <v>After 2020</v>
      </c>
    </row>
    <row r="2171" spans="1:13" hidden="1">
      <c r="A2171" t="s">
        <v>3164</v>
      </c>
      <c r="B2171" t="s">
        <v>3165</v>
      </c>
      <c r="C2171" s="1">
        <v>45079</v>
      </c>
      <c r="D2171" s="2">
        <v>148686610</v>
      </c>
      <c r="E2171" s="2">
        <v>37054</v>
      </c>
      <c r="F2171">
        <v>63</v>
      </c>
      <c r="G2171" s="2">
        <v>445811</v>
      </c>
      <c r="H2171" s="2">
        <v>5554</v>
      </c>
      <c r="I2171" s="2">
        <v>61668626</v>
      </c>
      <c r="J2171">
        <v>55</v>
      </c>
      <c r="L2171">
        <v>0</v>
      </c>
      <c r="M2171" t="str">
        <f t="shared" si="33"/>
        <v>After 2020</v>
      </c>
    </row>
    <row r="2172" spans="1:13">
      <c r="A2172" t="s">
        <v>3166</v>
      </c>
      <c r="B2172" t="s">
        <v>1705</v>
      </c>
      <c r="C2172" s="1">
        <v>44903</v>
      </c>
      <c r="D2172" s="2">
        <v>172082938</v>
      </c>
      <c r="E2172" s="2">
        <v>15951</v>
      </c>
      <c r="F2172">
        <v>66</v>
      </c>
      <c r="G2172" s="2">
        <v>215719591</v>
      </c>
      <c r="H2172" s="2">
        <v>857582</v>
      </c>
      <c r="I2172" s="2">
        <v>874751736</v>
      </c>
      <c r="J2172">
        <v>3</v>
      </c>
      <c r="K2172">
        <v>456</v>
      </c>
      <c r="L2172">
        <v>1</v>
      </c>
      <c r="M2172" t="str">
        <f t="shared" si="33"/>
        <v>After 2020</v>
      </c>
    </row>
    <row r="2173" spans="1:13">
      <c r="A2173" t="s">
        <v>3167</v>
      </c>
      <c r="B2173" t="s">
        <v>2407</v>
      </c>
      <c r="C2173" s="1">
        <v>44350</v>
      </c>
      <c r="D2173" s="2">
        <v>438511316</v>
      </c>
      <c r="E2173" s="2">
        <v>96233</v>
      </c>
      <c r="F2173">
        <v>77</v>
      </c>
      <c r="G2173" s="2">
        <v>27188286</v>
      </c>
      <c r="H2173" s="2">
        <v>573905</v>
      </c>
      <c r="I2173" s="2">
        <v>434155492</v>
      </c>
      <c r="J2173">
        <v>4</v>
      </c>
      <c r="K2173">
        <v>37</v>
      </c>
      <c r="L2173">
        <v>0</v>
      </c>
      <c r="M2173" t="str">
        <f t="shared" si="33"/>
        <v>After 2020</v>
      </c>
    </row>
    <row r="2174" spans="1:13" hidden="1">
      <c r="A2174" t="s">
        <v>3168</v>
      </c>
      <c r="B2174" t="s">
        <v>3169</v>
      </c>
      <c r="C2174" s="1">
        <v>45233</v>
      </c>
      <c r="D2174" s="2">
        <v>127503950</v>
      </c>
      <c r="E2174" s="2">
        <v>18981</v>
      </c>
      <c r="G2174" s="2">
        <v>39927538</v>
      </c>
      <c r="H2174" s="2">
        <v>505055</v>
      </c>
      <c r="J2174">
        <v>20</v>
      </c>
      <c r="K2174">
        <v>59</v>
      </c>
      <c r="L2174">
        <v>0</v>
      </c>
      <c r="M2174" t="str">
        <f t="shared" si="33"/>
        <v>After 2020</v>
      </c>
    </row>
    <row r="2175" spans="1:13">
      <c r="A2175" t="s">
        <v>3170</v>
      </c>
      <c r="B2175" t="s">
        <v>920</v>
      </c>
      <c r="C2175" s="1">
        <v>44795</v>
      </c>
      <c r="D2175" s="2">
        <v>365203093</v>
      </c>
      <c r="E2175" s="2">
        <v>28691</v>
      </c>
      <c r="F2175">
        <v>69</v>
      </c>
      <c r="G2175" s="2">
        <v>281724902</v>
      </c>
      <c r="H2175" s="2">
        <v>2937674</v>
      </c>
      <c r="I2175" s="2">
        <v>49211096</v>
      </c>
      <c r="J2175">
        <v>25</v>
      </c>
      <c r="K2175">
        <v>122</v>
      </c>
      <c r="L2175">
        <v>0</v>
      </c>
      <c r="M2175" t="str">
        <f t="shared" si="33"/>
        <v>After 2020</v>
      </c>
    </row>
    <row r="2176" spans="1:13" hidden="1">
      <c r="A2176" t="s">
        <v>3171</v>
      </c>
      <c r="B2176" t="s">
        <v>3172</v>
      </c>
      <c r="C2176" s="1">
        <v>44995</v>
      </c>
      <c r="D2176" s="2">
        <v>10554</v>
      </c>
      <c r="E2176">
        <v>18</v>
      </c>
      <c r="F2176">
        <v>10</v>
      </c>
      <c r="G2176" s="2">
        <v>333366384</v>
      </c>
      <c r="H2176" s="2">
        <v>362004</v>
      </c>
      <c r="L2176">
        <v>0</v>
      </c>
      <c r="M2176" t="str">
        <f t="shared" si="33"/>
        <v>After 2020</v>
      </c>
    </row>
    <row r="2177" spans="1:13">
      <c r="A2177" t="s">
        <v>3173</v>
      </c>
      <c r="B2177" t="s">
        <v>51</v>
      </c>
      <c r="C2177" s="1">
        <v>42937</v>
      </c>
      <c r="D2177" s="2">
        <v>1091185920</v>
      </c>
      <c r="E2177" s="2">
        <v>114997</v>
      </c>
      <c r="F2177">
        <v>72</v>
      </c>
      <c r="G2177" s="2">
        <v>522422864</v>
      </c>
      <c r="H2177" s="2">
        <v>5993528</v>
      </c>
      <c r="I2177" s="2">
        <v>372214292</v>
      </c>
      <c r="J2177">
        <v>37</v>
      </c>
      <c r="K2177">
        <v>22</v>
      </c>
      <c r="L2177">
        <v>0</v>
      </c>
      <c r="M2177" t="str">
        <f t="shared" si="33"/>
        <v>2010-2020</v>
      </c>
    </row>
    <row r="2178" spans="1:13">
      <c r="A2178" t="s">
        <v>3174</v>
      </c>
      <c r="B2178" t="s">
        <v>3175</v>
      </c>
      <c r="C2178" s="1">
        <v>43811</v>
      </c>
      <c r="D2178" s="2">
        <v>335856859</v>
      </c>
      <c r="E2178" s="2">
        <v>27383</v>
      </c>
      <c r="F2178">
        <v>66</v>
      </c>
      <c r="G2178" s="2">
        <v>917170916</v>
      </c>
      <c r="H2178" s="2">
        <v>6108835</v>
      </c>
      <c r="I2178" s="2">
        <v>332846214</v>
      </c>
      <c r="J2178">
        <v>8</v>
      </c>
      <c r="K2178">
        <v>1</v>
      </c>
      <c r="L2178">
        <v>0</v>
      </c>
      <c r="M2178" t="str">
        <f t="shared" si="33"/>
        <v>2010-2020</v>
      </c>
    </row>
    <row r="2179" spans="1:13" hidden="1">
      <c r="A2179" t="s">
        <v>3176</v>
      </c>
      <c r="B2179" t="s">
        <v>2033</v>
      </c>
      <c r="C2179" s="1">
        <v>45386</v>
      </c>
      <c r="D2179" s="2">
        <v>35473387</v>
      </c>
      <c r="E2179" s="2">
        <v>3432</v>
      </c>
      <c r="F2179">
        <v>69</v>
      </c>
      <c r="G2179" s="2">
        <v>28992482</v>
      </c>
      <c r="H2179" s="2">
        <v>285938</v>
      </c>
      <c r="J2179">
        <v>4</v>
      </c>
      <c r="L2179">
        <v>1</v>
      </c>
      <c r="M2179" t="str">
        <f t="shared" ref="M2179:M2242" si="34">IF(YEAR(C2179)&lt;2010,"Before 2010",IF(YEAR(C2179)&lt;=2020,"2010-2020","After 2020"))</f>
        <v>After 2020</v>
      </c>
    </row>
    <row r="2180" spans="1:13" hidden="1">
      <c r="A2180" t="s">
        <v>3177</v>
      </c>
      <c r="B2180" t="s">
        <v>1055</v>
      </c>
      <c r="C2180" s="1">
        <v>43308</v>
      </c>
      <c r="D2180" s="2">
        <v>596469106</v>
      </c>
      <c r="E2180" s="2">
        <v>81058</v>
      </c>
      <c r="F2180">
        <v>67</v>
      </c>
      <c r="G2180" s="2">
        <v>919443352</v>
      </c>
      <c r="H2180" s="2">
        <v>9060446</v>
      </c>
      <c r="I2180" s="2">
        <v>127865814</v>
      </c>
      <c r="J2180">
        <v>32</v>
      </c>
      <c r="L2180">
        <v>0</v>
      </c>
      <c r="M2180" t="str">
        <f t="shared" si="34"/>
        <v>2010-2020</v>
      </c>
    </row>
    <row r="2181" spans="1:13">
      <c r="A2181" t="s">
        <v>3178</v>
      </c>
      <c r="B2181" t="s">
        <v>701</v>
      </c>
      <c r="C2181" s="1">
        <v>44729</v>
      </c>
      <c r="D2181" s="2">
        <v>125056212</v>
      </c>
      <c r="E2181" s="2">
        <v>43939</v>
      </c>
      <c r="F2181">
        <v>61</v>
      </c>
      <c r="G2181" s="2">
        <v>123551829</v>
      </c>
      <c r="H2181" s="2">
        <v>1191440</v>
      </c>
      <c r="I2181" s="2">
        <v>58980168</v>
      </c>
      <c r="J2181">
        <v>53</v>
      </c>
      <c r="K2181">
        <v>271</v>
      </c>
      <c r="L2181">
        <v>0</v>
      </c>
      <c r="M2181" t="str">
        <f t="shared" si="34"/>
        <v>After 2020</v>
      </c>
    </row>
    <row r="2182" spans="1:13">
      <c r="A2182" t="s">
        <v>3179</v>
      </c>
      <c r="B2182" t="s">
        <v>2328</v>
      </c>
      <c r="C2182" s="1">
        <v>44197</v>
      </c>
      <c r="D2182" s="2">
        <v>343227483</v>
      </c>
      <c r="E2182" s="2">
        <v>71196</v>
      </c>
      <c r="F2182">
        <v>63</v>
      </c>
      <c r="G2182" s="2">
        <v>239480315</v>
      </c>
      <c r="H2182" s="2">
        <v>4107386</v>
      </c>
      <c r="I2182" s="2">
        <v>6292383402</v>
      </c>
      <c r="J2182">
        <v>9</v>
      </c>
      <c r="K2182">
        <v>554</v>
      </c>
      <c r="L2182">
        <v>1</v>
      </c>
      <c r="M2182" t="str">
        <f t="shared" si="34"/>
        <v>After 2020</v>
      </c>
    </row>
    <row r="2183" spans="1:13">
      <c r="A2183" t="s">
        <v>3180</v>
      </c>
      <c r="B2183" t="s">
        <v>860</v>
      </c>
      <c r="C2183" s="1">
        <v>44358</v>
      </c>
      <c r="D2183" s="2">
        <v>319372639</v>
      </c>
      <c r="E2183" s="2">
        <v>63421</v>
      </c>
      <c r="F2183">
        <v>60</v>
      </c>
      <c r="G2183" s="2">
        <v>166781349</v>
      </c>
      <c r="H2183" s="2">
        <v>2497154</v>
      </c>
      <c r="I2183" s="2">
        <v>3757736116</v>
      </c>
      <c r="J2183">
        <v>91</v>
      </c>
      <c r="K2183">
        <v>175</v>
      </c>
      <c r="L2183">
        <v>1</v>
      </c>
      <c r="M2183" t="str">
        <f t="shared" si="34"/>
        <v>After 2020</v>
      </c>
    </row>
    <row r="2184" spans="1:13">
      <c r="A2184" t="s">
        <v>3181</v>
      </c>
      <c r="B2184" t="s">
        <v>19</v>
      </c>
      <c r="C2184" s="1">
        <v>40909</v>
      </c>
      <c r="D2184" s="2">
        <v>1476217041</v>
      </c>
      <c r="E2184" s="2">
        <v>352198</v>
      </c>
      <c r="F2184">
        <v>75</v>
      </c>
      <c r="G2184" s="2">
        <v>385175377</v>
      </c>
      <c r="H2184" s="2">
        <v>3054056</v>
      </c>
      <c r="I2184" s="2">
        <v>1484578640</v>
      </c>
      <c r="J2184">
        <v>117</v>
      </c>
      <c r="K2184">
        <v>7</v>
      </c>
      <c r="L2184">
        <v>1</v>
      </c>
      <c r="M2184" t="str">
        <f t="shared" si="34"/>
        <v>2010-2020</v>
      </c>
    </row>
    <row r="2185" spans="1:13" hidden="1">
      <c r="A2185" t="s">
        <v>3182</v>
      </c>
      <c r="B2185" t="s">
        <v>1544</v>
      </c>
      <c r="C2185" s="1">
        <v>45002</v>
      </c>
      <c r="D2185" s="2">
        <v>190420514</v>
      </c>
      <c r="E2185" s="2">
        <v>39949</v>
      </c>
      <c r="F2185">
        <v>65</v>
      </c>
      <c r="G2185" s="2">
        <v>109102453</v>
      </c>
      <c r="H2185" s="2">
        <v>801125</v>
      </c>
      <c r="I2185" s="2">
        <v>272952215</v>
      </c>
      <c r="J2185">
        <v>20</v>
      </c>
      <c r="L2185">
        <v>1</v>
      </c>
      <c r="M2185" t="str">
        <f t="shared" si="34"/>
        <v>After 2020</v>
      </c>
    </row>
    <row r="2186" spans="1:13" hidden="1">
      <c r="A2186" t="s">
        <v>3183</v>
      </c>
      <c r="B2186" t="s">
        <v>3184</v>
      </c>
      <c r="C2186" s="1">
        <v>44552</v>
      </c>
      <c r="G2186" s="2">
        <v>684272012</v>
      </c>
      <c r="H2186" s="2">
        <v>6897951</v>
      </c>
      <c r="L2186">
        <v>0</v>
      </c>
      <c r="M2186" t="str">
        <f t="shared" si="34"/>
        <v>After 2020</v>
      </c>
    </row>
    <row r="2187" spans="1:13">
      <c r="A2187" t="s">
        <v>3185</v>
      </c>
      <c r="B2187" t="s">
        <v>1235</v>
      </c>
      <c r="C2187" s="1">
        <v>45023</v>
      </c>
      <c r="D2187" s="2">
        <v>139105802</v>
      </c>
      <c r="E2187" s="2">
        <v>16162</v>
      </c>
      <c r="F2187">
        <v>63</v>
      </c>
      <c r="G2187" s="2">
        <v>18520292</v>
      </c>
      <c r="H2187" s="2">
        <v>175833</v>
      </c>
      <c r="I2187" s="2">
        <v>147611576</v>
      </c>
      <c r="J2187">
        <v>66</v>
      </c>
      <c r="K2187" s="2">
        <v>1787</v>
      </c>
      <c r="L2187">
        <v>0</v>
      </c>
      <c r="M2187" t="str">
        <f t="shared" si="34"/>
        <v>After 2020</v>
      </c>
    </row>
    <row r="2188" spans="1:13" hidden="1">
      <c r="A2188" t="s">
        <v>3186</v>
      </c>
      <c r="B2188" t="s">
        <v>3187</v>
      </c>
      <c r="C2188" s="1">
        <v>45149</v>
      </c>
      <c r="D2188" s="2">
        <v>39715603</v>
      </c>
      <c r="E2188" s="2">
        <v>13502</v>
      </c>
      <c r="F2188">
        <v>60</v>
      </c>
      <c r="G2188" s="2">
        <v>84439011</v>
      </c>
      <c r="H2188" s="2">
        <v>951441</v>
      </c>
      <c r="I2188" s="2">
        <v>1032372538</v>
      </c>
      <c r="K2188">
        <v>282</v>
      </c>
      <c r="L2188">
        <v>0</v>
      </c>
      <c r="M2188" t="str">
        <f t="shared" si="34"/>
        <v>After 2020</v>
      </c>
    </row>
    <row r="2189" spans="1:13">
      <c r="A2189" t="s">
        <v>3188</v>
      </c>
      <c r="B2189" t="s">
        <v>903</v>
      </c>
      <c r="C2189" s="1">
        <v>45189</v>
      </c>
      <c r="D2189" s="2">
        <v>125169958</v>
      </c>
      <c r="E2189" s="2">
        <v>19673</v>
      </c>
      <c r="F2189">
        <v>5</v>
      </c>
      <c r="G2189" s="2">
        <v>22661967</v>
      </c>
      <c r="H2189" s="2">
        <v>332818</v>
      </c>
      <c r="I2189" s="2">
        <v>136718693</v>
      </c>
      <c r="J2189">
        <v>60</v>
      </c>
      <c r="K2189">
        <v>3</v>
      </c>
      <c r="L2189">
        <v>1</v>
      </c>
      <c r="M2189" t="str">
        <f t="shared" si="34"/>
        <v>After 2020</v>
      </c>
    </row>
    <row r="2190" spans="1:13">
      <c r="A2190" t="s">
        <v>3189</v>
      </c>
      <c r="B2190" t="s">
        <v>148</v>
      </c>
      <c r="C2190" s="1">
        <v>44904</v>
      </c>
      <c r="D2190" s="2">
        <v>452881574</v>
      </c>
      <c r="E2190" s="2">
        <v>59064</v>
      </c>
      <c r="F2190">
        <v>73</v>
      </c>
      <c r="G2190" s="2">
        <v>30642267</v>
      </c>
      <c r="H2190" s="2">
        <v>285150</v>
      </c>
      <c r="I2190" s="2">
        <v>449104323</v>
      </c>
      <c r="J2190">
        <v>22</v>
      </c>
      <c r="K2190">
        <v>56</v>
      </c>
      <c r="L2190">
        <v>1</v>
      </c>
      <c r="M2190" t="str">
        <f t="shared" si="34"/>
        <v>After 2020</v>
      </c>
    </row>
    <row r="2191" spans="1:13">
      <c r="A2191" t="s">
        <v>3190</v>
      </c>
      <c r="B2191" t="s">
        <v>2267</v>
      </c>
      <c r="C2191" s="1">
        <v>41960</v>
      </c>
      <c r="D2191" s="2">
        <v>1548151634</v>
      </c>
      <c r="E2191" s="2">
        <v>154325</v>
      </c>
      <c r="F2191">
        <v>83</v>
      </c>
      <c r="G2191" s="2">
        <v>948760574</v>
      </c>
      <c r="H2191" s="2">
        <v>9009457</v>
      </c>
      <c r="I2191" s="2">
        <v>1820024186</v>
      </c>
      <c r="J2191">
        <v>66</v>
      </c>
      <c r="K2191">
        <v>17</v>
      </c>
      <c r="L2191">
        <v>0</v>
      </c>
      <c r="M2191" t="str">
        <f t="shared" si="34"/>
        <v>2010-2020</v>
      </c>
    </row>
    <row r="2192" spans="1:13">
      <c r="A2192" t="s">
        <v>3191</v>
      </c>
      <c r="B2192" t="s">
        <v>2362</v>
      </c>
      <c r="C2192" s="1">
        <v>43570</v>
      </c>
      <c r="D2192" s="2">
        <v>518477840</v>
      </c>
      <c r="E2192" s="2">
        <v>40921</v>
      </c>
      <c r="F2192">
        <v>71</v>
      </c>
      <c r="G2192" s="2">
        <v>970377956</v>
      </c>
      <c r="H2192" s="2">
        <v>2794007</v>
      </c>
      <c r="I2192" s="2">
        <v>135032701</v>
      </c>
      <c r="J2192">
        <v>39</v>
      </c>
      <c r="K2192">
        <v>190</v>
      </c>
      <c r="L2192">
        <v>0</v>
      </c>
      <c r="M2192" t="str">
        <f t="shared" si="34"/>
        <v>2010-2020</v>
      </c>
    </row>
    <row r="2193" spans="1:13" hidden="1">
      <c r="A2193" t="s">
        <v>3192</v>
      </c>
      <c r="B2193" t="s">
        <v>3193</v>
      </c>
      <c r="C2193" s="1">
        <v>45247</v>
      </c>
      <c r="D2193" s="2">
        <v>73316998</v>
      </c>
      <c r="E2193" s="2">
        <v>6863</v>
      </c>
      <c r="F2193">
        <v>75</v>
      </c>
      <c r="G2193" s="2">
        <v>48425342</v>
      </c>
      <c r="H2193" s="2">
        <v>581515</v>
      </c>
      <c r="I2193" s="2">
        <v>695420301</v>
      </c>
      <c r="J2193">
        <v>2</v>
      </c>
      <c r="L2193">
        <v>1</v>
      </c>
      <c r="M2193" t="str">
        <f t="shared" si="34"/>
        <v>After 2020</v>
      </c>
    </row>
    <row r="2194" spans="1:13" hidden="1">
      <c r="A2194" t="s">
        <v>3194</v>
      </c>
      <c r="B2194" t="s">
        <v>3195</v>
      </c>
      <c r="C2194" s="1">
        <v>44974</v>
      </c>
      <c r="D2194" s="2">
        <v>3608717</v>
      </c>
      <c r="E2194" s="2">
        <v>3268</v>
      </c>
      <c r="F2194">
        <v>40</v>
      </c>
      <c r="G2194" s="2">
        <v>340092596</v>
      </c>
      <c r="H2194" s="2">
        <v>5238903</v>
      </c>
      <c r="I2194" s="2">
        <v>316425</v>
      </c>
      <c r="L2194">
        <v>1</v>
      </c>
      <c r="M2194" t="str">
        <f t="shared" si="34"/>
        <v>After 2020</v>
      </c>
    </row>
    <row r="2195" spans="1:13">
      <c r="A2195" t="s">
        <v>3196</v>
      </c>
      <c r="B2195" t="s">
        <v>19</v>
      </c>
      <c r="C2195" s="1">
        <v>42839</v>
      </c>
      <c r="D2195" s="2">
        <v>1157112366</v>
      </c>
      <c r="E2195" s="2">
        <v>185660</v>
      </c>
      <c r="F2195">
        <v>75</v>
      </c>
      <c r="G2195" s="2">
        <v>356343325</v>
      </c>
      <c r="H2195" s="2">
        <v>3573193</v>
      </c>
      <c r="I2195" s="2">
        <v>97997064</v>
      </c>
      <c r="J2195">
        <v>191</v>
      </c>
      <c r="K2195">
        <v>63</v>
      </c>
      <c r="L2195">
        <v>1</v>
      </c>
      <c r="M2195" t="str">
        <f t="shared" si="34"/>
        <v>2010-2020</v>
      </c>
    </row>
    <row r="2196" spans="1:13" hidden="1">
      <c r="A2196" t="s">
        <v>3197</v>
      </c>
      <c r="B2196" t="s">
        <v>3198</v>
      </c>
      <c r="C2196" s="1">
        <v>41800</v>
      </c>
      <c r="D2196" s="2">
        <v>949312501</v>
      </c>
      <c r="E2196" s="2">
        <v>152498</v>
      </c>
      <c r="F2196">
        <v>74</v>
      </c>
      <c r="G2196" s="2">
        <v>858285365</v>
      </c>
      <c r="H2196" s="2">
        <v>5419110</v>
      </c>
      <c r="I2196" s="2">
        <v>70600246</v>
      </c>
      <c r="J2196">
        <v>30</v>
      </c>
      <c r="L2196">
        <v>1</v>
      </c>
      <c r="M2196" t="str">
        <f t="shared" si="34"/>
        <v>2010-2020</v>
      </c>
    </row>
    <row r="2197" spans="1:13" hidden="1">
      <c r="A2197" t="s">
        <v>3199</v>
      </c>
      <c r="B2197" t="s">
        <v>3200</v>
      </c>
      <c r="C2197" s="1">
        <v>45397</v>
      </c>
      <c r="D2197" s="2">
        <v>5633595</v>
      </c>
      <c r="E2197">
        <v>418</v>
      </c>
      <c r="F2197">
        <v>61</v>
      </c>
      <c r="G2197" s="2">
        <v>38890559</v>
      </c>
      <c r="H2197" s="2">
        <v>213288</v>
      </c>
      <c r="J2197">
        <v>2</v>
      </c>
      <c r="L2197">
        <v>0</v>
      </c>
      <c r="M2197" t="str">
        <f t="shared" si="34"/>
        <v>After 2020</v>
      </c>
    </row>
    <row r="2198" spans="1:13" hidden="1">
      <c r="A2198" t="s">
        <v>3201</v>
      </c>
      <c r="B2198" t="s">
        <v>81</v>
      </c>
      <c r="C2198" s="1">
        <v>45359</v>
      </c>
      <c r="D2198" s="2">
        <v>127408697</v>
      </c>
      <c r="E2198" s="2">
        <v>6270</v>
      </c>
      <c r="G2198" s="2">
        <v>14508851</v>
      </c>
      <c r="H2198" s="2">
        <v>207049</v>
      </c>
      <c r="J2198">
        <v>13</v>
      </c>
      <c r="K2198">
        <v>83</v>
      </c>
      <c r="L2198">
        <v>0</v>
      </c>
      <c r="M2198" t="str">
        <f t="shared" si="34"/>
        <v>After 2020</v>
      </c>
    </row>
    <row r="2199" spans="1:13">
      <c r="A2199" t="s">
        <v>3202</v>
      </c>
      <c r="B2199" t="s">
        <v>313</v>
      </c>
      <c r="C2199" s="1">
        <v>44624</v>
      </c>
      <c r="D2199" s="2">
        <v>222910969</v>
      </c>
      <c r="E2199" s="2">
        <v>42182</v>
      </c>
      <c r="F2199">
        <v>61</v>
      </c>
      <c r="G2199" s="2">
        <v>69332188</v>
      </c>
      <c r="H2199" s="2">
        <v>971738</v>
      </c>
      <c r="I2199" s="2">
        <v>11257489400</v>
      </c>
      <c r="J2199">
        <v>34</v>
      </c>
      <c r="K2199" s="2">
        <v>2464</v>
      </c>
      <c r="L2199">
        <v>1</v>
      </c>
      <c r="M2199" t="str">
        <f t="shared" si="34"/>
        <v>After 2020</v>
      </c>
    </row>
    <row r="2200" spans="1:13" hidden="1">
      <c r="A2200" t="s">
        <v>3203</v>
      </c>
      <c r="B2200" t="s">
        <v>3204</v>
      </c>
      <c r="C2200" s="1">
        <v>45387</v>
      </c>
      <c r="D2200" s="2">
        <v>2279039</v>
      </c>
      <c r="E2200">
        <v>222</v>
      </c>
      <c r="F2200">
        <v>55</v>
      </c>
      <c r="G2200" s="2">
        <v>43379343</v>
      </c>
      <c r="H2200" s="2">
        <v>332023</v>
      </c>
      <c r="I2200" s="2">
        <v>161578600</v>
      </c>
      <c r="J2200">
        <v>1</v>
      </c>
      <c r="L2200">
        <v>0</v>
      </c>
      <c r="M2200" t="str">
        <f t="shared" si="34"/>
        <v>After 2020</v>
      </c>
    </row>
    <row r="2201" spans="1:13" hidden="1">
      <c r="A2201" t="s">
        <v>2408</v>
      </c>
      <c r="B2201" t="s">
        <v>2409</v>
      </c>
      <c r="C2201" s="1">
        <v>42036</v>
      </c>
      <c r="D2201" s="2">
        <v>1532983094</v>
      </c>
      <c r="E2201" s="2">
        <v>116546</v>
      </c>
      <c r="F2201">
        <v>70</v>
      </c>
      <c r="G2201" s="2">
        <v>48109240</v>
      </c>
      <c r="H2201" s="2">
        <v>469999</v>
      </c>
      <c r="I2201" s="2">
        <v>732908886</v>
      </c>
      <c r="J2201">
        <v>216</v>
      </c>
      <c r="L2201">
        <v>0</v>
      </c>
      <c r="M2201" t="str">
        <f t="shared" si="34"/>
        <v>2010-2020</v>
      </c>
    </row>
    <row r="2202" spans="1:13">
      <c r="A2202" t="s">
        <v>3205</v>
      </c>
      <c r="B2202" t="s">
        <v>1949</v>
      </c>
      <c r="C2202" s="1">
        <v>43742</v>
      </c>
      <c r="D2202" s="2">
        <v>666107710</v>
      </c>
      <c r="E2202" s="2">
        <v>127503</v>
      </c>
      <c r="F2202">
        <v>71</v>
      </c>
      <c r="G2202" s="2">
        <v>234005957</v>
      </c>
      <c r="H2202" s="2">
        <v>3231466</v>
      </c>
      <c r="I2202" s="2">
        <v>5185694852</v>
      </c>
      <c r="J2202">
        <v>71</v>
      </c>
      <c r="K2202">
        <v>23</v>
      </c>
      <c r="L2202">
        <v>0</v>
      </c>
      <c r="M2202" t="str">
        <f t="shared" si="34"/>
        <v>2010-2020</v>
      </c>
    </row>
    <row r="2203" spans="1:13">
      <c r="A2203" t="s">
        <v>3206</v>
      </c>
      <c r="B2203" t="s">
        <v>590</v>
      </c>
      <c r="C2203" s="1">
        <v>45078</v>
      </c>
      <c r="D2203" s="2">
        <v>44751795</v>
      </c>
      <c r="E2203" s="2">
        <v>23415</v>
      </c>
      <c r="F2203">
        <v>55</v>
      </c>
      <c r="G2203" s="2">
        <v>21737557</v>
      </c>
      <c r="H2203" s="2">
        <v>277948</v>
      </c>
      <c r="I2203" s="2">
        <v>114732862</v>
      </c>
      <c r="J2203">
        <v>44</v>
      </c>
      <c r="K2203">
        <v>855</v>
      </c>
      <c r="L2203">
        <v>1</v>
      </c>
      <c r="M2203" t="str">
        <f t="shared" si="34"/>
        <v>After 2020</v>
      </c>
    </row>
    <row r="2204" spans="1:13" hidden="1">
      <c r="A2204" t="s">
        <v>3207</v>
      </c>
      <c r="B2204" t="s">
        <v>3208</v>
      </c>
      <c r="C2204" s="1">
        <v>44708</v>
      </c>
      <c r="D2204" s="2">
        <v>285183501</v>
      </c>
      <c r="E2204" s="2">
        <v>28319</v>
      </c>
      <c r="F2204">
        <v>65</v>
      </c>
      <c r="G2204" s="2">
        <v>322857747</v>
      </c>
      <c r="H2204" s="2">
        <v>1566688</v>
      </c>
      <c r="I2204" s="2">
        <v>125822489</v>
      </c>
      <c r="J2204">
        <v>6</v>
      </c>
      <c r="L2204">
        <v>0</v>
      </c>
      <c r="M2204" t="str">
        <f t="shared" si="34"/>
        <v>After 2020</v>
      </c>
    </row>
    <row r="2205" spans="1:13" hidden="1">
      <c r="A2205" t="s">
        <v>3209</v>
      </c>
      <c r="B2205" t="s">
        <v>1332</v>
      </c>
      <c r="C2205" s="1">
        <v>43868</v>
      </c>
      <c r="D2205" s="2">
        <v>407015049</v>
      </c>
      <c r="E2205" s="2">
        <v>116527</v>
      </c>
      <c r="F2205">
        <v>70</v>
      </c>
      <c r="G2205" s="2">
        <v>44157454</v>
      </c>
      <c r="H2205" s="2">
        <v>665741</v>
      </c>
      <c r="I2205" s="2">
        <v>59673227</v>
      </c>
      <c r="J2205">
        <v>30</v>
      </c>
      <c r="L2205">
        <v>1</v>
      </c>
      <c r="M2205" t="str">
        <f t="shared" si="34"/>
        <v>2010-2020</v>
      </c>
    </row>
    <row r="2206" spans="1:13" hidden="1">
      <c r="A2206" t="s">
        <v>3210</v>
      </c>
      <c r="B2206" t="s">
        <v>3211</v>
      </c>
      <c r="C2206" s="1">
        <v>45198</v>
      </c>
      <c r="D2206" s="2">
        <v>209649</v>
      </c>
      <c r="E2206">
        <v>70</v>
      </c>
      <c r="I2206" s="2">
        <v>65658454</v>
      </c>
      <c r="L2206">
        <v>0</v>
      </c>
      <c r="M2206" t="str">
        <f t="shared" si="34"/>
        <v>After 2020</v>
      </c>
    </row>
    <row r="2207" spans="1:13" hidden="1">
      <c r="A2207" t="s">
        <v>3212</v>
      </c>
      <c r="B2207" t="s">
        <v>2140</v>
      </c>
      <c r="C2207" s="1">
        <v>45065</v>
      </c>
      <c r="D2207" s="2">
        <v>142474379</v>
      </c>
      <c r="E2207" s="2">
        <v>25470</v>
      </c>
      <c r="F2207">
        <v>67</v>
      </c>
      <c r="G2207" s="2">
        <v>144774313</v>
      </c>
      <c r="H2207" s="2">
        <v>822345</v>
      </c>
      <c r="J2207">
        <v>8</v>
      </c>
      <c r="L2207">
        <v>1</v>
      </c>
      <c r="M2207" t="str">
        <f t="shared" si="34"/>
        <v>After 2020</v>
      </c>
    </row>
    <row r="2208" spans="1:13">
      <c r="A2208" t="s">
        <v>3213</v>
      </c>
      <c r="B2208" t="s">
        <v>3214</v>
      </c>
      <c r="C2208" s="1">
        <v>42370</v>
      </c>
      <c r="D2208" s="2">
        <v>560774282</v>
      </c>
      <c r="E2208" s="2">
        <v>62305</v>
      </c>
      <c r="F2208">
        <v>68</v>
      </c>
      <c r="G2208" s="2">
        <v>861165099</v>
      </c>
      <c r="H2208" s="2">
        <v>4288539</v>
      </c>
      <c r="I2208" s="2">
        <v>216533242</v>
      </c>
      <c r="J2208">
        <v>38</v>
      </c>
      <c r="K2208">
        <v>36</v>
      </c>
      <c r="L2208">
        <v>0</v>
      </c>
      <c r="M2208" t="str">
        <f t="shared" si="34"/>
        <v>2010-2020</v>
      </c>
    </row>
    <row r="2209" spans="1:13">
      <c r="A2209" t="s">
        <v>3215</v>
      </c>
      <c r="B2209" t="s">
        <v>157</v>
      </c>
      <c r="C2209" s="1">
        <v>45007</v>
      </c>
      <c r="D2209" s="2">
        <v>146680564</v>
      </c>
      <c r="E2209" s="2">
        <v>28883</v>
      </c>
      <c r="F2209">
        <v>62</v>
      </c>
      <c r="G2209" s="2">
        <v>154916805</v>
      </c>
      <c r="H2209" s="2">
        <v>3043720</v>
      </c>
      <c r="I2209" s="2">
        <v>1816865</v>
      </c>
      <c r="J2209">
        <v>8</v>
      </c>
      <c r="K2209">
        <v>14</v>
      </c>
      <c r="L2209">
        <v>0</v>
      </c>
      <c r="M2209" t="str">
        <f t="shared" si="34"/>
        <v>After 2020</v>
      </c>
    </row>
    <row r="2210" spans="1:13" hidden="1">
      <c r="A2210" t="s">
        <v>3216</v>
      </c>
      <c r="B2210" t="s">
        <v>1156</v>
      </c>
      <c r="C2210" s="1">
        <v>42643</v>
      </c>
      <c r="D2210" s="2">
        <v>462055272</v>
      </c>
      <c r="E2210" s="2">
        <v>54302</v>
      </c>
      <c r="F2210">
        <v>71</v>
      </c>
      <c r="G2210" s="2">
        <v>1546120738</v>
      </c>
      <c r="H2210" s="2">
        <v>7974135</v>
      </c>
      <c r="I2210" s="2">
        <v>648582782</v>
      </c>
      <c r="J2210">
        <v>11</v>
      </c>
      <c r="L2210">
        <v>1</v>
      </c>
      <c r="M2210" t="str">
        <f t="shared" si="34"/>
        <v>2010-2020</v>
      </c>
    </row>
    <row r="2211" spans="1:13">
      <c r="A2211" t="s">
        <v>3217</v>
      </c>
      <c r="B2211" t="s">
        <v>531</v>
      </c>
      <c r="C2211" s="1">
        <v>45156</v>
      </c>
      <c r="D2211" s="2">
        <v>114669893</v>
      </c>
      <c r="E2211" s="2">
        <v>39763</v>
      </c>
      <c r="F2211">
        <v>60</v>
      </c>
      <c r="G2211" s="2">
        <v>7212572</v>
      </c>
      <c r="H2211" s="2">
        <v>84826</v>
      </c>
      <c r="I2211" s="2">
        <v>25286791</v>
      </c>
      <c r="J2211">
        <v>2</v>
      </c>
      <c r="K2211">
        <v>10</v>
      </c>
      <c r="L2211">
        <v>1</v>
      </c>
      <c r="M2211" t="str">
        <f t="shared" si="34"/>
        <v>After 2020</v>
      </c>
    </row>
    <row r="2212" spans="1:13" hidden="1">
      <c r="A2212" t="s">
        <v>3218</v>
      </c>
      <c r="B2212" t="s">
        <v>295</v>
      </c>
      <c r="C2212" s="1">
        <v>45205</v>
      </c>
      <c r="D2212" s="2">
        <v>123630149</v>
      </c>
      <c r="E2212" s="2">
        <v>25645</v>
      </c>
      <c r="G2212" s="2">
        <v>18057785</v>
      </c>
      <c r="H2212" s="2">
        <v>239269</v>
      </c>
      <c r="I2212" s="2">
        <v>100624699</v>
      </c>
      <c r="J2212">
        <v>19</v>
      </c>
      <c r="K2212">
        <v>340</v>
      </c>
      <c r="L2212">
        <v>1</v>
      </c>
      <c r="M2212" t="str">
        <f t="shared" si="34"/>
        <v>After 2020</v>
      </c>
    </row>
    <row r="2213" spans="1:13">
      <c r="A2213" t="s">
        <v>3219</v>
      </c>
      <c r="B2213" t="s">
        <v>360</v>
      </c>
      <c r="C2213" s="1">
        <v>42782</v>
      </c>
      <c r="D2213" s="2">
        <v>1430439855</v>
      </c>
      <c r="E2213" s="2">
        <v>150179</v>
      </c>
      <c r="F2213">
        <v>71</v>
      </c>
      <c r="G2213" s="2">
        <v>308045364</v>
      </c>
      <c r="H2213" s="2">
        <v>2768168</v>
      </c>
      <c r="I2213" s="2">
        <v>81779367</v>
      </c>
      <c r="J2213">
        <v>210</v>
      </c>
      <c r="K2213">
        <v>217</v>
      </c>
      <c r="L2213">
        <v>0</v>
      </c>
      <c r="M2213" t="str">
        <f t="shared" si="34"/>
        <v>2010-2020</v>
      </c>
    </row>
    <row r="2214" spans="1:13" hidden="1">
      <c r="A2214" t="s">
        <v>3220</v>
      </c>
      <c r="B2214" t="s">
        <v>3221</v>
      </c>
      <c r="C2214" s="1">
        <v>44350</v>
      </c>
      <c r="D2214" s="2">
        <v>70622319</v>
      </c>
      <c r="E2214" s="2">
        <v>4554</v>
      </c>
      <c r="F2214">
        <v>57</v>
      </c>
      <c r="G2214" s="2">
        <v>764803929</v>
      </c>
      <c r="H2214" s="2">
        <v>5521315</v>
      </c>
      <c r="I2214" s="2">
        <v>27723</v>
      </c>
      <c r="J2214">
        <v>3</v>
      </c>
      <c r="L2214">
        <v>0</v>
      </c>
      <c r="M2214" t="str">
        <f t="shared" si="34"/>
        <v>After 2020</v>
      </c>
    </row>
    <row r="2215" spans="1:13">
      <c r="A2215" t="s">
        <v>3222</v>
      </c>
      <c r="B2215" t="s">
        <v>2047</v>
      </c>
      <c r="C2215" s="1">
        <v>44130</v>
      </c>
      <c r="D2215" s="2">
        <v>384886220</v>
      </c>
      <c r="E2215" s="2">
        <v>32051</v>
      </c>
      <c r="F2215">
        <v>65</v>
      </c>
      <c r="G2215" s="2">
        <v>681682229</v>
      </c>
      <c r="H2215" s="2">
        <v>7966863</v>
      </c>
      <c r="I2215" s="2">
        <v>666762692</v>
      </c>
      <c r="J2215">
        <v>31</v>
      </c>
      <c r="K2215">
        <v>9</v>
      </c>
      <c r="L2215">
        <v>0</v>
      </c>
      <c r="M2215" t="str">
        <f t="shared" si="34"/>
        <v>2010-2020</v>
      </c>
    </row>
    <row r="2216" spans="1:13">
      <c r="A2216" t="s">
        <v>3223</v>
      </c>
      <c r="B2216" t="s">
        <v>47</v>
      </c>
      <c r="C2216" s="1">
        <v>43714</v>
      </c>
      <c r="D2216" s="2">
        <v>622690472</v>
      </c>
      <c r="E2216" s="2">
        <v>108263</v>
      </c>
      <c r="F2216">
        <v>69</v>
      </c>
      <c r="G2216" s="2">
        <v>261237045</v>
      </c>
      <c r="H2216" s="2">
        <v>2753871</v>
      </c>
      <c r="I2216" s="2">
        <v>17207972</v>
      </c>
      <c r="J2216">
        <v>36</v>
      </c>
      <c r="K2216">
        <v>2</v>
      </c>
      <c r="L2216">
        <v>0</v>
      </c>
      <c r="M2216" t="str">
        <f t="shared" si="34"/>
        <v>2010-2020</v>
      </c>
    </row>
    <row r="2217" spans="1:13" hidden="1">
      <c r="A2217" t="s">
        <v>3224</v>
      </c>
      <c r="B2217" t="s">
        <v>1905</v>
      </c>
      <c r="C2217" s="1">
        <v>44383</v>
      </c>
      <c r="D2217" s="2">
        <v>72348363</v>
      </c>
      <c r="E2217" s="2">
        <v>6300</v>
      </c>
      <c r="F2217">
        <v>57</v>
      </c>
      <c r="G2217" s="2">
        <v>717290683</v>
      </c>
      <c r="H2217" s="2">
        <v>6865430</v>
      </c>
      <c r="I2217" s="2">
        <v>90316836</v>
      </c>
      <c r="J2217">
        <v>5</v>
      </c>
      <c r="L2217">
        <v>0</v>
      </c>
      <c r="M2217" t="str">
        <f t="shared" si="34"/>
        <v>After 2020</v>
      </c>
    </row>
    <row r="2218" spans="1:13" hidden="1">
      <c r="A2218" t="s">
        <v>3225</v>
      </c>
      <c r="B2218" t="s">
        <v>295</v>
      </c>
      <c r="C2218" s="1">
        <v>45205</v>
      </c>
      <c r="D2218" s="2">
        <v>81093233</v>
      </c>
      <c r="E2218" s="2">
        <v>34004</v>
      </c>
      <c r="G2218" s="2">
        <v>4234309</v>
      </c>
      <c r="H2218" s="2">
        <v>51965</v>
      </c>
      <c r="I2218" s="2">
        <v>17415834</v>
      </c>
      <c r="J2218">
        <v>7</v>
      </c>
      <c r="K2218">
        <v>1</v>
      </c>
      <c r="L2218">
        <v>1</v>
      </c>
      <c r="M2218" t="str">
        <f t="shared" si="34"/>
        <v>After 2020</v>
      </c>
    </row>
    <row r="2219" spans="1:13">
      <c r="A2219" t="s">
        <v>3226</v>
      </c>
      <c r="B2219" t="s">
        <v>3227</v>
      </c>
      <c r="C2219" s="1">
        <v>41478</v>
      </c>
      <c r="D2219" s="2">
        <v>618671056</v>
      </c>
      <c r="E2219" s="2">
        <v>78822</v>
      </c>
      <c r="F2219">
        <v>71</v>
      </c>
      <c r="G2219" s="2">
        <v>1398550208</v>
      </c>
      <c r="H2219" s="2">
        <v>4470299</v>
      </c>
      <c r="I2219" s="2">
        <v>302300755</v>
      </c>
      <c r="J2219">
        <v>112</v>
      </c>
      <c r="K2219">
        <v>253</v>
      </c>
      <c r="L2219">
        <v>0</v>
      </c>
      <c r="M2219" t="str">
        <f t="shared" si="34"/>
        <v>2010-2020</v>
      </c>
    </row>
    <row r="2220" spans="1:13" hidden="1">
      <c r="A2220" t="s">
        <v>3228</v>
      </c>
      <c r="B2220" t="s">
        <v>3229</v>
      </c>
      <c r="C2220" s="1">
        <v>45009</v>
      </c>
      <c r="D2220" s="2">
        <v>18204</v>
      </c>
      <c r="E2220">
        <v>113</v>
      </c>
      <c r="F2220">
        <v>10</v>
      </c>
      <c r="G2220" s="2">
        <v>327499400</v>
      </c>
      <c r="H2220" s="2">
        <v>256952</v>
      </c>
      <c r="L2220">
        <v>0</v>
      </c>
      <c r="M2220" t="str">
        <f t="shared" si="34"/>
        <v>After 2020</v>
      </c>
    </row>
    <row r="2221" spans="1:13" hidden="1">
      <c r="A2221" t="s">
        <v>3230</v>
      </c>
      <c r="B2221" t="s">
        <v>1011</v>
      </c>
      <c r="C2221" s="1">
        <v>44154</v>
      </c>
      <c r="D2221" s="2">
        <v>286179073</v>
      </c>
      <c r="E2221" s="2">
        <v>51888</v>
      </c>
      <c r="F2221">
        <v>59</v>
      </c>
      <c r="G2221" s="2">
        <v>239078390</v>
      </c>
      <c r="H2221" s="2">
        <v>1790062</v>
      </c>
      <c r="I2221" s="2">
        <v>444068106</v>
      </c>
      <c r="J2221">
        <v>99</v>
      </c>
      <c r="L2221">
        <v>0</v>
      </c>
      <c r="M2221" t="str">
        <f t="shared" si="34"/>
        <v>2010-2020</v>
      </c>
    </row>
    <row r="2222" spans="1:13" hidden="1">
      <c r="A2222" t="s">
        <v>439</v>
      </c>
      <c r="B2222" t="s">
        <v>141</v>
      </c>
      <c r="C2222" s="1">
        <v>45212</v>
      </c>
      <c r="D2222" s="2">
        <v>717849037</v>
      </c>
      <c r="E2222" s="2">
        <v>11199</v>
      </c>
      <c r="J2222">
        <v>16</v>
      </c>
      <c r="L2222">
        <v>1</v>
      </c>
      <c r="M2222" t="str">
        <f t="shared" si="34"/>
        <v>After 2020</v>
      </c>
    </row>
    <row r="2223" spans="1:13" hidden="1">
      <c r="A2223" t="s">
        <v>3231</v>
      </c>
      <c r="B2223" t="s">
        <v>28</v>
      </c>
      <c r="C2223" s="1">
        <v>37558</v>
      </c>
      <c r="D2223" s="2">
        <v>2194935773</v>
      </c>
      <c r="E2223" s="2">
        <v>345119</v>
      </c>
      <c r="F2223">
        <v>75</v>
      </c>
      <c r="G2223" s="2">
        <v>1360758976</v>
      </c>
      <c r="H2223" s="2">
        <v>9892246</v>
      </c>
      <c r="I2223" s="2">
        <v>20114190</v>
      </c>
      <c r="J2223">
        <v>252</v>
      </c>
      <c r="L2223">
        <v>1</v>
      </c>
      <c r="M2223" t="str">
        <f t="shared" si="34"/>
        <v>Before 2010</v>
      </c>
    </row>
    <row r="2224" spans="1:13" hidden="1">
      <c r="A2224" t="s">
        <v>3232</v>
      </c>
      <c r="B2224" t="s">
        <v>617</v>
      </c>
      <c r="C2224" s="1">
        <v>45386</v>
      </c>
      <c r="D2224" s="2">
        <v>20012688</v>
      </c>
      <c r="E2224" s="2">
        <v>2365</v>
      </c>
      <c r="F2224">
        <v>1</v>
      </c>
      <c r="G2224" s="2">
        <v>7298437</v>
      </c>
      <c r="H2224" s="2">
        <v>149857</v>
      </c>
      <c r="J2224">
        <v>51</v>
      </c>
      <c r="K2224">
        <v>21</v>
      </c>
      <c r="L2224">
        <v>0</v>
      </c>
      <c r="M2224" t="str">
        <f t="shared" si="34"/>
        <v>After 2020</v>
      </c>
    </row>
    <row r="2225" spans="1:13" hidden="1">
      <c r="A2225" t="s">
        <v>3233</v>
      </c>
      <c r="B2225" t="s">
        <v>3234</v>
      </c>
      <c r="C2225" s="1">
        <v>45275</v>
      </c>
      <c r="D2225" s="2">
        <v>81494626</v>
      </c>
      <c r="E2225" s="2">
        <v>8973</v>
      </c>
      <c r="G2225" s="2">
        <v>101469</v>
      </c>
      <c r="H2225" s="2">
        <v>1338</v>
      </c>
      <c r="J2225">
        <v>23</v>
      </c>
      <c r="K2225">
        <v>137</v>
      </c>
      <c r="L2225">
        <v>1</v>
      </c>
      <c r="M2225" t="str">
        <f t="shared" si="34"/>
        <v>After 2020</v>
      </c>
    </row>
    <row r="2226" spans="1:13">
      <c r="A2226" t="s">
        <v>3235</v>
      </c>
      <c r="B2226" t="s">
        <v>61</v>
      </c>
      <c r="C2226" s="1">
        <v>44175</v>
      </c>
      <c r="D2226" s="2">
        <v>844790027</v>
      </c>
      <c r="E2226" s="2">
        <v>67136</v>
      </c>
      <c r="F2226">
        <v>72</v>
      </c>
      <c r="G2226" s="2">
        <v>189534686</v>
      </c>
      <c r="H2226" s="2">
        <v>2729881</v>
      </c>
      <c r="I2226" s="2">
        <v>212587391</v>
      </c>
      <c r="J2226">
        <v>167</v>
      </c>
      <c r="K2226">
        <v>131</v>
      </c>
      <c r="L2226">
        <v>0</v>
      </c>
      <c r="M2226" t="str">
        <f t="shared" si="34"/>
        <v>2010-2020</v>
      </c>
    </row>
    <row r="2227" spans="1:13" hidden="1">
      <c r="A2227" t="s">
        <v>3236</v>
      </c>
      <c r="B2227" t="s">
        <v>3237</v>
      </c>
      <c r="C2227" s="1">
        <v>45349</v>
      </c>
      <c r="D2227" s="2">
        <v>69972816</v>
      </c>
      <c r="E2227" s="2">
        <v>5282</v>
      </c>
      <c r="F2227">
        <v>73</v>
      </c>
      <c r="G2227" s="2">
        <v>30283430</v>
      </c>
      <c r="H2227" s="2">
        <v>232134</v>
      </c>
      <c r="J2227">
        <v>13</v>
      </c>
      <c r="L2227">
        <v>1</v>
      </c>
      <c r="M2227" t="str">
        <f t="shared" si="34"/>
        <v>After 2020</v>
      </c>
    </row>
    <row r="2228" spans="1:13">
      <c r="A2228" t="s">
        <v>3238</v>
      </c>
      <c r="B2228" t="s">
        <v>1030</v>
      </c>
      <c r="C2228" s="1">
        <v>44421</v>
      </c>
      <c r="D2228" s="2">
        <v>509445605</v>
      </c>
      <c r="E2228" s="2">
        <v>105947</v>
      </c>
      <c r="F2228">
        <v>68</v>
      </c>
      <c r="G2228" s="2">
        <v>21324881</v>
      </c>
      <c r="H2228" s="2">
        <v>168696</v>
      </c>
      <c r="I2228" s="2">
        <v>16050371</v>
      </c>
      <c r="J2228">
        <v>124</v>
      </c>
      <c r="K2228">
        <v>307</v>
      </c>
      <c r="L2228">
        <v>0</v>
      </c>
      <c r="M2228" t="str">
        <f t="shared" si="34"/>
        <v>After 2020</v>
      </c>
    </row>
    <row r="2229" spans="1:13">
      <c r="A2229" t="s">
        <v>3239</v>
      </c>
      <c r="B2229" t="s">
        <v>444</v>
      </c>
      <c r="C2229" s="1">
        <v>44372</v>
      </c>
      <c r="D2229" s="2">
        <v>596905923</v>
      </c>
      <c r="E2229" s="2">
        <v>83179</v>
      </c>
      <c r="F2229">
        <v>76</v>
      </c>
      <c r="G2229" s="2">
        <v>132634826</v>
      </c>
      <c r="H2229" s="2">
        <v>1011336</v>
      </c>
      <c r="I2229" s="2">
        <v>1408309850</v>
      </c>
      <c r="J2229">
        <v>72</v>
      </c>
      <c r="K2229">
        <v>181</v>
      </c>
      <c r="L2229">
        <v>1</v>
      </c>
      <c r="M2229" t="str">
        <f t="shared" si="34"/>
        <v>After 2020</v>
      </c>
    </row>
    <row r="2230" spans="1:13">
      <c r="A2230" t="s">
        <v>3240</v>
      </c>
      <c r="B2230" t="s">
        <v>295</v>
      </c>
      <c r="C2230" s="1">
        <v>44260</v>
      </c>
      <c r="D2230" s="2">
        <v>383261731</v>
      </c>
      <c r="E2230" s="2">
        <v>94964</v>
      </c>
      <c r="F2230">
        <v>62</v>
      </c>
      <c r="G2230" s="2">
        <v>84527592</v>
      </c>
      <c r="H2230" s="2">
        <v>1340886</v>
      </c>
      <c r="I2230" s="2">
        <v>320457752</v>
      </c>
      <c r="J2230">
        <v>62</v>
      </c>
      <c r="K2230">
        <v>377</v>
      </c>
      <c r="L2230">
        <v>1</v>
      </c>
      <c r="M2230" t="str">
        <f t="shared" si="34"/>
        <v>After 2020</v>
      </c>
    </row>
    <row r="2231" spans="1:13">
      <c r="A2231" t="s">
        <v>3241</v>
      </c>
      <c r="B2231" t="s">
        <v>1770</v>
      </c>
      <c r="C2231" s="1">
        <v>44578</v>
      </c>
      <c r="D2231" s="2">
        <v>190872805</v>
      </c>
      <c r="E2231" s="2">
        <v>102679</v>
      </c>
      <c r="F2231">
        <v>61</v>
      </c>
      <c r="G2231" s="2">
        <v>4804721</v>
      </c>
      <c r="H2231" s="2">
        <v>64070</v>
      </c>
      <c r="I2231" s="2">
        <v>435794732</v>
      </c>
      <c r="J2231">
        <v>44</v>
      </c>
      <c r="K2231">
        <v>1</v>
      </c>
      <c r="L2231">
        <v>0</v>
      </c>
      <c r="M2231" t="str">
        <f t="shared" si="34"/>
        <v>After 2020</v>
      </c>
    </row>
    <row r="2232" spans="1:13" hidden="1">
      <c r="A2232" t="s">
        <v>3242</v>
      </c>
      <c r="B2232" t="s">
        <v>506</v>
      </c>
      <c r="C2232" s="1">
        <v>45444</v>
      </c>
      <c r="D2232" s="2">
        <v>10557337</v>
      </c>
      <c r="E2232">
        <v>393</v>
      </c>
      <c r="F2232">
        <v>72</v>
      </c>
      <c r="G2232" s="2">
        <v>4595134</v>
      </c>
      <c r="H2232" s="2">
        <v>65231</v>
      </c>
      <c r="J2232">
        <v>9</v>
      </c>
      <c r="L2232">
        <v>1</v>
      </c>
      <c r="M2232" t="str">
        <f t="shared" si="34"/>
        <v>After 2020</v>
      </c>
    </row>
    <row r="2233" spans="1:13" hidden="1">
      <c r="A2233" t="s">
        <v>3243</v>
      </c>
      <c r="B2233" t="s">
        <v>466</v>
      </c>
      <c r="C2233" s="1">
        <v>44306</v>
      </c>
      <c r="E2233">
        <v>49</v>
      </c>
      <c r="F2233">
        <v>21</v>
      </c>
      <c r="G2233" s="2">
        <v>833736978</v>
      </c>
      <c r="H2233" s="2">
        <v>1346347</v>
      </c>
      <c r="I2233" s="2">
        <v>1175444</v>
      </c>
      <c r="L2233">
        <v>0</v>
      </c>
      <c r="M2233" t="str">
        <f t="shared" si="34"/>
        <v>After 2020</v>
      </c>
    </row>
    <row r="2234" spans="1:13" hidden="1">
      <c r="A2234" t="s">
        <v>3244</v>
      </c>
      <c r="B2234" t="s">
        <v>3245</v>
      </c>
      <c r="C2234" s="1">
        <v>43003</v>
      </c>
      <c r="D2234" s="2">
        <v>67999897</v>
      </c>
      <c r="E2234" s="2">
        <v>12496</v>
      </c>
      <c r="F2234">
        <v>57</v>
      </c>
      <c r="G2234" s="2">
        <v>665109271</v>
      </c>
      <c r="H2234" s="2">
        <v>3531340</v>
      </c>
      <c r="I2234" s="2">
        <v>594821828</v>
      </c>
      <c r="J2234">
        <v>12</v>
      </c>
      <c r="L2234">
        <v>0</v>
      </c>
      <c r="M2234" t="str">
        <f t="shared" si="34"/>
        <v>2010-2020</v>
      </c>
    </row>
    <row r="2235" spans="1:13">
      <c r="A2235" t="s">
        <v>3246</v>
      </c>
      <c r="B2235" t="s">
        <v>772</v>
      </c>
      <c r="C2235" s="1">
        <v>40909</v>
      </c>
      <c r="D2235" s="2">
        <v>1125407888</v>
      </c>
      <c r="E2235" s="2">
        <v>189848</v>
      </c>
      <c r="F2235">
        <v>73</v>
      </c>
      <c r="G2235" s="2">
        <v>565850053</v>
      </c>
      <c r="H2235" s="2">
        <v>3904912</v>
      </c>
      <c r="I2235" s="2">
        <v>275858975</v>
      </c>
      <c r="J2235">
        <v>149</v>
      </c>
      <c r="K2235">
        <v>206</v>
      </c>
      <c r="L2235">
        <v>1</v>
      </c>
      <c r="M2235" t="str">
        <f t="shared" si="34"/>
        <v>2010-2020</v>
      </c>
    </row>
    <row r="2236" spans="1:13" hidden="1">
      <c r="A2236" t="s">
        <v>3247</v>
      </c>
      <c r="B2236" t="s">
        <v>1355</v>
      </c>
      <c r="C2236" s="1">
        <v>44754</v>
      </c>
      <c r="D2236" s="2">
        <v>308915484</v>
      </c>
      <c r="E2236" s="2">
        <v>18763</v>
      </c>
      <c r="F2236">
        <v>54</v>
      </c>
      <c r="G2236" s="2">
        <v>272892088</v>
      </c>
      <c r="H2236" s="2">
        <v>834521</v>
      </c>
      <c r="I2236" s="2">
        <v>364940104</v>
      </c>
      <c r="J2236">
        <v>6</v>
      </c>
      <c r="L2236">
        <v>0</v>
      </c>
      <c r="M2236" t="str">
        <f t="shared" si="34"/>
        <v>After 2020</v>
      </c>
    </row>
    <row r="2237" spans="1:13" hidden="1">
      <c r="A2237" t="s">
        <v>3248</v>
      </c>
      <c r="B2237" t="s">
        <v>3249</v>
      </c>
      <c r="C2237" s="1">
        <v>42720</v>
      </c>
      <c r="D2237" s="2">
        <v>387389363</v>
      </c>
      <c r="E2237">
        <v>20</v>
      </c>
      <c r="G2237" s="2">
        <v>2020132561</v>
      </c>
      <c r="H2237" s="2">
        <v>11334330</v>
      </c>
      <c r="K2237">
        <v>1</v>
      </c>
      <c r="L2237">
        <v>0</v>
      </c>
      <c r="M2237" t="str">
        <f t="shared" si="34"/>
        <v>2010-2020</v>
      </c>
    </row>
    <row r="2238" spans="1:13">
      <c r="A2238" t="s">
        <v>3250</v>
      </c>
      <c r="B2238" t="s">
        <v>184</v>
      </c>
      <c r="C2238" s="1">
        <v>42328</v>
      </c>
      <c r="D2238" s="2">
        <v>1064599051</v>
      </c>
      <c r="E2238" s="2">
        <v>89443</v>
      </c>
      <c r="F2238">
        <v>66</v>
      </c>
      <c r="G2238" s="2">
        <v>997993764</v>
      </c>
      <c r="H2238" s="2">
        <v>6246988</v>
      </c>
      <c r="I2238" s="2">
        <v>261382201</v>
      </c>
      <c r="J2238">
        <v>116</v>
      </c>
      <c r="K2238">
        <v>108</v>
      </c>
      <c r="L2238">
        <v>0</v>
      </c>
      <c r="M2238" t="str">
        <f t="shared" si="34"/>
        <v>2010-2020</v>
      </c>
    </row>
    <row r="2239" spans="1:13" hidden="1">
      <c r="A2239" t="s">
        <v>3251</v>
      </c>
      <c r="B2239" t="s">
        <v>3252</v>
      </c>
      <c r="C2239" s="1">
        <v>45129</v>
      </c>
      <c r="D2239" s="2">
        <v>14137400</v>
      </c>
      <c r="E2239" s="2">
        <v>1570</v>
      </c>
      <c r="F2239">
        <v>10</v>
      </c>
      <c r="G2239" s="2">
        <v>221422238</v>
      </c>
      <c r="H2239" s="2">
        <v>1754240</v>
      </c>
      <c r="I2239" s="2">
        <v>1172</v>
      </c>
      <c r="L2239">
        <v>0</v>
      </c>
      <c r="M2239" t="str">
        <f t="shared" si="34"/>
        <v>After 2020</v>
      </c>
    </row>
    <row r="2240" spans="1:13">
      <c r="A2240" t="s">
        <v>3253</v>
      </c>
      <c r="B2240" t="s">
        <v>938</v>
      </c>
      <c r="C2240" s="1">
        <v>43126</v>
      </c>
      <c r="D2240" s="2">
        <v>546219103</v>
      </c>
      <c r="E2240" s="2">
        <v>43372</v>
      </c>
      <c r="F2240">
        <v>69</v>
      </c>
      <c r="G2240" s="2">
        <v>1289314157</v>
      </c>
      <c r="H2240" s="2">
        <v>6163163</v>
      </c>
      <c r="I2240" s="2">
        <v>222363120</v>
      </c>
      <c r="J2240">
        <v>21</v>
      </c>
      <c r="K2240">
        <v>102</v>
      </c>
      <c r="L2240">
        <v>0</v>
      </c>
      <c r="M2240" t="str">
        <f t="shared" si="34"/>
        <v>2010-2020</v>
      </c>
    </row>
    <row r="2241" spans="1:13">
      <c r="A2241" t="s">
        <v>3254</v>
      </c>
      <c r="B2241" t="s">
        <v>535</v>
      </c>
      <c r="C2241" s="1">
        <v>41275</v>
      </c>
      <c r="D2241" s="2">
        <v>1327093253</v>
      </c>
      <c r="E2241" s="2">
        <v>188363</v>
      </c>
      <c r="F2241">
        <v>70</v>
      </c>
      <c r="G2241" s="2">
        <v>875568512</v>
      </c>
      <c r="H2241" s="2">
        <v>5009883</v>
      </c>
      <c r="I2241" s="2">
        <v>1196196511</v>
      </c>
      <c r="J2241">
        <v>250</v>
      </c>
      <c r="K2241">
        <v>214</v>
      </c>
      <c r="L2241">
        <v>0</v>
      </c>
      <c r="M2241" t="str">
        <f t="shared" si="34"/>
        <v>2010-2020</v>
      </c>
    </row>
    <row r="2242" spans="1:13">
      <c r="A2242" t="s">
        <v>3255</v>
      </c>
      <c r="B2242" t="s">
        <v>3256</v>
      </c>
      <c r="C2242" s="1">
        <v>43259</v>
      </c>
      <c r="D2242" s="2">
        <v>390529605</v>
      </c>
      <c r="E2242" s="2">
        <v>68181</v>
      </c>
      <c r="F2242">
        <v>67</v>
      </c>
      <c r="G2242" s="2">
        <v>388438653</v>
      </c>
      <c r="H2242" s="2">
        <v>6747169</v>
      </c>
      <c r="I2242" s="2">
        <v>15189209474</v>
      </c>
      <c r="J2242">
        <v>17</v>
      </c>
      <c r="K2242">
        <v>12</v>
      </c>
      <c r="L2242">
        <v>1</v>
      </c>
      <c r="M2242" t="str">
        <f t="shared" si="34"/>
        <v>2010-2020</v>
      </c>
    </row>
    <row r="2243" spans="1:13" hidden="1">
      <c r="A2243" t="s">
        <v>3257</v>
      </c>
      <c r="B2243" t="s">
        <v>3258</v>
      </c>
      <c r="C2243" s="1">
        <v>43298</v>
      </c>
      <c r="D2243" s="2">
        <v>482859077</v>
      </c>
      <c r="E2243" s="2">
        <v>154354</v>
      </c>
      <c r="F2243">
        <v>62</v>
      </c>
      <c r="G2243" s="2">
        <v>550746505</v>
      </c>
      <c r="H2243" s="2">
        <v>4627573</v>
      </c>
      <c r="I2243" s="2">
        <v>3084440795</v>
      </c>
      <c r="J2243">
        <v>58</v>
      </c>
      <c r="L2243">
        <v>0</v>
      </c>
      <c r="M2243" t="str">
        <f t="shared" ref="M2243:M2306" si="35">IF(YEAR(C2243)&lt;2010,"Before 2010",IF(YEAR(C2243)&lt;=2020,"2010-2020","After 2020"))</f>
        <v>2010-2020</v>
      </c>
    </row>
    <row r="2244" spans="1:13" hidden="1">
      <c r="A2244" t="s">
        <v>3259</v>
      </c>
      <c r="B2244" t="s">
        <v>2321</v>
      </c>
      <c r="C2244" s="1">
        <v>44771</v>
      </c>
      <c r="D2244" s="2">
        <v>189588270</v>
      </c>
      <c r="E2244" s="2">
        <v>43837</v>
      </c>
      <c r="F2244">
        <v>72</v>
      </c>
      <c r="G2244" s="2">
        <v>87680985</v>
      </c>
      <c r="H2244" s="2">
        <v>700043</v>
      </c>
      <c r="I2244" s="2">
        <v>432059</v>
      </c>
      <c r="L2244">
        <v>1</v>
      </c>
      <c r="M2244" t="str">
        <f t="shared" si="35"/>
        <v>After 2020</v>
      </c>
    </row>
    <row r="2245" spans="1:13" hidden="1">
      <c r="A2245" t="s">
        <v>3260</v>
      </c>
      <c r="B2245" t="s">
        <v>3261</v>
      </c>
      <c r="C2245" s="1">
        <v>44039</v>
      </c>
      <c r="D2245" s="2">
        <v>289085486</v>
      </c>
      <c r="E2245" s="2">
        <v>76485</v>
      </c>
      <c r="F2245">
        <v>62</v>
      </c>
      <c r="G2245" s="2">
        <v>247178404</v>
      </c>
      <c r="H2245" s="2">
        <v>3983154</v>
      </c>
      <c r="I2245" s="2">
        <v>2184568318</v>
      </c>
      <c r="J2245">
        <v>4</v>
      </c>
      <c r="L2245">
        <v>1</v>
      </c>
      <c r="M2245" t="str">
        <f t="shared" si="35"/>
        <v>2010-2020</v>
      </c>
    </row>
    <row r="2246" spans="1:13" hidden="1">
      <c r="A2246" t="s">
        <v>3262</v>
      </c>
      <c r="B2246" t="s">
        <v>3263</v>
      </c>
      <c r="C2246" s="1">
        <v>41935</v>
      </c>
      <c r="D2246" s="2">
        <v>5484513</v>
      </c>
      <c r="E2246">
        <v>36</v>
      </c>
      <c r="F2246">
        <v>27</v>
      </c>
      <c r="G2246" s="2">
        <v>897454562</v>
      </c>
      <c r="H2246" s="2">
        <v>2811983</v>
      </c>
      <c r="I2246" s="2">
        <v>35885</v>
      </c>
      <c r="L2246">
        <v>0</v>
      </c>
      <c r="M2246" t="str">
        <f t="shared" si="35"/>
        <v>2010-2020</v>
      </c>
    </row>
    <row r="2247" spans="1:13" hidden="1">
      <c r="A2247" t="s">
        <v>3264</v>
      </c>
      <c r="B2247" t="s">
        <v>3265</v>
      </c>
      <c r="C2247" s="1">
        <v>45058</v>
      </c>
      <c r="D2247" s="2">
        <v>119141939</v>
      </c>
      <c r="E2247" s="2">
        <v>46323</v>
      </c>
      <c r="F2247">
        <v>67</v>
      </c>
      <c r="G2247" s="2">
        <v>23993631</v>
      </c>
      <c r="H2247" s="2">
        <v>167659</v>
      </c>
      <c r="I2247" s="2">
        <v>1318558</v>
      </c>
      <c r="J2247">
        <v>21</v>
      </c>
      <c r="L2247">
        <v>0</v>
      </c>
      <c r="M2247" t="str">
        <f t="shared" si="35"/>
        <v>After 2020</v>
      </c>
    </row>
    <row r="2248" spans="1:13">
      <c r="A2248" t="s">
        <v>3266</v>
      </c>
      <c r="B2248" t="s">
        <v>576</v>
      </c>
      <c r="C2248" s="1">
        <v>43314</v>
      </c>
      <c r="D2248" s="2">
        <v>588021470</v>
      </c>
      <c r="E2248" s="2">
        <v>51865</v>
      </c>
      <c r="F2248">
        <v>63</v>
      </c>
      <c r="G2248" s="2">
        <v>1114556086</v>
      </c>
      <c r="H2248" s="2">
        <v>5855578</v>
      </c>
      <c r="I2248" s="2">
        <v>58539891</v>
      </c>
      <c r="J2248">
        <v>20</v>
      </c>
      <c r="K2248">
        <v>36</v>
      </c>
      <c r="L2248">
        <v>0</v>
      </c>
      <c r="M2248" t="str">
        <f t="shared" si="35"/>
        <v>2010-2020</v>
      </c>
    </row>
    <row r="2249" spans="1:13" hidden="1">
      <c r="A2249" t="s">
        <v>3267</v>
      </c>
      <c r="B2249" t="s">
        <v>1565</v>
      </c>
      <c r="C2249" s="1">
        <v>45252</v>
      </c>
      <c r="D2249" s="2">
        <v>54461319</v>
      </c>
      <c r="E2249" s="2">
        <v>3298</v>
      </c>
      <c r="G2249" s="2">
        <v>122509013</v>
      </c>
      <c r="H2249" s="2">
        <v>1256731</v>
      </c>
      <c r="J2249">
        <v>5</v>
      </c>
      <c r="L2249">
        <v>0</v>
      </c>
      <c r="M2249" t="str">
        <f t="shared" si="35"/>
        <v>After 2020</v>
      </c>
    </row>
    <row r="2250" spans="1:13" hidden="1">
      <c r="A2250" t="s">
        <v>3268</v>
      </c>
      <c r="B2250" t="s">
        <v>3269</v>
      </c>
      <c r="C2250" s="1">
        <v>45450</v>
      </c>
      <c r="D2250" s="2">
        <v>1920905</v>
      </c>
      <c r="E2250">
        <v>945</v>
      </c>
      <c r="G2250" s="2">
        <v>78608</v>
      </c>
      <c r="H2250" s="2">
        <v>3629</v>
      </c>
      <c r="J2250">
        <v>33</v>
      </c>
      <c r="K2250">
        <v>2</v>
      </c>
      <c r="L2250">
        <v>0</v>
      </c>
      <c r="M2250" t="str">
        <f t="shared" si="35"/>
        <v>After 2020</v>
      </c>
    </row>
    <row r="2251" spans="1:13">
      <c r="A2251" t="s">
        <v>3270</v>
      </c>
      <c r="B2251" t="s">
        <v>1645</v>
      </c>
      <c r="C2251" s="1">
        <v>43518</v>
      </c>
      <c r="D2251" s="2">
        <v>306221125</v>
      </c>
      <c r="E2251" s="2">
        <v>61432</v>
      </c>
      <c r="F2251">
        <v>58</v>
      </c>
      <c r="G2251" s="2">
        <v>635706453</v>
      </c>
      <c r="H2251" s="2">
        <v>4888312</v>
      </c>
      <c r="I2251" s="2">
        <v>90607937</v>
      </c>
      <c r="J2251">
        <v>50</v>
      </c>
      <c r="K2251">
        <v>102</v>
      </c>
      <c r="L2251">
        <v>1</v>
      </c>
      <c r="M2251" t="str">
        <f t="shared" si="35"/>
        <v>2010-2020</v>
      </c>
    </row>
    <row r="2252" spans="1:13" hidden="1">
      <c r="A2252" t="s">
        <v>3271</v>
      </c>
      <c r="B2252" t="s">
        <v>3272</v>
      </c>
      <c r="C2252" s="1">
        <v>45268</v>
      </c>
      <c r="D2252" s="2">
        <v>70592513</v>
      </c>
      <c r="E2252" s="2">
        <v>10432</v>
      </c>
      <c r="F2252">
        <v>63</v>
      </c>
      <c r="G2252" s="2">
        <v>30034889</v>
      </c>
      <c r="H2252" s="2">
        <v>219547</v>
      </c>
      <c r="J2252">
        <v>25</v>
      </c>
      <c r="L2252">
        <v>0</v>
      </c>
      <c r="M2252" t="str">
        <f t="shared" si="35"/>
        <v>After 2020</v>
      </c>
    </row>
    <row r="2253" spans="1:13" hidden="1">
      <c r="A2253" t="s">
        <v>3273</v>
      </c>
      <c r="B2253" t="s">
        <v>3274</v>
      </c>
      <c r="C2253" s="1">
        <v>45272</v>
      </c>
      <c r="D2253" s="2">
        <v>79782529</v>
      </c>
      <c r="E2253" s="2">
        <v>10849</v>
      </c>
      <c r="G2253" s="2">
        <v>70231783</v>
      </c>
      <c r="H2253" s="2">
        <v>491126</v>
      </c>
      <c r="J2253">
        <v>9</v>
      </c>
      <c r="L2253">
        <v>1</v>
      </c>
      <c r="M2253" t="str">
        <f t="shared" si="35"/>
        <v>After 2020</v>
      </c>
    </row>
    <row r="2254" spans="1:13" hidden="1">
      <c r="A2254" t="s">
        <v>3275</v>
      </c>
      <c r="B2254" t="s">
        <v>3276</v>
      </c>
      <c r="C2254" s="1">
        <v>45394</v>
      </c>
      <c r="D2254" s="2">
        <v>16171953</v>
      </c>
      <c r="E2254" s="2">
        <v>1439</v>
      </c>
      <c r="G2254" s="2">
        <v>6223280</v>
      </c>
      <c r="H2254" s="2">
        <v>200833</v>
      </c>
      <c r="J2254">
        <v>40</v>
      </c>
      <c r="L2254">
        <v>0</v>
      </c>
      <c r="M2254" t="str">
        <f t="shared" si="35"/>
        <v>After 2020</v>
      </c>
    </row>
    <row r="2255" spans="1:13">
      <c r="A2255" t="s">
        <v>3277</v>
      </c>
      <c r="B2255" t="s">
        <v>81</v>
      </c>
      <c r="C2255" s="1">
        <v>41872</v>
      </c>
      <c r="D2255" s="2">
        <v>1465918510</v>
      </c>
      <c r="E2255" s="2">
        <v>110953</v>
      </c>
      <c r="F2255">
        <v>77</v>
      </c>
      <c r="G2255" s="2">
        <v>1101895606</v>
      </c>
      <c r="H2255" s="2">
        <v>9106812</v>
      </c>
      <c r="I2255" s="2">
        <v>285511671</v>
      </c>
      <c r="J2255">
        <v>102</v>
      </c>
      <c r="K2255">
        <v>118</v>
      </c>
      <c r="L2255">
        <v>0</v>
      </c>
      <c r="M2255" t="str">
        <f t="shared" si="35"/>
        <v>2010-2020</v>
      </c>
    </row>
    <row r="2256" spans="1:13">
      <c r="A2256" t="s">
        <v>3278</v>
      </c>
      <c r="B2256" t="s">
        <v>3279</v>
      </c>
      <c r="C2256" s="1">
        <v>44861</v>
      </c>
      <c r="D2256" s="2">
        <v>249199925</v>
      </c>
      <c r="E2256" s="2">
        <v>15573</v>
      </c>
      <c r="F2256">
        <v>68</v>
      </c>
      <c r="G2256" s="2">
        <v>141829637</v>
      </c>
      <c r="H2256" s="2">
        <v>1346158</v>
      </c>
      <c r="I2256" s="2">
        <v>3326289021</v>
      </c>
      <c r="J2256">
        <v>21</v>
      </c>
      <c r="K2256">
        <v>479</v>
      </c>
      <c r="L2256">
        <v>0</v>
      </c>
      <c r="M2256" t="str">
        <f t="shared" si="35"/>
        <v>After 2020</v>
      </c>
    </row>
    <row r="2257" spans="1:13" hidden="1">
      <c r="A2257" t="s">
        <v>3280</v>
      </c>
      <c r="B2257" t="s">
        <v>141</v>
      </c>
      <c r="C2257" s="1">
        <v>44687</v>
      </c>
      <c r="D2257" s="2">
        <v>426904285</v>
      </c>
      <c r="E2257" s="2">
        <v>50219</v>
      </c>
      <c r="F2257">
        <v>71</v>
      </c>
      <c r="G2257" s="2">
        <v>198252709</v>
      </c>
      <c r="H2257" s="2">
        <v>1323047</v>
      </c>
      <c r="I2257" s="2">
        <v>679567159</v>
      </c>
      <c r="J2257">
        <v>15</v>
      </c>
      <c r="L2257">
        <v>0</v>
      </c>
      <c r="M2257" t="str">
        <f t="shared" si="35"/>
        <v>After 2020</v>
      </c>
    </row>
    <row r="2258" spans="1:13" hidden="1">
      <c r="A2258" t="s">
        <v>1294</v>
      </c>
      <c r="B2258" t="s">
        <v>3281</v>
      </c>
      <c r="C2258" s="1">
        <v>41435</v>
      </c>
      <c r="D2258" s="2">
        <v>38260236</v>
      </c>
      <c r="E2258" s="2">
        <v>3255</v>
      </c>
      <c r="F2258">
        <v>55</v>
      </c>
      <c r="G2258" s="2">
        <v>2809354638</v>
      </c>
      <c r="H2258" s="2">
        <v>7825584</v>
      </c>
      <c r="I2258" s="2">
        <v>72165422</v>
      </c>
      <c r="L2258">
        <v>0</v>
      </c>
      <c r="M2258" t="str">
        <f t="shared" si="35"/>
        <v>2010-2020</v>
      </c>
    </row>
    <row r="2259" spans="1:13" hidden="1">
      <c r="A2259" t="s">
        <v>3282</v>
      </c>
      <c r="B2259" t="s">
        <v>2481</v>
      </c>
      <c r="C2259" s="1">
        <v>44651</v>
      </c>
      <c r="D2259" s="2">
        <v>194919563</v>
      </c>
      <c r="E2259" s="2">
        <v>12885</v>
      </c>
      <c r="F2259">
        <v>63</v>
      </c>
      <c r="G2259" s="2">
        <v>459414543</v>
      </c>
      <c r="H2259" s="2">
        <v>1879854</v>
      </c>
      <c r="I2259" s="2">
        <v>61427214</v>
      </c>
      <c r="J2259">
        <v>19</v>
      </c>
      <c r="L2259">
        <v>0</v>
      </c>
      <c r="M2259" t="str">
        <f t="shared" si="35"/>
        <v>After 2020</v>
      </c>
    </row>
    <row r="2260" spans="1:13" hidden="1">
      <c r="A2260" t="s">
        <v>3283</v>
      </c>
      <c r="B2260" t="s">
        <v>3221</v>
      </c>
      <c r="C2260" s="1">
        <v>44054</v>
      </c>
      <c r="D2260" s="2">
        <v>12208412</v>
      </c>
      <c r="E2260" s="2">
        <v>1424</v>
      </c>
      <c r="F2260">
        <v>41</v>
      </c>
      <c r="G2260" s="2">
        <v>135529803</v>
      </c>
      <c r="H2260" s="2">
        <v>1794516</v>
      </c>
      <c r="I2260" s="2">
        <v>278475456</v>
      </c>
      <c r="J2260">
        <v>1</v>
      </c>
      <c r="L2260">
        <v>0</v>
      </c>
      <c r="M2260" t="str">
        <f t="shared" si="35"/>
        <v>2010-2020</v>
      </c>
    </row>
    <row r="2261" spans="1:13" hidden="1">
      <c r="A2261" t="s">
        <v>3284</v>
      </c>
      <c r="B2261" t="s">
        <v>688</v>
      </c>
      <c r="C2261" s="1">
        <v>44258</v>
      </c>
      <c r="D2261" s="2">
        <v>475549122</v>
      </c>
      <c r="E2261" s="2">
        <v>94637</v>
      </c>
      <c r="F2261">
        <v>69</v>
      </c>
      <c r="G2261" s="2">
        <v>259762159</v>
      </c>
      <c r="H2261" s="2">
        <v>2895468</v>
      </c>
      <c r="I2261" s="2">
        <v>628509922</v>
      </c>
      <c r="J2261">
        <v>62</v>
      </c>
      <c r="L2261">
        <v>1</v>
      </c>
      <c r="M2261" t="str">
        <f t="shared" si="35"/>
        <v>After 2020</v>
      </c>
    </row>
    <row r="2262" spans="1:13" hidden="1">
      <c r="A2262" t="s">
        <v>3285</v>
      </c>
      <c r="B2262" t="s">
        <v>1148</v>
      </c>
      <c r="C2262" s="1">
        <v>44999</v>
      </c>
      <c r="D2262" s="2">
        <v>241174958</v>
      </c>
      <c r="E2262" s="2">
        <v>23146</v>
      </c>
      <c r="F2262">
        <v>43</v>
      </c>
      <c r="G2262" s="2">
        <v>146033306</v>
      </c>
      <c r="H2262" s="2">
        <v>697531</v>
      </c>
      <c r="J2262">
        <v>9</v>
      </c>
      <c r="K2262">
        <v>11</v>
      </c>
      <c r="L2262">
        <v>0</v>
      </c>
      <c r="M2262" t="str">
        <f t="shared" si="35"/>
        <v>After 2020</v>
      </c>
    </row>
    <row r="2263" spans="1:13" hidden="1">
      <c r="A2263" t="s">
        <v>3286</v>
      </c>
      <c r="B2263" t="s">
        <v>401</v>
      </c>
      <c r="C2263" s="1">
        <v>45212</v>
      </c>
      <c r="D2263" s="2">
        <v>68785555</v>
      </c>
      <c r="E2263" s="2">
        <v>7360</v>
      </c>
      <c r="G2263" s="2">
        <v>16708048</v>
      </c>
      <c r="H2263" s="2">
        <v>243108</v>
      </c>
      <c r="I2263" s="2">
        <v>63753450</v>
      </c>
      <c r="J2263">
        <v>26</v>
      </c>
      <c r="L2263">
        <v>0</v>
      </c>
      <c r="M2263" t="str">
        <f t="shared" si="35"/>
        <v>After 2020</v>
      </c>
    </row>
    <row r="2264" spans="1:13">
      <c r="A2264" t="s">
        <v>3287</v>
      </c>
      <c r="B2264" t="s">
        <v>3288</v>
      </c>
      <c r="C2264" s="1">
        <v>42796</v>
      </c>
      <c r="D2264" s="2">
        <v>1303452422</v>
      </c>
      <c r="E2264" s="2">
        <v>204110</v>
      </c>
      <c r="F2264">
        <v>74</v>
      </c>
      <c r="G2264" s="2">
        <v>563059238</v>
      </c>
      <c r="H2264" s="2">
        <v>5008418</v>
      </c>
      <c r="I2264" s="2">
        <v>447512595</v>
      </c>
      <c r="J2264">
        <v>87</v>
      </c>
      <c r="K2264" s="2">
        <v>1230</v>
      </c>
      <c r="L2264">
        <v>0</v>
      </c>
      <c r="M2264" t="str">
        <f t="shared" si="35"/>
        <v>2010-2020</v>
      </c>
    </row>
    <row r="2265" spans="1:13" hidden="1">
      <c r="A2265" t="s">
        <v>3289</v>
      </c>
      <c r="B2265" t="s">
        <v>3290</v>
      </c>
      <c r="C2265" s="1">
        <v>44855</v>
      </c>
      <c r="G2265" s="2">
        <v>453903004</v>
      </c>
      <c r="H2265" s="2">
        <v>1010270</v>
      </c>
      <c r="L2265">
        <v>0</v>
      </c>
      <c r="M2265" t="str">
        <f t="shared" si="35"/>
        <v>After 2020</v>
      </c>
    </row>
    <row r="2266" spans="1:13">
      <c r="A2266" t="s">
        <v>3291</v>
      </c>
      <c r="B2266" t="s">
        <v>2004</v>
      </c>
      <c r="C2266" s="1">
        <v>43035</v>
      </c>
      <c r="D2266" s="2">
        <v>590983645</v>
      </c>
      <c r="E2266" s="2">
        <v>89159</v>
      </c>
      <c r="F2266">
        <v>62</v>
      </c>
      <c r="G2266" s="2">
        <v>744579257</v>
      </c>
      <c r="H2266" s="2">
        <v>4504144</v>
      </c>
      <c r="I2266" s="2">
        <v>417482479</v>
      </c>
      <c r="J2266">
        <v>109</v>
      </c>
      <c r="K2266">
        <v>27</v>
      </c>
      <c r="L2266">
        <v>1</v>
      </c>
      <c r="M2266" t="str">
        <f t="shared" si="35"/>
        <v>2010-2020</v>
      </c>
    </row>
    <row r="2267" spans="1:13">
      <c r="A2267" t="s">
        <v>3292</v>
      </c>
      <c r="B2267" t="s">
        <v>367</v>
      </c>
      <c r="C2267" s="1">
        <v>42888</v>
      </c>
      <c r="D2267" s="2">
        <v>635393773</v>
      </c>
      <c r="E2267" s="2">
        <v>56371</v>
      </c>
      <c r="F2267">
        <v>59</v>
      </c>
      <c r="G2267" s="2">
        <v>575220523</v>
      </c>
      <c r="H2267" s="2">
        <v>4408507</v>
      </c>
      <c r="I2267" s="2">
        <v>84632348</v>
      </c>
      <c r="J2267">
        <v>60</v>
      </c>
      <c r="K2267">
        <v>522</v>
      </c>
      <c r="L2267">
        <v>0</v>
      </c>
      <c r="M2267" t="str">
        <f t="shared" si="35"/>
        <v>2010-2020</v>
      </c>
    </row>
    <row r="2268" spans="1:13">
      <c r="A2268" t="s">
        <v>3293</v>
      </c>
      <c r="B2268" t="s">
        <v>2394</v>
      </c>
      <c r="C2268" s="1">
        <v>44226</v>
      </c>
      <c r="D2268" s="2">
        <v>163974630</v>
      </c>
      <c r="E2268" s="2">
        <v>60031</v>
      </c>
      <c r="F2268">
        <v>64</v>
      </c>
      <c r="G2268" s="2">
        <v>109858521</v>
      </c>
      <c r="H2268" s="2">
        <v>915546</v>
      </c>
      <c r="I2268" s="2">
        <v>48854928</v>
      </c>
      <c r="J2268">
        <v>23</v>
      </c>
      <c r="K2268">
        <v>2</v>
      </c>
      <c r="L2268">
        <v>1</v>
      </c>
      <c r="M2268" t="str">
        <f t="shared" si="35"/>
        <v>After 2020</v>
      </c>
    </row>
    <row r="2269" spans="1:13" hidden="1">
      <c r="A2269" t="s">
        <v>3294</v>
      </c>
      <c r="B2269" t="s">
        <v>3295</v>
      </c>
      <c r="C2269" s="1">
        <v>43931</v>
      </c>
      <c r="D2269" s="2">
        <v>457933102</v>
      </c>
      <c r="E2269" s="2">
        <v>152115</v>
      </c>
      <c r="F2269">
        <v>76</v>
      </c>
      <c r="G2269" s="2">
        <v>161335622</v>
      </c>
      <c r="H2269" s="2">
        <v>1716915</v>
      </c>
      <c r="I2269" s="2">
        <v>521061584</v>
      </c>
      <c r="J2269">
        <v>29</v>
      </c>
      <c r="L2269">
        <v>0</v>
      </c>
      <c r="M2269" t="str">
        <f t="shared" si="35"/>
        <v>2010-2020</v>
      </c>
    </row>
    <row r="2270" spans="1:13" hidden="1">
      <c r="A2270" t="s">
        <v>3296</v>
      </c>
      <c r="B2270" t="s">
        <v>3297</v>
      </c>
      <c r="C2270" s="1">
        <v>43944</v>
      </c>
      <c r="D2270" s="2">
        <v>270944683</v>
      </c>
      <c r="E2270" s="2">
        <v>6608</v>
      </c>
      <c r="G2270" s="2">
        <v>996737706</v>
      </c>
      <c r="H2270" s="2">
        <v>4480282</v>
      </c>
      <c r="I2270" s="2">
        <v>102989</v>
      </c>
      <c r="L2270">
        <v>0</v>
      </c>
      <c r="M2270" t="str">
        <f t="shared" si="35"/>
        <v>2010-2020</v>
      </c>
    </row>
    <row r="2271" spans="1:13">
      <c r="A2271" t="s">
        <v>3298</v>
      </c>
      <c r="B2271" t="s">
        <v>258</v>
      </c>
      <c r="C2271" s="1">
        <v>38353</v>
      </c>
      <c r="D2271" s="2">
        <v>1631152967</v>
      </c>
      <c r="E2271" s="2">
        <v>261693</v>
      </c>
      <c r="F2271">
        <v>80</v>
      </c>
      <c r="G2271" s="2">
        <v>1663636127</v>
      </c>
      <c r="H2271" s="2">
        <v>9345192</v>
      </c>
      <c r="I2271" s="2">
        <v>2939466349</v>
      </c>
      <c r="J2271">
        <v>261</v>
      </c>
      <c r="K2271">
        <v>434</v>
      </c>
      <c r="L2271">
        <v>0</v>
      </c>
      <c r="M2271" t="str">
        <f t="shared" si="35"/>
        <v>Before 2010</v>
      </c>
    </row>
    <row r="2272" spans="1:13" hidden="1">
      <c r="A2272" t="s">
        <v>3299</v>
      </c>
      <c r="B2272" t="s">
        <v>3300</v>
      </c>
      <c r="C2272" s="1">
        <v>44811</v>
      </c>
      <c r="D2272" s="2">
        <v>191425175</v>
      </c>
      <c r="E2272" s="2">
        <v>26630</v>
      </c>
      <c r="F2272">
        <v>62</v>
      </c>
      <c r="G2272" s="2">
        <v>271219300</v>
      </c>
      <c r="H2272" s="2">
        <v>2855968</v>
      </c>
      <c r="I2272" s="2">
        <v>662260750</v>
      </c>
      <c r="J2272">
        <v>21</v>
      </c>
      <c r="L2272">
        <v>0</v>
      </c>
      <c r="M2272" t="str">
        <f t="shared" si="35"/>
        <v>After 2020</v>
      </c>
    </row>
    <row r="2273" spans="1:13" hidden="1">
      <c r="A2273" t="s">
        <v>3301</v>
      </c>
      <c r="B2273" t="s">
        <v>487</v>
      </c>
      <c r="C2273" s="1">
        <v>45373</v>
      </c>
      <c r="D2273" s="2">
        <v>50962805</v>
      </c>
      <c r="E2273">
        <v>12</v>
      </c>
      <c r="J2273">
        <v>2</v>
      </c>
      <c r="L2273">
        <v>0</v>
      </c>
      <c r="M2273" t="str">
        <f t="shared" si="35"/>
        <v>After 2020</v>
      </c>
    </row>
    <row r="2274" spans="1:13" hidden="1">
      <c r="A2274" t="s">
        <v>3302</v>
      </c>
      <c r="B2274" t="s">
        <v>3303</v>
      </c>
      <c r="C2274" s="1">
        <v>44897</v>
      </c>
      <c r="D2274" s="2">
        <v>415357981</v>
      </c>
      <c r="E2274" s="2">
        <v>14918</v>
      </c>
      <c r="F2274">
        <v>74</v>
      </c>
      <c r="G2274" s="2">
        <v>201860884</v>
      </c>
      <c r="H2274" s="2">
        <v>912928</v>
      </c>
      <c r="I2274" s="2">
        <v>1171868533</v>
      </c>
      <c r="J2274">
        <v>8</v>
      </c>
      <c r="L2274">
        <v>0</v>
      </c>
      <c r="M2274" t="str">
        <f t="shared" si="35"/>
        <v>After 2020</v>
      </c>
    </row>
    <row r="2275" spans="1:13">
      <c r="A2275" t="s">
        <v>3304</v>
      </c>
      <c r="B2275" t="s">
        <v>449</v>
      </c>
      <c r="C2275" s="1">
        <v>43889</v>
      </c>
      <c r="D2275" s="2">
        <v>289652584</v>
      </c>
      <c r="E2275" s="2">
        <v>93481</v>
      </c>
      <c r="F2275">
        <v>63</v>
      </c>
      <c r="G2275" s="2">
        <v>310518713</v>
      </c>
      <c r="H2275" s="2">
        <v>1797173</v>
      </c>
      <c r="I2275" s="2">
        <v>40742074</v>
      </c>
      <c r="J2275">
        <v>35</v>
      </c>
      <c r="K2275">
        <v>123</v>
      </c>
      <c r="L2275">
        <v>1</v>
      </c>
      <c r="M2275" t="str">
        <f t="shared" si="35"/>
        <v>2010-2020</v>
      </c>
    </row>
    <row r="2276" spans="1:13">
      <c r="A2276" t="s">
        <v>3305</v>
      </c>
      <c r="B2276" t="s">
        <v>221</v>
      </c>
      <c r="C2276" s="1">
        <v>42888</v>
      </c>
      <c r="D2276" s="2">
        <v>807802864</v>
      </c>
      <c r="E2276" s="2">
        <v>93613</v>
      </c>
      <c r="F2276">
        <v>78</v>
      </c>
      <c r="G2276" s="2">
        <v>576510087</v>
      </c>
      <c r="H2276" s="2">
        <v>2093903</v>
      </c>
      <c r="I2276" s="2">
        <v>42065642</v>
      </c>
      <c r="J2276">
        <v>55</v>
      </c>
      <c r="K2276">
        <v>49</v>
      </c>
      <c r="L2276">
        <v>0</v>
      </c>
      <c r="M2276" t="str">
        <f t="shared" si="35"/>
        <v>2010-2020</v>
      </c>
    </row>
    <row r="2277" spans="1:13">
      <c r="A2277" t="s">
        <v>3306</v>
      </c>
      <c r="B2277" t="s">
        <v>1262</v>
      </c>
      <c r="C2277" s="1">
        <v>44400</v>
      </c>
      <c r="D2277" s="2">
        <v>143447350</v>
      </c>
      <c r="E2277" s="2">
        <v>22233</v>
      </c>
      <c r="F2277">
        <v>60</v>
      </c>
      <c r="G2277" s="2">
        <v>95029099</v>
      </c>
      <c r="H2277" s="2">
        <v>693003</v>
      </c>
      <c r="I2277" s="2">
        <v>15893357</v>
      </c>
      <c r="J2277">
        <v>2</v>
      </c>
      <c r="K2277">
        <v>83</v>
      </c>
      <c r="L2277">
        <v>0</v>
      </c>
      <c r="M2277" t="str">
        <f t="shared" si="35"/>
        <v>After 2020</v>
      </c>
    </row>
    <row r="2278" spans="1:13" hidden="1">
      <c r="A2278" t="s">
        <v>3307</v>
      </c>
      <c r="B2278" t="s">
        <v>141</v>
      </c>
      <c r="C2278" s="1">
        <v>45212</v>
      </c>
      <c r="D2278" s="2">
        <v>144801283</v>
      </c>
      <c r="E2278" s="2">
        <v>20979</v>
      </c>
      <c r="F2278">
        <v>73</v>
      </c>
      <c r="G2278" s="2">
        <v>33000813</v>
      </c>
      <c r="H2278" s="2">
        <v>284943</v>
      </c>
      <c r="I2278" s="2">
        <v>7437994</v>
      </c>
      <c r="J2278">
        <v>18</v>
      </c>
      <c r="L2278">
        <v>1</v>
      </c>
      <c r="M2278" t="str">
        <f t="shared" si="35"/>
        <v>After 2020</v>
      </c>
    </row>
    <row r="2279" spans="1:13" hidden="1">
      <c r="A2279" t="s">
        <v>3308</v>
      </c>
      <c r="B2279" t="s">
        <v>3309</v>
      </c>
      <c r="C2279" s="1">
        <v>45064</v>
      </c>
      <c r="D2279" s="2">
        <v>107435709</v>
      </c>
      <c r="E2279" s="2">
        <v>18457</v>
      </c>
      <c r="F2279">
        <v>60</v>
      </c>
      <c r="G2279" s="2">
        <v>18349123</v>
      </c>
      <c r="H2279" s="2">
        <v>218523</v>
      </c>
      <c r="I2279" s="2">
        <v>79827003</v>
      </c>
      <c r="J2279">
        <v>52</v>
      </c>
      <c r="L2279">
        <v>0</v>
      </c>
      <c r="M2279" t="str">
        <f t="shared" si="35"/>
        <v>After 2020</v>
      </c>
    </row>
    <row r="2280" spans="1:13" hidden="1">
      <c r="A2280" t="s">
        <v>3310</v>
      </c>
      <c r="B2280" t="s">
        <v>3311</v>
      </c>
      <c r="C2280" s="1">
        <v>45112</v>
      </c>
      <c r="D2280" s="2">
        <v>65617109</v>
      </c>
      <c r="E2280" s="2">
        <v>7487</v>
      </c>
      <c r="F2280">
        <v>61</v>
      </c>
      <c r="G2280" s="2">
        <v>189591521</v>
      </c>
      <c r="H2280" s="2">
        <v>578345</v>
      </c>
      <c r="I2280" s="2">
        <v>33073512</v>
      </c>
      <c r="J2280">
        <v>1</v>
      </c>
      <c r="L2280">
        <v>0</v>
      </c>
      <c r="M2280" t="str">
        <f t="shared" si="35"/>
        <v>After 2020</v>
      </c>
    </row>
    <row r="2281" spans="1:13" hidden="1">
      <c r="A2281" t="s">
        <v>3312</v>
      </c>
      <c r="B2281" t="s">
        <v>3313</v>
      </c>
      <c r="C2281" s="1">
        <v>45065</v>
      </c>
      <c r="D2281" s="2">
        <v>79621215</v>
      </c>
      <c r="E2281" s="2">
        <v>31102</v>
      </c>
      <c r="F2281">
        <v>70</v>
      </c>
      <c r="G2281" s="2">
        <v>87320948</v>
      </c>
      <c r="H2281" s="2">
        <v>873405</v>
      </c>
      <c r="J2281">
        <v>20</v>
      </c>
      <c r="K2281">
        <v>2</v>
      </c>
      <c r="L2281">
        <v>0</v>
      </c>
      <c r="M2281" t="str">
        <f t="shared" si="35"/>
        <v>After 2020</v>
      </c>
    </row>
    <row r="2282" spans="1:13" hidden="1">
      <c r="A2282" t="s">
        <v>62</v>
      </c>
      <c r="B2282" t="s">
        <v>63</v>
      </c>
      <c r="C2282" s="1">
        <v>45184</v>
      </c>
      <c r="D2282" s="2">
        <v>1256101755</v>
      </c>
      <c r="E2282" s="2">
        <v>3984</v>
      </c>
      <c r="J2282">
        <v>109</v>
      </c>
      <c r="L2282">
        <v>0</v>
      </c>
      <c r="M2282" t="str">
        <f t="shared" si="35"/>
        <v>After 2020</v>
      </c>
    </row>
    <row r="2283" spans="1:13" hidden="1">
      <c r="A2283" t="s">
        <v>3314</v>
      </c>
      <c r="B2283" t="s">
        <v>3315</v>
      </c>
      <c r="C2283" s="1">
        <v>45226</v>
      </c>
      <c r="D2283" s="2">
        <v>7178040</v>
      </c>
      <c r="E2283" s="2">
        <v>1181</v>
      </c>
      <c r="G2283" s="2">
        <v>9465691</v>
      </c>
      <c r="H2283" s="2">
        <v>61294</v>
      </c>
      <c r="I2283" s="2">
        <v>470202643</v>
      </c>
      <c r="L2283">
        <v>1</v>
      </c>
      <c r="M2283" t="str">
        <f t="shared" si="35"/>
        <v>After 2020</v>
      </c>
    </row>
    <row r="2284" spans="1:13" hidden="1">
      <c r="A2284" t="s">
        <v>1974</v>
      </c>
      <c r="B2284" t="s">
        <v>92</v>
      </c>
      <c r="C2284" s="1">
        <v>41530</v>
      </c>
      <c r="D2284" s="2">
        <v>2544489950</v>
      </c>
      <c r="E2284" s="2">
        <v>113315</v>
      </c>
      <c r="F2284">
        <v>74</v>
      </c>
      <c r="G2284" s="2">
        <v>184351951</v>
      </c>
      <c r="H2284" s="2">
        <v>1963267</v>
      </c>
      <c r="I2284" s="2">
        <v>1691376898</v>
      </c>
      <c r="J2284">
        <v>142</v>
      </c>
      <c r="L2284">
        <v>0</v>
      </c>
      <c r="M2284" t="str">
        <f t="shared" si="35"/>
        <v>2010-2020</v>
      </c>
    </row>
    <row r="2285" spans="1:13">
      <c r="A2285" t="s">
        <v>3316</v>
      </c>
      <c r="B2285" t="s">
        <v>324</v>
      </c>
      <c r="C2285" s="1">
        <v>42171</v>
      </c>
      <c r="D2285" s="2">
        <v>1046848265</v>
      </c>
      <c r="E2285" s="2">
        <v>137023</v>
      </c>
      <c r="F2285">
        <v>68</v>
      </c>
      <c r="G2285" s="2">
        <v>585020723</v>
      </c>
      <c r="H2285" s="2">
        <v>3442407</v>
      </c>
      <c r="I2285" s="2">
        <v>405625969</v>
      </c>
      <c r="J2285">
        <v>129</v>
      </c>
      <c r="K2285">
        <v>87</v>
      </c>
      <c r="L2285">
        <v>0</v>
      </c>
      <c r="M2285" t="str">
        <f t="shared" si="35"/>
        <v>2010-2020</v>
      </c>
    </row>
    <row r="2286" spans="1:13">
      <c r="A2286" t="s">
        <v>3317</v>
      </c>
      <c r="B2286" t="s">
        <v>449</v>
      </c>
      <c r="C2286" s="1">
        <v>43377</v>
      </c>
      <c r="D2286" s="2">
        <v>428009373</v>
      </c>
      <c r="E2286" s="2">
        <v>99524</v>
      </c>
      <c r="F2286">
        <v>65</v>
      </c>
      <c r="G2286" s="2">
        <v>503301861</v>
      </c>
      <c r="H2286" s="2">
        <v>3383825</v>
      </c>
      <c r="I2286" s="2">
        <v>46571795</v>
      </c>
      <c r="J2286">
        <v>27</v>
      </c>
      <c r="K2286">
        <v>86</v>
      </c>
      <c r="L2286">
        <v>1</v>
      </c>
      <c r="M2286" t="str">
        <f t="shared" si="35"/>
        <v>2010-2020</v>
      </c>
    </row>
    <row r="2287" spans="1:13" hidden="1">
      <c r="A2287" t="s">
        <v>3318</v>
      </c>
      <c r="B2287" t="s">
        <v>3319</v>
      </c>
      <c r="C2287" s="1">
        <v>45251</v>
      </c>
      <c r="D2287" s="2">
        <v>272261201</v>
      </c>
      <c r="E2287">
        <v>871</v>
      </c>
      <c r="J2287">
        <v>2</v>
      </c>
      <c r="L2287">
        <v>0</v>
      </c>
      <c r="M2287" t="str">
        <f t="shared" si="35"/>
        <v>After 2020</v>
      </c>
    </row>
    <row r="2288" spans="1:13" hidden="1">
      <c r="A2288" t="s">
        <v>3320</v>
      </c>
      <c r="B2288" t="s">
        <v>1217</v>
      </c>
      <c r="C2288" s="1">
        <v>44160</v>
      </c>
      <c r="D2288" s="2">
        <v>401104048</v>
      </c>
      <c r="E2288" s="2">
        <v>42742</v>
      </c>
      <c r="F2288">
        <v>66</v>
      </c>
      <c r="G2288" s="2">
        <v>458776041</v>
      </c>
      <c r="H2288" s="2">
        <v>3332448</v>
      </c>
      <c r="I2288" s="2">
        <v>718042201</v>
      </c>
      <c r="J2288">
        <v>82</v>
      </c>
      <c r="L2288">
        <v>0</v>
      </c>
      <c r="M2288" t="str">
        <f t="shared" si="35"/>
        <v>2010-2020</v>
      </c>
    </row>
    <row r="2289" spans="1:13">
      <c r="A2289" t="s">
        <v>3321</v>
      </c>
      <c r="B2289" t="s">
        <v>2307</v>
      </c>
      <c r="C2289" s="1">
        <v>41275</v>
      </c>
      <c r="D2289" s="2">
        <v>751508028</v>
      </c>
      <c r="E2289" s="2">
        <v>76654</v>
      </c>
      <c r="F2289">
        <v>74</v>
      </c>
      <c r="G2289" s="2">
        <v>2243582425</v>
      </c>
      <c r="H2289" s="2">
        <v>6525279</v>
      </c>
      <c r="I2289" s="2">
        <v>240862996</v>
      </c>
      <c r="J2289">
        <v>46</v>
      </c>
      <c r="K2289">
        <v>8</v>
      </c>
      <c r="L2289">
        <v>0</v>
      </c>
      <c r="M2289" t="str">
        <f t="shared" si="35"/>
        <v>2010-2020</v>
      </c>
    </row>
    <row r="2290" spans="1:13" hidden="1">
      <c r="A2290" t="s">
        <v>3322</v>
      </c>
      <c r="B2290" t="s">
        <v>3323</v>
      </c>
      <c r="C2290" s="1">
        <v>44938</v>
      </c>
      <c r="D2290" s="2">
        <v>149801910</v>
      </c>
      <c r="E2290" s="2">
        <v>10235</v>
      </c>
      <c r="F2290">
        <v>58</v>
      </c>
      <c r="G2290" s="2">
        <v>296057090</v>
      </c>
      <c r="H2290" s="2">
        <v>899154</v>
      </c>
      <c r="J2290">
        <v>4</v>
      </c>
      <c r="L2290">
        <v>0</v>
      </c>
      <c r="M2290" t="str">
        <f t="shared" si="35"/>
        <v>After 2020</v>
      </c>
    </row>
    <row r="2291" spans="1:13">
      <c r="A2291" t="s">
        <v>3324</v>
      </c>
      <c r="B2291" t="s">
        <v>3325</v>
      </c>
      <c r="C2291" s="1">
        <v>45149</v>
      </c>
      <c r="D2291" s="2">
        <v>105178211</v>
      </c>
      <c r="E2291" s="2">
        <v>40300</v>
      </c>
      <c r="F2291">
        <v>70</v>
      </c>
      <c r="G2291" s="2">
        <v>329644</v>
      </c>
      <c r="H2291" s="2">
        <v>6449</v>
      </c>
      <c r="I2291" s="2">
        <v>11685263</v>
      </c>
      <c r="J2291">
        <v>33</v>
      </c>
      <c r="K2291">
        <v>358</v>
      </c>
      <c r="L2291">
        <v>0</v>
      </c>
      <c r="M2291" t="str">
        <f t="shared" si="35"/>
        <v>After 2020</v>
      </c>
    </row>
    <row r="2292" spans="1:13" hidden="1">
      <c r="A2292" t="s">
        <v>3326</v>
      </c>
      <c r="B2292" t="s">
        <v>3327</v>
      </c>
      <c r="C2292" s="1">
        <v>44736</v>
      </c>
      <c r="D2292" s="2">
        <v>10762</v>
      </c>
      <c r="E2292">
        <v>5</v>
      </c>
      <c r="F2292">
        <v>4</v>
      </c>
      <c r="G2292" s="2">
        <v>20819326</v>
      </c>
      <c r="H2292" s="2">
        <v>318193</v>
      </c>
      <c r="I2292" s="2">
        <v>274491219</v>
      </c>
      <c r="L2292">
        <v>0</v>
      </c>
      <c r="M2292" t="str">
        <f t="shared" si="35"/>
        <v>After 2020</v>
      </c>
    </row>
    <row r="2293" spans="1:13" hidden="1">
      <c r="A2293" t="s">
        <v>3328</v>
      </c>
      <c r="B2293" t="s">
        <v>295</v>
      </c>
      <c r="C2293" s="1">
        <v>43631</v>
      </c>
      <c r="D2293" s="2">
        <v>970219741</v>
      </c>
      <c r="E2293" s="2">
        <v>180650</v>
      </c>
      <c r="F2293">
        <v>70</v>
      </c>
      <c r="G2293" s="2">
        <v>243075035</v>
      </c>
      <c r="H2293" s="2">
        <v>2053120</v>
      </c>
      <c r="I2293" s="2">
        <v>371952869</v>
      </c>
      <c r="K2293">
        <v>184</v>
      </c>
      <c r="L2293">
        <v>1</v>
      </c>
      <c r="M2293" t="str">
        <f t="shared" si="35"/>
        <v>2010-2020</v>
      </c>
    </row>
    <row r="2294" spans="1:13" hidden="1">
      <c r="A2294" t="s">
        <v>3329</v>
      </c>
      <c r="B2294" t="s">
        <v>141</v>
      </c>
      <c r="C2294" s="1">
        <v>45212</v>
      </c>
      <c r="D2294" s="2">
        <v>118835954</v>
      </c>
      <c r="E2294" s="2">
        <v>23373</v>
      </c>
      <c r="G2294" s="2">
        <v>29487901</v>
      </c>
      <c r="H2294" s="2">
        <v>386863</v>
      </c>
      <c r="I2294" s="2">
        <v>37952552</v>
      </c>
      <c r="J2294">
        <v>5</v>
      </c>
      <c r="L2294">
        <v>1</v>
      </c>
      <c r="M2294" t="str">
        <f t="shared" si="35"/>
        <v>After 2020</v>
      </c>
    </row>
    <row r="2295" spans="1:13" hidden="1">
      <c r="A2295" t="s">
        <v>3330</v>
      </c>
      <c r="B2295" t="s">
        <v>3331</v>
      </c>
      <c r="C2295" s="1">
        <v>44903</v>
      </c>
      <c r="D2295" s="2">
        <v>468162</v>
      </c>
      <c r="E2295">
        <v>114</v>
      </c>
      <c r="F2295">
        <v>24</v>
      </c>
      <c r="I2295" s="2">
        <v>183524720</v>
      </c>
      <c r="L2295">
        <v>0</v>
      </c>
      <c r="M2295" t="str">
        <f t="shared" si="35"/>
        <v>After 2020</v>
      </c>
    </row>
    <row r="2296" spans="1:13" hidden="1">
      <c r="A2296" t="s">
        <v>3332</v>
      </c>
      <c r="B2296" t="s">
        <v>3333</v>
      </c>
      <c r="C2296" s="1">
        <v>43119</v>
      </c>
      <c r="G2296" s="2">
        <v>1719584760</v>
      </c>
      <c r="H2296" s="2">
        <v>5092330</v>
      </c>
      <c r="L2296">
        <v>0</v>
      </c>
      <c r="M2296" t="str">
        <f t="shared" si="35"/>
        <v>2010-2020</v>
      </c>
    </row>
    <row r="2297" spans="1:13" hidden="1">
      <c r="A2297" t="s">
        <v>3334</v>
      </c>
      <c r="B2297" t="s">
        <v>3335</v>
      </c>
      <c r="C2297" s="1">
        <v>45338</v>
      </c>
      <c r="D2297" s="2">
        <v>35712909</v>
      </c>
      <c r="E2297" s="2">
        <v>4573</v>
      </c>
      <c r="F2297">
        <v>5</v>
      </c>
      <c r="G2297" s="2">
        <v>1679600</v>
      </c>
      <c r="H2297" s="2">
        <v>30410</v>
      </c>
      <c r="J2297">
        <v>29</v>
      </c>
      <c r="K2297">
        <v>69</v>
      </c>
      <c r="L2297">
        <v>0</v>
      </c>
      <c r="M2297" t="str">
        <f t="shared" si="35"/>
        <v>After 2020</v>
      </c>
    </row>
    <row r="2298" spans="1:13" hidden="1">
      <c r="A2298" t="s">
        <v>3336</v>
      </c>
      <c r="B2298" t="s">
        <v>3337</v>
      </c>
      <c r="C2298" s="1">
        <v>44510</v>
      </c>
      <c r="D2298" s="2">
        <v>72962855</v>
      </c>
      <c r="E2298">
        <v>169</v>
      </c>
      <c r="G2298" s="2">
        <v>636965758</v>
      </c>
      <c r="H2298" s="2">
        <v>3951628</v>
      </c>
      <c r="L2298">
        <v>0</v>
      </c>
      <c r="M2298" t="str">
        <f t="shared" si="35"/>
        <v>After 2020</v>
      </c>
    </row>
    <row r="2299" spans="1:13">
      <c r="A2299" t="s">
        <v>519</v>
      </c>
      <c r="B2299" t="s">
        <v>123</v>
      </c>
      <c r="C2299" s="1">
        <v>42797</v>
      </c>
      <c r="D2299" s="2">
        <v>1322385342</v>
      </c>
      <c r="E2299" s="2">
        <v>109373</v>
      </c>
      <c r="F2299">
        <v>70</v>
      </c>
      <c r="G2299" s="2">
        <v>696425510</v>
      </c>
      <c r="H2299" s="2">
        <v>4649149</v>
      </c>
      <c r="I2299" s="2">
        <v>223959183</v>
      </c>
      <c r="J2299">
        <v>37</v>
      </c>
      <c r="K2299">
        <v>6</v>
      </c>
      <c r="L2299">
        <v>0</v>
      </c>
      <c r="M2299" t="str">
        <f t="shared" si="35"/>
        <v>2010-2020</v>
      </c>
    </row>
    <row r="2300" spans="1:13">
      <c r="A2300" t="s">
        <v>3338</v>
      </c>
      <c r="B2300" t="s">
        <v>879</v>
      </c>
      <c r="C2300" s="1">
        <v>42286</v>
      </c>
      <c r="D2300" s="2">
        <v>550049388</v>
      </c>
      <c r="E2300" s="2">
        <v>48598</v>
      </c>
      <c r="F2300">
        <v>56</v>
      </c>
      <c r="G2300" s="2">
        <v>592341655</v>
      </c>
      <c r="H2300" s="2">
        <v>4553103</v>
      </c>
      <c r="I2300" s="2">
        <v>489745782</v>
      </c>
      <c r="J2300">
        <v>53</v>
      </c>
      <c r="K2300">
        <v>4</v>
      </c>
      <c r="L2300">
        <v>0</v>
      </c>
      <c r="M2300" t="str">
        <f t="shared" si="35"/>
        <v>2010-2020</v>
      </c>
    </row>
    <row r="2301" spans="1:13">
      <c r="A2301" t="s">
        <v>3339</v>
      </c>
      <c r="B2301" t="s">
        <v>3340</v>
      </c>
      <c r="C2301" s="1">
        <v>45058</v>
      </c>
      <c r="D2301" s="2">
        <v>100186243</v>
      </c>
      <c r="E2301" s="2">
        <v>26116</v>
      </c>
      <c r="F2301">
        <v>70</v>
      </c>
      <c r="G2301" s="2">
        <v>20691770</v>
      </c>
      <c r="H2301" s="2">
        <v>124812</v>
      </c>
      <c r="I2301" s="2">
        <v>28216441</v>
      </c>
      <c r="J2301">
        <v>41</v>
      </c>
      <c r="K2301">
        <v>85</v>
      </c>
      <c r="L2301">
        <v>0</v>
      </c>
      <c r="M2301" t="str">
        <f t="shared" si="35"/>
        <v>After 2020</v>
      </c>
    </row>
    <row r="2302" spans="1:13">
      <c r="A2302" t="s">
        <v>3341</v>
      </c>
      <c r="B2302" t="s">
        <v>3342</v>
      </c>
      <c r="C2302" s="1">
        <v>45037</v>
      </c>
      <c r="D2302" s="2">
        <v>100397677</v>
      </c>
      <c r="E2302" s="2">
        <v>21963</v>
      </c>
      <c r="F2302">
        <v>68</v>
      </c>
      <c r="G2302" s="2">
        <v>44530380</v>
      </c>
      <c r="H2302" s="2">
        <v>526851</v>
      </c>
      <c r="I2302" s="2">
        <v>975465555</v>
      </c>
      <c r="J2302">
        <v>6</v>
      </c>
      <c r="K2302">
        <v>12</v>
      </c>
      <c r="L2302">
        <v>1</v>
      </c>
      <c r="M2302" t="str">
        <f t="shared" si="35"/>
        <v>After 2020</v>
      </c>
    </row>
    <row r="2303" spans="1:13">
      <c r="A2303" t="s">
        <v>3343</v>
      </c>
      <c r="B2303" t="s">
        <v>633</v>
      </c>
      <c r="C2303" s="1">
        <v>43406</v>
      </c>
      <c r="D2303" s="2">
        <v>778846570</v>
      </c>
      <c r="E2303" s="2">
        <v>66150</v>
      </c>
      <c r="F2303">
        <v>70</v>
      </c>
      <c r="G2303" s="2">
        <v>785898158</v>
      </c>
      <c r="H2303" s="2">
        <v>2771037</v>
      </c>
      <c r="I2303" s="2">
        <v>18692923</v>
      </c>
      <c r="J2303">
        <v>37</v>
      </c>
      <c r="K2303">
        <v>62</v>
      </c>
      <c r="L2303">
        <v>0</v>
      </c>
      <c r="M2303" t="str">
        <f t="shared" si="35"/>
        <v>2010-2020</v>
      </c>
    </row>
    <row r="2304" spans="1:13">
      <c r="A2304" t="s">
        <v>3344</v>
      </c>
      <c r="B2304" t="s">
        <v>3345</v>
      </c>
      <c r="C2304" s="1">
        <v>44937</v>
      </c>
      <c r="D2304" s="2">
        <v>19617254</v>
      </c>
      <c r="E2304" s="2">
        <v>6378</v>
      </c>
      <c r="F2304">
        <v>40</v>
      </c>
      <c r="G2304" s="2">
        <v>5983105</v>
      </c>
      <c r="H2304" s="2">
        <v>119013</v>
      </c>
      <c r="I2304" s="2">
        <v>2956553569</v>
      </c>
      <c r="J2304">
        <v>1</v>
      </c>
      <c r="K2304">
        <v>969</v>
      </c>
      <c r="L2304">
        <v>1</v>
      </c>
      <c r="M2304" t="str">
        <f t="shared" si="35"/>
        <v>After 2020</v>
      </c>
    </row>
    <row r="2305" spans="1:13">
      <c r="A2305" t="s">
        <v>3346</v>
      </c>
      <c r="B2305" t="s">
        <v>3347</v>
      </c>
      <c r="C2305" s="1">
        <v>43663</v>
      </c>
      <c r="D2305" s="2">
        <v>522143496</v>
      </c>
      <c r="E2305" s="2">
        <v>111477</v>
      </c>
      <c r="F2305">
        <v>68</v>
      </c>
      <c r="G2305" s="2">
        <v>212806984</v>
      </c>
      <c r="H2305" s="2">
        <v>1853709</v>
      </c>
      <c r="I2305" s="2">
        <v>125604010</v>
      </c>
      <c r="J2305">
        <v>41</v>
      </c>
      <c r="K2305">
        <v>40</v>
      </c>
      <c r="L2305">
        <v>1</v>
      </c>
      <c r="M2305" t="str">
        <f t="shared" si="35"/>
        <v>2010-2020</v>
      </c>
    </row>
    <row r="2306" spans="1:13">
      <c r="A2306" t="s">
        <v>3348</v>
      </c>
      <c r="B2306" t="s">
        <v>3349</v>
      </c>
      <c r="C2306" s="1">
        <v>44820</v>
      </c>
      <c r="D2306" s="2">
        <v>296674882</v>
      </c>
      <c r="E2306" s="2">
        <v>56660</v>
      </c>
      <c r="F2306">
        <v>74</v>
      </c>
      <c r="G2306" s="2">
        <v>38522238</v>
      </c>
      <c r="H2306" s="2">
        <v>508119</v>
      </c>
      <c r="I2306" s="2">
        <v>366838888</v>
      </c>
      <c r="J2306">
        <v>16</v>
      </c>
      <c r="K2306">
        <v>11</v>
      </c>
      <c r="L2306">
        <v>0</v>
      </c>
      <c r="M2306" t="str">
        <f t="shared" si="35"/>
        <v>After 2020</v>
      </c>
    </row>
    <row r="2307" spans="1:13" hidden="1">
      <c r="A2307" t="s">
        <v>3350</v>
      </c>
      <c r="B2307" t="s">
        <v>602</v>
      </c>
      <c r="C2307" s="1">
        <v>45107</v>
      </c>
      <c r="D2307" s="2">
        <v>157476564</v>
      </c>
      <c r="E2307" s="2">
        <v>15069</v>
      </c>
      <c r="F2307">
        <v>71</v>
      </c>
      <c r="G2307" s="2">
        <v>140916381</v>
      </c>
      <c r="H2307" s="2">
        <v>774193</v>
      </c>
      <c r="I2307" s="2">
        <v>52545729</v>
      </c>
      <c r="J2307">
        <v>11</v>
      </c>
      <c r="L2307">
        <v>1</v>
      </c>
      <c r="M2307" t="str">
        <f t="shared" ref="M2307:M2370" si="36">IF(YEAR(C2307)&lt;2010,"Before 2010",IF(YEAR(C2307)&lt;=2020,"2010-2020","After 2020"))</f>
        <v>After 2020</v>
      </c>
    </row>
    <row r="2308" spans="1:13" hidden="1">
      <c r="A2308" t="s">
        <v>3351</v>
      </c>
      <c r="B2308" t="s">
        <v>3352</v>
      </c>
      <c r="C2308" s="1">
        <v>44809</v>
      </c>
      <c r="D2308" s="2">
        <v>53532212</v>
      </c>
      <c r="E2308" s="2">
        <v>9646</v>
      </c>
      <c r="F2308">
        <v>43</v>
      </c>
      <c r="G2308" s="2">
        <v>98671018</v>
      </c>
      <c r="H2308" s="2">
        <v>1371770</v>
      </c>
      <c r="I2308" s="2">
        <v>1659044866</v>
      </c>
      <c r="J2308">
        <v>1</v>
      </c>
      <c r="L2308">
        <v>0</v>
      </c>
      <c r="M2308" t="str">
        <f t="shared" si="36"/>
        <v>After 2020</v>
      </c>
    </row>
    <row r="2309" spans="1:13" hidden="1">
      <c r="A2309" t="s">
        <v>3353</v>
      </c>
      <c r="B2309" t="s">
        <v>3354</v>
      </c>
      <c r="C2309" s="1">
        <v>44550</v>
      </c>
      <c r="D2309" s="2">
        <v>185050407</v>
      </c>
      <c r="E2309" s="2">
        <v>30221</v>
      </c>
      <c r="F2309">
        <v>62</v>
      </c>
      <c r="G2309" s="2">
        <v>389574452</v>
      </c>
      <c r="H2309" s="2">
        <v>2043151</v>
      </c>
      <c r="I2309" s="2">
        <v>249329094</v>
      </c>
      <c r="J2309">
        <v>10</v>
      </c>
      <c r="L2309">
        <v>1</v>
      </c>
      <c r="M2309" t="str">
        <f t="shared" si="36"/>
        <v>After 2020</v>
      </c>
    </row>
    <row r="2310" spans="1:13" hidden="1">
      <c r="A2310" t="s">
        <v>78</v>
      </c>
      <c r="B2310" t="s">
        <v>3355</v>
      </c>
      <c r="C2310" s="1">
        <v>44799</v>
      </c>
      <c r="D2310" s="2">
        <v>1731282</v>
      </c>
      <c r="E2310">
        <v>162</v>
      </c>
      <c r="F2310">
        <v>31</v>
      </c>
      <c r="G2310" s="2">
        <v>462509288</v>
      </c>
      <c r="H2310" s="2">
        <v>1209603</v>
      </c>
      <c r="I2310" s="2">
        <v>172700</v>
      </c>
      <c r="L2310">
        <v>0</v>
      </c>
      <c r="M2310" t="str">
        <f t="shared" si="36"/>
        <v>After 2020</v>
      </c>
    </row>
    <row r="2311" spans="1:13" hidden="1">
      <c r="A2311" t="s">
        <v>3356</v>
      </c>
      <c r="B2311" t="s">
        <v>3357</v>
      </c>
      <c r="C2311" s="1">
        <v>45063</v>
      </c>
      <c r="D2311" s="2">
        <v>182184068</v>
      </c>
      <c r="E2311" s="2">
        <v>23852</v>
      </c>
      <c r="F2311">
        <v>66</v>
      </c>
      <c r="G2311" s="2">
        <v>132049541</v>
      </c>
      <c r="H2311" s="2">
        <v>854994</v>
      </c>
      <c r="J2311">
        <v>11</v>
      </c>
      <c r="L2311">
        <v>1</v>
      </c>
      <c r="M2311" t="str">
        <f t="shared" si="36"/>
        <v>After 2020</v>
      </c>
    </row>
    <row r="2312" spans="1:13">
      <c r="A2312" t="s">
        <v>2052</v>
      </c>
      <c r="B2312" t="s">
        <v>2409</v>
      </c>
      <c r="C2312" s="1">
        <v>40909</v>
      </c>
      <c r="D2312" s="2">
        <v>784334383</v>
      </c>
      <c r="E2312" s="2">
        <v>104998</v>
      </c>
      <c r="F2312">
        <v>68</v>
      </c>
      <c r="G2312" s="2">
        <v>1776560692</v>
      </c>
      <c r="H2312" s="2">
        <v>7559025</v>
      </c>
      <c r="I2312" s="2">
        <v>112921980</v>
      </c>
      <c r="J2312">
        <v>86</v>
      </c>
      <c r="K2312">
        <v>118</v>
      </c>
      <c r="L2312">
        <v>0</v>
      </c>
      <c r="M2312" t="str">
        <f t="shared" si="36"/>
        <v>2010-2020</v>
      </c>
    </row>
    <row r="2313" spans="1:13">
      <c r="A2313" t="s">
        <v>3358</v>
      </c>
      <c r="B2313" t="s">
        <v>1534</v>
      </c>
      <c r="C2313" s="1">
        <v>44522</v>
      </c>
      <c r="D2313" s="2">
        <v>164804108</v>
      </c>
      <c r="E2313" s="2">
        <v>40909</v>
      </c>
      <c r="F2313">
        <v>60</v>
      </c>
      <c r="G2313" s="2">
        <v>111437165</v>
      </c>
      <c r="H2313" s="2">
        <v>932922</v>
      </c>
      <c r="I2313" s="2">
        <v>50358850</v>
      </c>
      <c r="J2313">
        <v>20</v>
      </c>
      <c r="K2313">
        <v>168</v>
      </c>
      <c r="L2313">
        <v>1</v>
      </c>
      <c r="M2313" t="str">
        <f t="shared" si="36"/>
        <v>After 2020</v>
      </c>
    </row>
    <row r="2314" spans="1:13" hidden="1">
      <c r="A2314" t="s">
        <v>3359</v>
      </c>
      <c r="B2314" t="s">
        <v>3360</v>
      </c>
      <c r="C2314" s="1">
        <v>44888</v>
      </c>
      <c r="D2314" s="2">
        <v>1426122</v>
      </c>
      <c r="E2314">
        <v>284</v>
      </c>
      <c r="G2314" s="2">
        <v>1328757</v>
      </c>
      <c r="H2314" s="2">
        <v>33856</v>
      </c>
      <c r="I2314" s="2">
        <v>2151095470</v>
      </c>
      <c r="L2314">
        <v>1</v>
      </c>
      <c r="M2314" t="str">
        <f t="shared" si="36"/>
        <v>After 2020</v>
      </c>
    </row>
    <row r="2315" spans="1:13">
      <c r="A2315" t="s">
        <v>3361</v>
      </c>
      <c r="B2315" t="s">
        <v>2362</v>
      </c>
      <c r="C2315" s="1">
        <v>43350</v>
      </c>
      <c r="D2315" s="2">
        <v>492542256</v>
      </c>
      <c r="E2315" s="2">
        <v>37141</v>
      </c>
      <c r="F2315">
        <v>68</v>
      </c>
      <c r="G2315" s="2">
        <v>1091852566</v>
      </c>
      <c r="H2315" s="2">
        <v>3311784</v>
      </c>
      <c r="I2315" s="2">
        <v>34264578</v>
      </c>
      <c r="J2315">
        <v>27</v>
      </c>
      <c r="K2315">
        <v>261</v>
      </c>
      <c r="L2315">
        <v>0</v>
      </c>
      <c r="M2315" t="str">
        <f t="shared" si="36"/>
        <v>2010-2020</v>
      </c>
    </row>
    <row r="2316" spans="1:13">
      <c r="A2316" t="s">
        <v>3362</v>
      </c>
      <c r="B2316" t="s">
        <v>184</v>
      </c>
      <c r="C2316" s="1">
        <v>42328</v>
      </c>
      <c r="D2316" s="2">
        <v>1284096603</v>
      </c>
      <c r="E2316" s="2">
        <v>117365</v>
      </c>
      <c r="F2316">
        <v>71</v>
      </c>
      <c r="G2316" s="2">
        <v>1021758621</v>
      </c>
      <c r="H2316" s="2">
        <v>6306795</v>
      </c>
      <c r="I2316" s="2">
        <v>348333229</v>
      </c>
      <c r="J2316">
        <v>133</v>
      </c>
      <c r="K2316">
        <v>7</v>
      </c>
      <c r="L2316">
        <v>0</v>
      </c>
      <c r="M2316" t="str">
        <f t="shared" si="36"/>
        <v>2010-2020</v>
      </c>
    </row>
    <row r="2317" spans="1:13" hidden="1">
      <c r="A2317" t="s">
        <v>3363</v>
      </c>
      <c r="B2317" t="s">
        <v>631</v>
      </c>
      <c r="C2317" s="1">
        <v>45093</v>
      </c>
      <c r="D2317" s="2">
        <v>57151</v>
      </c>
      <c r="E2317">
        <v>92</v>
      </c>
      <c r="F2317">
        <v>14</v>
      </c>
      <c r="G2317" s="2">
        <v>57477</v>
      </c>
      <c r="H2317" s="2">
        <v>1150</v>
      </c>
      <c r="L2317">
        <v>0</v>
      </c>
      <c r="M2317" t="str">
        <f t="shared" si="36"/>
        <v>After 2020</v>
      </c>
    </row>
    <row r="2318" spans="1:13" hidden="1">
      <c r="A2318" t="s">
        <v>3364</v>
      </c>
      <c r="B2318" t="s">
        <v>3365</v>
      </c>
      <c r="C2318" s="1">
        <v>45373</v>
      </c>
      <c r="D2318" s="2">
        <v>12495358</v>
      </c>
      <c r="E2318">
        <v>5</v>
      </c>
      <c r="L2318">
        <v>0</v>
      </c>
      <c r="M2318" t="str">
        <f t="shared" si="36"/>
        <v>After 2020</v>
      </c>
    </row>
    <row r="2319" spans="1:13" hidden="1">
      <c r="A2319" t="s">
        <v>3366</v>
      </c>
      <c r="B2319" t="s">
        <v>301</v>
      </c>
      <c r="C2319" s="1">
        <v>44988</v>
      </c>
      <c r="D2319" s="2">
        <v>210072827</v>
      </c>
      <c r="E2319" s="2">
        <v>30503</v>
      </c>
      <c r="F2319">
        <v>74</v>
      </c>
      <c r="G2319" s="2">
        <v>35281929</v>
      </c>
      <c r="H2319" s="2">
        <v>221683</v>
      </c>
      <c r="I2319" s="2">
        <v>92174906</v>
      </c>
      <c r="J2319">
        <v>8</v>
      </c>
      <c r="L2319">
        <v>1</v>
      </c>
      <c r="M2319" t="str">
        <f t="shared" si="36"/>
        <v>After 2020</v>
      </c>
    </row>
    <row r="2320" spans="1:13" hidden="1">
      <c r="A2320" t="s">
        <v>3367</v>
      </c>
      <c r="B2320" t="s">
        <v>3368</v>
      </c>
      <c r="C2320" s="1">
        <v>39083</v>
      </c>
      <c r="D2320" s="2">
        <v>104073182</v>
      </c>
      <c r="E2320" s="2">
        <v>11904</v>
      </c>
      <c r="F2320">
        <v>57</v>
      </c>
      <c r="G2320" s="2">
        <v>3982526341</v>
      </c>
      <c r="H2320" s="2">
        <v>11455880</v>
      </c>
      <c r="I2320" s="2">
        <v>1565261998</v>
      </c>
      <c r="J2320">
        <v>4</v>
      </c>
      <c r="L2320">
        <v>0</v>
      </c>
      <c r="M2320" t="str">
        <f t="shared" si="36"/>
        <v>Before 2010</v>
      </c>
    </row>
    <row r="2321" spans="1:13">
      <c r="A2321" t="s">
        <v>3369</v>
      </c>
      <c r="B2321" t="s">
        <v>2377</v>
      </c>
      <c r="C2321" s="1">
        <v>44841</v>
      </c>
      <c r="D2321" s="2">
        <v>155142115</v>
      </c>
      <c r="E2321" s="2">
        <v>65297</v>
      </c>
      <c r="F2321">
        <v>60</v>
      </c>
      <c r="G2321" s="2">
        <v>54256746</v>
      </c>
      <c r="H2321" s="2">
        <v>737762</v>
      </c>
      <c r="I2321" s="2">
        <v>1073599652</v>
      </c>
      <c r="J2321">
        <v>8</v>
      </c>
      <c r="K2321">
        <v>158</v>
      </c>
      <c r="L2321">
        <v>1</v>
      </c>
      <c r="M2321" t="str">
        <f t="shared" si="36"/>
        <v>After 2020</v>
      </c>
    </row>
    <row r="2322" spans="1:13" hidden="1">
      <c r="A2322" t="s">
        <v>658</v>
      </c>
      <c r="B2322" t="s">
        <v>3370</v>
      </c>
      <c r="C2322" s="1">
        <v>44876</v>
      </c>
      <c r="D2322" s="2">
        <v>136999598</v>
      </c>
      <c r="E2322" s="2">
        <v>2515</v>
      </c>
      <c r="F2322">
        <v>57</v>
      </c>
      <c r="G2322" s="2">
        <v>352276536</v>
      </c>
      <c r="H2322" s="2">
        <v>848233</v>
      </c>
      <c r="J2322">
        <v>2</v>
      </c>
      <c r="L2322">
        <v>0</v>
      </c>
      <c r="M2322" t="str">
        <f t="shared" si="36"/>
        <v>After 2020</v>
      </c>
    </row>
    <row r="2323" spans="1:13" hidden="1">
      <c r="A2323" t="s">
        <v>2316</v>
      </c>
      <c r="B2323" t="s">
        <v>3371</v>
      </c>
      <c r="C2323" s="1">
        <v>44992</v>
      </c>
      <c r="E2323">
        <v>3</v>
      </c>
      <c r="F2323">
        <v>2</v>
      </c>
      <c r="I2323" s="2">
        <v>1572668280</v>
      </c>
      <c r="L2323">
        <v>0</v>
      </c>
      <c r="M2323" t="str">
        <f t="shared" si="36"/>
        <v>After 2020</v>
      </c>
    </row>
    <row r="2324" spans="1:13" hidden="1">
      <c r="A2324" t="s">
        <v>3372</v>
      </c>
      <c r="B2324" t="s">
        <v>61</v>
      </c>
      <c r="C2324" s="1">
        <v>45400</v>
      </c>
      <c r="D2324" s="2">
        <v>122986507</v>
      </c>
      <c r="E2324" s="2">
        <v>2923</v>
      </c>
      <c r="G2324" s="2">
        <v>6094390</v>
      </c>
      <c r="H2324" s="2">
        <v>70607</v>
      </c>
      <c r="I2324" s="2">
        <v>1800000</v>
      </c>
      <c r="J2324">
        <v>25</v>
      </c>
      <c r="L2324">
        <v>1</v>
      </c>
      <c r="M2324" t="str">
        <f t="shared" si="36"/>
        <v>After 2020</v>
      </c>
    </row>
    <row r="2325" spans="1:13">
      <c r="A2325" t="s">
        <v>3373</v>
      </c>
      <c r="B2325" t="s">
        <v>43</v>
      </c>
      <c r="C2325" s="1">
        <v>44126</v>
      </c>
      <c r="D2325" s="2">
        <v>356681497</v>
      </c>
      <c r="E2325" s="2">
        <v>137745</v>
      </c>
      <c r="F2325">
        <v>65</v>
      </c>
      <c r="G2325" s="2">
        <v>204509339</v>
      </c>
      <c r="H2325" s="2">
        <v>2198210</v>
      </c>
      <c r="I2325" s="2">
        <v>200676951</v>
      </c>
      <c r="J2325">
        <v>26</v>
      </c>
      <c r="K2325">
        <v>12</v>
      </c>
      <c r="L2325">
        <v>1</v>
      </c>
      <c r="M2325" t="str">
        <f t="shared" si="36"/>
        <v>2010-2020</v>
      </c>
    </row>
    <row r="2326" spans="1:13" hidden="1">
      <c r="A2326" t="s">
        <v>3374</v>
      </c>
      <c r="B2326" t="s">
        <v>3160</v>
      </c>
      <c r="C2326" s="1">
        <v>45057</v>
      </c>
      <c r="D2326" s="2">
        <v>69208147</v>
      </c>
      <c r="E2326" s="2">
        <v>30635</v>
      </c>
      <c r="F2326">
        <v>59</v>
      </c>
      <c r="G2326" s="2">
        <v>79305809</v>
      </c>
      <c r="H2326" s="2">
        <v>522795</v>
      </c>
      <c r="I2326" s="2">
        <v>226312722</v>
      </c>
      <c r="J2326">
        <v>28</v>
      </c>
      <c r="L2326">
        <v>0</v>
      </c>
      <c r="M2326" t="str">
        <f t="shared" si="36"/>
        <v>After 2020</v>
      </c>
    </row>
    <row r="2327" spans="1:13" hidden="1">
      <c r="A2327" t="s">
        <v>3375</v>
      </c>
      <c r="B2327" t="s">
        <v>53</v>
      </c>
      <c r="C2327" s="1">
        <v>45373</v>
      </c>
      <c r="D2327" s="2">
        <v>32935844</v>
      </c>
      <c r="E2327" s="2">
        <v>9191</v>
      </c>
      <c r="G2327" s="2">
        <v>4797753</v>
      </c>
      <c r="H2327" s="2">
        <v>77902</v>
      </c>
      <c r="J2327">
        <v>9</v>
      </c>
      <c r="L2327">
        <v>1</v>
      </c>
      <c r="M2327" t="str">
        <f t="shared" si="36"/>
        <v>After 2020</v>
      </c>
    </row>
    <row r="2328" spans="1:13" hidden="1">
      <c r="A2328" t="s">
        <v>3376</v>
      </c>
      <c r="B2328" t="s">
        <v>3377</v>
      </c>
      <c r="C2328" s="1">
        <v>44861</v>
      </c>
      <c r="D2328" s="2">
        <v>100335960</v>
      </c>
      <c r="E2328" s="2">
        <v>18928</v>
      </c>
      <c r="F2328">
        <v>56</v>
      </c>
      <c r="G2328" s="2">
        <v>163408340</v>
      </c>
      <c r="H2328" s="2">
        <v>634796</v>
      </c>
      <c r="I2328" s="2">
        <v>2147808820</v>
      </c>
      <c r="J2328">
        <v>1</v>
      </c>
      <c r="L2328">
        <v>0</v>
      </c>
      <c r="M2328" t="str">
        <f t="shared" si="36"/>
        <v>After 2020</v>
      </c>
    </row>
    <row r="2329" spans="1:13">
      <c r="A2329" t="s">
        <v>3378</v>
      </c>
      <c r="B2329" t="s">
        <v>2998</v>
      </c>
      <c r="C2329" s="1">
        <v>44729</v>
      </c>
      <c r="D2329" s="2">
        <v>335203899</v>
      </c>
      <c r="E2329" s="2">
        <v>61133</v>
      </c>
      <c r="F2329">
        <v>76</v>
      </c>
      <c r="G2329" s="2">
        <v>22524199</v>
      </c>
      <c r="H2329" s="2">
        <v>241700</v>
      </c>
      <c r="I2329" s="2">
        <v>262461997</v>
      </c>
      <c r="J2329">
        <v>92</v>
      </c>
      <c r="K2329">
        <v>95</v>
      </c>
      <c r="L2329">
        <v>0</v>
      </c>
      <c r="M2329" t="str">
        <f t="shared" si="36"/>
        <v>After 2020</v>
      </c>
    </row>
    <row r="2330" spans="1:13">
      <c r="A2330" t="s">
        <v>3379</v>
      </c>
      <c r="B2330" t="s">
        <v>1412</v>
      </c>
      <c r="C2330" s="1">
        <v>43602</v>
      </c>
      <c r="D2330" s="2">
        <v>1367265268</v>
      </c>
      <c r="E2330" s="2">
        <v>135811</v>
      </c>
      <c r="F2330">
        <v>75</v>
      </c>
      <c r="G2330" s="2">
        <v>174911891</v>
      </c>
      <c r="H2330" s="2">
        <v>749591</v>
      </c>
      <c r="I2330" s="2">
        <v>109739416</v>
      </c>
      <c r="J2330">
        <v>118</v>
      </c>
      <c r="K2330">
        <v>16</v>
      </c>
      <c r="L2330">
        <v>0</v>
      </c>
      <c r="M2330" t="str">
        <f t="shared" si="36"/>
        <v>2010-2020</v>
      </c>
    </row>
    <row r="2331" spans="1:13" hidden="1">
      <c r="A2331" t="s">
        <v>3380</v>
      </c>
      <c r="B2331" t="s">
        <v>3381</v>
      </c>
      <c r="C2331" s="1">
        <v>45336</v>
      </c>
      <c r="D2331" s="2">
        <v>61288751</v>
      </c>
      <c r="E2331" s="2">
        <v>3662</v>
      </c>
      <c r="G2331" s="2">
        <v>41942760</v>
      </c>
      <c r="H2331" s="2">
        <v>443004</v>
      </c>
      <c r="J2331">
        <v>10</v>
      </c>
      <c r="L2331">
        <v>0</v>
      </c>
      <c r="M2331" t="str">
        <f t="shared" si="36"/>
        <v>After 2020</v>
      </c>
    </row>
    <row r="2332" spans="1:13" hidden="1">
      <c r="A2332" t="s">
        <v>3382</v>
      </c>
      <c r="B2332" t="s">
        <v>3383</v>
      </c>
      <c r="C2332" s="1">
        <v>43174</v>
      </c>
      <c r="D2332" s="2">
        <v>670298052</v>
      </c>
      <c r="E2332" s="2">
        <v>82446</v>
      </c>
      <c r="F2332">
        <v>65</v>
      </c>
      <c r="G2332" s="2">
        <v>822191175</v>
      </c>
      <c r="H2332" s="2">
        <v>6783630</v>
      </c>
      <c r="I2332" s="2">
        <v>160522923</v>
      </c>
      <c r="K2332">
        <v>6</v>
      </c>
      <c r="L2332">
        <v>1</v>
      </c>
      <c r="M2332" t="str">
        <f t="shared" si="36"/>
        <v>2010-2020</v>
      </c>
    </row>
    <row r="2333" spans="1:13" hidden="1">
      <c r="A2333" t="s">
        <v>3384</v>
      </c>
      <c r="B2333" t="s">
        <v>934</v>
      </c>
      <c r="C2333" s="1">
        <v>45065</v>
      </c>
      <c r="D2333" s="2">
        <v>191465461</v>
      </c>
      <c r="E2333" s="2">
        <v>18344</v>
      </c>
      <c r="F2333">
        <v>69</v>
      </c>
      <c r="G2333" s="2">
        <v>126428962</v>
      </c>
      <c r="H2333" s="2">
        <v>1236685</v>
      </c>
      <c r="I2333" s="2">
        <v>144465879</v>
      </c>
      <c r="J2333">
        <v>21</v>
      </c>
      <c r="L2333">
        <v>0</v>
      </c>
      <c r="M2333" t="str">
        <f t="shared" si="36"/>
        <v>After 2020</v>
      </c>
    </row>
    <row r="2334" spans="1:13">
      <c r="A2334" t="s">
        <v>3385</v>
      </c>
      <c r="B2334" t="s">
        <v>3386</v>
      </c>
      <c r="C2334" s="1">
        <v>40909</v>
      </c>
      <c r="D2334" s="2">
        <v>1286089822</v>
      </c>
      <c r="E2334" s="2">
        <v>256512</v>
      </c>
      <c r="F2334">
        <v>78</v>
      </c>
      <c r="G2334" s="2">
        <v>291434533</v>
      </c>
      <c r="H2334" s="2">
        <v>3222924</v>
      </c>
      <c r="I2334" s="2">
        <v>774957680</v>
      </c>
      <c r="J2334">
        <v>118</v>
      </c>
      <c r="K2334">
        <v>427</v>
      </c>
      <c r="L2334">
        <v>0</v>
      </c>
      <c r="M2334" t="str">
        <f t="shared" si="36"/>
        <v>2010-2020</v>
      </c>
    </row>
    <row r="2335" spans="1:13" hidden="1">
      <c r="A2335" t="s">
        <v>3387</v>
      </c>
      <c r="B2335" t="s">
        <v>3388</v>
      </c>
      <c r="C2335" s="1">
        <v>45224</v>
      </c>
      <c r="D2335" s="2">
        <v>28817964</v>
      </c>
      <c r="E2335" s="2">
        <v>1104</v>
      </c>
      <c r="G2335" s="2">
        <v>99108166</v>
      </c>
      <c r="H2335" s="2">
        <v>1733004</v>
      </c>
      <c r="I2335" s="2">
        <v>450286431</v>
      </c>
      <c r="J2335">
        <v>1</v>
      </c>
      <c r="L2335">
        <v>0</v>
      </c>
      <c r="M2335" t="str">
        <f t="shared" si="36"/>
        <v>After 2020</v>
      </c>
    </row>
    <row r="2336" spans="1:13">
      <c r="A2336" t="s">
        <v>3389</v>
      </c>
      <c r="B2336" t="s">
        <v>1284</v>
      </c>
      <c r="C2336" s="1">
        <v>43698</v>
      </c>
      <c r="D2336" s="2">
        <v>683247723</v>
      </c>
      <c r="E2336" s="2">
        <v>103554</v>
      </c>
      <c r="F2336">
        <v>71</v>
      </c>
      <c r="G2336" s="2">
        <v>322965834</v>
      </c>
      <c r="H2336" s="2">
        <v>5220826</v>
      </c>
      <c r="I2336" s="2">
        <v>561046941</v>
      </c>
      <c r="J2336">
        <v>62</v>
      </c>
      <c r="K2336">
        <v>74</v>
      </c>
      <c r="L2336">
        <v>0</v>
      </c>
      <c r="M2336" t="str">
        <f t="shared" si="36"/>
        <v>2010-2020</v>
      </c>
    </row>
    <row r="2337" spans="1:13">
      <c r="A2337" t="s">
        <v>3390</v>
      </c>
      <c r="B2337" t="s">
        <v>2616</v>
      </c>
      <c r="C2337" s="1">
        <v>42177</v>
      </c>
      <c r="D2337" s="2">
        <v>83366020</v>
      </c>
      <c r="E2337" s="2">
        <v>17799</v>
      </c>
      <c r="F2337">
        <v>49</v>
      </c>
      <c r="G2337" s="2">
        <v>2000837797</v>
      </c>
      <c r="H2337" s="2">
        <v>11310696</v>
      </c>
      <c r="I2337" s="2">
        <v>29251104</v>
      </c>
      <c r="J2337">
        <v>18</v>
      </c>
      <c r="K2337">
        <v>423</v>
      </c>
      <c r="L2337">
        <v>1</v>
      </c>
      <c r="M2337" t="str">
        <f t="shared" si="36"/>
        <v>2010-2020</v>
      </c>
    </row>
    <row r="2338" spans="1:13" hidden="1">
      <c r="A2338" t="s">
        <v>3391</v>
      </c>
      <c r="B2338" t="s">
        <v>3392</v>
      </c>
      <c r="C2338" s="1">
        <v>42965</v>
      </c>
      <c r="D2338" s="2">
        <v>86943003</v>
      </c>
      <c r="E2338" s="2">
        <v>17950</v>
      </c>
      <c r="F2338">
        <v>55</v>
      </c>
      <c r="G2338" s="2">
        <v>10003352</v>
      </c>
      <c r="H2338" s="2">
        <v>110419</v>
      </c>
      <c r="I2338" s="2">
        <v>5311932536</v>
      </c>
      <c r="J2338">
        <v>2</v>
      </c>
      <c r="L2338">
        <v>0</v>
      </c>
      <c r="M2338" t="str">
        <f t="shared" si="36"/>
        <v>2010-2020</v>
      </c>
    </row>
    <row r="2339" spans="1:13">
      <c r="A2339" t="s">
        <v>3393</v>
      </c>
      <c r="B2339" t="s">
        <v>1177</v>
      </c>
      <c r="C2339" s="1">
        <v>44582</v>
      </c>
      <c r="D2339" s="2">
        <v>177722624</v>
      </c>
      <c r="E2339" s="2">
        <v>34102</v>
      </c>
      <c r="F2339">
        <v>59</v>
      </c>
      <c r="G2339" s="2">
        <v>61447086</v>
      </c>
      <c r="H2339" s="2">
        <v>348517</v>
      </c>
      <c r="I2339" s="2">
        <v>20533718</v>
      </c>
      <c r="J2339">
        <v>62</v>
      </c>
      <c r="K2339">
        <v>3</v>
      </c>
      <c r="L2339">
        <v>0</v>
      </c>
      <c r="M2339" t="str">
        <f t="shared" si="36"/>
        <v>After 2020</v>
      </c>
    </row>
    <row r="2340" spans="1:13" hidden="1">
      <c r="A2340" t="s">
        <v>3394</v>
      </c>
      <c r="B2340" t="s">
        <v>3395</v>
      </c>
      <c r="C2340" s="1">
        <v>44826</v>
      </c>
      <c r="D2340" s="2">
        <v>227079649</v>
      </c>
      <c r="E2340" s="2">
        <v>35385</v>
      </c>
      <c r="F2340">
        <v>63</v>
      </c>
      <c r="G2340" s="2">
        <v>199523728</v>
      </c>
      <c r="H2340" s="2">
        <v>1291904</v>
      </c>
      <c r="I2340" s="2">
        <v>299633568</v>
      </c>
      <c r="J2340">
        <v>18</v>
      </c>
      <c r="L2340">
        <v>0</v>
      </c>
      <c r="M2340" t="str">
        <f t="shared" si="36"/>
        <v>After 2020</v>
      </c>
    </row>
    <row r="2341" spans="1:13" hidden="1">
      <c r="A2341" t="s">
        <v>3396</v>
      </c>
      <c r="B2341" t="s">
        <v>3397</v>
      </c>
      <c r="C2341" s="1">
        <v>45205</v>
      </c>
      <c r="D2341" s="2">
        <v>95871805</v>
      </c>
      <c r="E2341" s="2">
        <v>21000</v>
      </c>
      <c r="F2341">
        <v>14</v>
      </c>
      <c r="G2341" s="2">
        <v>13445854</v>
      </c>
      <c r="H2341" s="2">
        <v>223703</v>
      </c>
      <c r="I2341" s="2">
        <v>187420165</v>
      </c>
      <c r="J2341">
        <v>6</v>
      </c>
      <c r="L2341">
        <v>1</v>
      </c>
      <c r="M2341" t="str">
        <f t="shared" si="36"/>
        <v>After 2020</v>
      </c>
    </row>
    <row r="2342" spans="1:13" hidden="1">
      <c r="A2342" t="s">
        <v>3398</v>
      </c>
      <c r="B2342" t="s">
        <v>3399</v>
      </c>
      <c r="C2342" s="1">
        <v>45435</v>
      </c>
      <c r="D2342" s="2">
        <v>15290073</v>
      </c>
      <c r="E2342" s="2">
        <v>2626</v>
      </c>
      <c r="F2342">
        <v>74</v>
      </c>
      <c r="G2342" s="2">
        <v>1148601</v>
      </c>
      <c r="H2342" s="2">
        <v>33597</v>
      </c>
      <c r="J2342">
        <v>53</v>
      </c>
      <c r="K2342">
        <v>2</v>
      </c>
      <c r="L2342">
        <v>0</v>
      </c>
      <c r="M2342" t="str">
        <f t="shared" si="36"/>
        <v>After 2020</v>
      </c>
    </row>
    <row r="2343" spans="1:13" hidden="1">
      <c r="A2343" t="s">
        <v>3400</v>
      </c>
      <c r="B2343" t="s">
        <v>3401</v>
      </c>
      <c r="C2343" s="1">
        <v>44420</v>
      </c>
      <c r="D2343" s="2">
        <v>240138585</v>
      </c>
      <c r="E2343" s="2">
        <v>43572</v>
      </c>
      <c r="F2343">
        <v>56</v>
      </c>
      <c r="G2343" s="2">
        <v>200632603</v>
      </c>
      <c r="H2343" s="2">
        <v>1367067</v>
      </c>
      <c r="I2343" s="2">
        <v>3307238247</v>
      </c>
      <c r="J2343">
        <v>34</v>
      </c>
      <c r="L2343">
        <v>1</v>
      </c>
      <c r="M2343" t="str">
        <f t="shared" si="36"/>
        <v>After 2020</v>
      </c>
    </row>
    <row r="2344" spans="1:13" hidden="1">
      <c r="A2344" t="s">
        <v>3402</v>
      </c>
      <c r="B2344" t="s">
        <v>3395</v>
      </c>
      <c r="C2344" s="1">
        <v>44894</v>
      </c>
      <c r="D2344" s="2">
        <v>239669425</v>
      </c>
      <c r="E2344" s="2">
        <v>30426</v>
      </c>
      <c r="F2344">
        <v>63</v>
      </c>
      <c r="G2344" s="2">
        <v>181495900</v>
      </c>
      <c r="H2344" s="2">
        <v>1178870</v>
      </c>
      <c r="I2344" s="2">
        <v>378296874</v>
      </c>
      <c r="J2344">
        <v>12</v>
      </c>
      <c r="L2344">
        <v>1</v>
      </c>
      <c r="M2344" t="str">
        <f t="shared" si="36"/>
        <v>After 2020</v>
      </c>
    </row>
    <row r="2345" spans="1:13">
      <c r="A2345" t="s">
        <v>3403</v>
      </c>
      <c r="B2345" t="s">
        <v>637</v>
      </c>
      <c r="C2345" s="1">
        <v>44683</v>
      </c>
      <c r="D2345" s="2">
        <v>312942305</v>
      </c>
      <c r="E2345" s="2">
        <v>20231</v>
      </c>
      <c r="F2345">
        <v>62</v>
      </c>
      <c r="G2345" s="2">
        <v>386459691</v>
      </c>
      <c r="H2345" s="2">
        <v>4716534</v>
      </c>
      <c r="I2345" s="2">
        <v>1245609565</v>
      </c>
      <c r="J2345">
        <v>19</v>
      </c>
      <c r="K2345">
        <v>218</v>
      </c>
      <c r="L2345">
        <v>0</v>
      </c>
      <c r="M2345" t="str">
        <f t="shared" si="36"/>
        <v>After 2020</v>
      </c>
    </row>
    <row r="2346" spans="1:13">
      <c r="A2346" t="s">
        <v>3404</v>
      </c>
      <c r="B2346" t="s">
        <v>3405</v>
      </c>
      <c r="C2346" s="1">
        <v>41640</v>
      </c>
      <c r="D2346" s="2">
        <v>1197774081</v>
      </c>
      <c r="E2346" s="2">
        <v>128593</v>
      </c>
      <c r="F2346">
        <v>65</v>
      </c>
      <c r="G2346" s="2">
        <v>580076338</v>
      </c>
      <c r="H2346" s="2">
        <v>3685849</v>
      </c>
      <c r="I2346" s="2">
        <v>112554627</v>
      </c>
      <c r="J2346">
        <v>220</v>
      </c>
      <c r="K2346">
        <v>107</v>
      </c>
      <c r="L2346">
        <v>0</v>
      </c>
      <c r="M2346" t="str">
        <f t="shared" si="36"/>
        <v>2010-2020</v>
      </c>
    </row>
    <row r="2347" spans="1:13">
      <c r="A2347" t="s">
        <v>3406</v>
      </c>
      <c r="B2347" t="s">
        <v>715</v>
      </c>
      <c r="C2347" s="1">
        <v>44792</v>
      </c>
      <c r="D2347" s="2">
        <v>178441881</v>
      </c>
      <c r="E2347" s="2">
        <v>28857</v>
      </c>
      <c r="F2347">
        <v>75</v>
      </c>
      <c r="G2347" s="2">
        <v>24354425</v>
      </c>
      <c r="H2347" s="2">
        <v>188213</v>
      </c>
      <c r="I2347" s="2">
        <v>161742703</v>
      </c>
      <c r="J2347">
        <v>19</v>
      </c>
      <c r="K2347">
        <v>36</v>
      </c>
      <c r="L2347">
        <v>0</v>
      </c>
      <c r="M2347" t="str">
        <f t="shared" si="36"/>
        <v>After 2020</v>
      </c>
    </row>
    <row r="2348" spans="1:13" hidden="1">
      <c r="A2348" t="s">
        <v>406</v>
      </c>
      <c r="B2348" t="s">
        <v>266</v>
      </c>
      <c r="C2348" s="1">
        <v>44204</v>
      </c>
      <c r="D2348" s="2">
        <v>2184754018</v>
      </c>
      <c r="E2348" s="2">
        <v>9903</v>
      </c>
      <c r="F2348">
        <v>57</v>
      </c>
      <c r="J2348">
        <v>51</v>
      </c>
      <c r="L2348">
        <v>0</v>
      </c>
      <c r="M2348" t="str">
        <f t="shared" si="36"/>
        <v>After 2020</v>
      </c>
    </row>
    <row r="2349" spans="1:13">
      <c r="A2349" t="s">
        <v>3407</v>
      </c>
      <c r="B2349" t="s">
        <v>3408</v>
      </c>
      <c r="C2349" s="1">
        <v>44659</v>
      </c>
      <c r="D2349" s="2">
        <v>86262202</v>
      </c>
      <c r="E2349" s="2">
        <v>17907</v>
      </c>
      <c r="F2349">
        <v>53</v>
      </c>
      <c r="G2349" s="2">
        <v>17014183</v>
      </c>
      <c r="H2349" s="2">
        <v>149189</v>
      </c>
      <c r="I2349" s="2">
        <v>2990547999</v>
      </c>
      <c r="J2349">
        <v>10</v>
      </c>
      <c r="K2349">
        <v>2</v>
      </c>
      <c r="L2349">
        <v>0</v>
      </c>
      <c r="M2349" t="str">
        <f t="shared" si="36"/>
        <v>After 2020</v>
      </c>
    </row>
    <row r="2350" spans="1:13" hidden="1">
      <c r="A2350" t="s">
        <v>3409</v>
      </c>
      <c r="B2350" t="s">
        <v>2758</v>
      </c>
      <c r="C2350" s="1">
        <v>45443</v>
      </c>
      <c r="D2350" s="2">
        <v>9428361</v>
      </c>
      <c r="E2350" s="2">
        <v>1095</v>
      </c>
      <c r="F2350">
        <v>71</v>
      </c>
      <c r="G2350" s="2">
        <v>1902586</v>
      </c>
      <c r="H2350" s="2">
        <v>62041</v>
      </c>
      <c r="J2350">
        <v>13</v>
      </c>
      <c r="L2350">
        <v>0</v>
      </c>
      <c r="M2350" t="str">
        <f t="shared" si="36"/>
        <v>After 2020</v>
      </c>
    </row>
    <row r="2351" spans="1:13">
      <c r="A2351" t="s">
        <v>3410</v>
      </c>
      <c r="B2351" t="s">
        <v>590</v>
      </c>
      <c r="C2351" s="1">
        <v>44615</v>
      </c>
      <c r="D2351" s="2">
        <v>152289860</v>
      </c>
      <c r="E2351" s="2">
        <v>58113</v>
      </c>
      <c r="F2351">
        <v>69</v>
      </c>
      <c r="G2351" s="2">
        <v>79913960</v>
      </c>
      <c r="H2351" s="2">
        <v>578895</v>
      </c>
      <c r="I2351" s="2">
        <v>546510983</v>
      </c>
      <c r="J2351">
        <v>79</v>
      </c>
      <c r="K2351">
        <v>198</v>
      </c>
      <c r="L2351">
        <v>1</v>
      </c>
      <c r="M2351" t="str">
        <f t="shared" si="36"/>
        <v>After 2020</v>
      </c>
    </row>
    <row r="2352" spans="1:13" hidden="1">
      <c r="A2352" t="s">
        <v>3411</v>
      </c>
      <c r="B2352" t="s">
        <v>2516</v>
      </c>
      <c r="C2352" s="1">
        <v>44217</v>
      </c>
      <c r="D2352" s="2">
        <v>405754991</v>
      </c>
      <c r="E2352" s="2">
        <v>103694</v>
      </c>
      <c r="F2352">
        <v>66</v>
      </c>
      <c r="G2352" s="2">
        <v>93190559</v>
      </c>
      <c r="H2352" s="2">
        <v>1333319</v>
      </c>
      <c r="I2352" s="2">
        <v>166376605</v>
      </c>
      <c r="J2352">
        <v>14</v>
      </c>
      <c r="L2352">
        <v>0</v>
      </c>
      <c r="M2352" t="str">
        <f t="shared" si="36"/>
        <v>After 2020</v>
      </c>
    </row>
    <row r="2353" spans="1:13">
      <c r="A2353" t="s">
        <v>3412</v>
      </c>
      <c r="B2353" t="s">
        <v>3413</v>
      </c>
      <c r="C2353" s="1">
        <v>44418</v>
      </c>
      <c r="D2353" s="2">
        <v>383171089</v>
      </c>
      <c r="E2353" s="2">
        <v>60923</v>
      </c>
      <c r="F2353">
        <v>70</v>
      </c>
      <c r="G2353" s="2">
        <v>88319558</v>
      </c>
      <c r="H2353" s="2">
        <v>994946</v>
      </c>
      <c r="I2353" s="2">
        <v>2493175114</v>
      </c>
      <c r="J2353">
        <v>26</v>
      </c>
      <c r="K2353">
        <v>172</v>
      </c>
      <c r="L2353">
        <v>0</v>
      </c>
      <c r="M2353" t="str">
        <f t="shared" si="36"/>
        <v>After 2020</v>
      </c>
    </row>
    <row r="2354" spans="1:13" hidden="1">
      <c r="A2354" t="s">
        <v>3414</v>
      </c>
      <c r="B2354" t="s">
        <v>3415</v>
      </c>
      <c r="C2354" s="1">
        <v>45268</v>
      </c>
      <c r="D2354" s="2">
        <v>63016744</v>
      </c>
      <c r="E2354" s="2">
        <v>8387</v>
      </c>
      <c r="G2354" s="2">
        <v>13616356</v>
      </c>
      <c r="H2354" s="2">
        <v>166299</v>
      </c>
      <c r="I2354" s="2">
        <v>286003280</v>
      </c>
      <c r="J2354">
        <v>1</v>
      </c>
      <c r="L2354">
        <v>0</v>
      </c>
      <c r="M2354" t="str">
        <f t="shared" si="36"/>
        <v>After 2020</v>
      </c>
    </row>
    <row r="2355" spans="1:13">
      <c r="A2355" t="s">
        <v>3416</v>
      </c>
      <c r="B2355" t="s">
        <v>2004</v>
      </c>
      <c r="C2355" s="1">
        <v>43126</v>
      </c>
      <c r="D2355" s="2">
        <v>778459270</v>
      </c>
      <c r="E2355" s="2">
        <v>150813</v>
      </c>
      <c r="F2355">
        <v>67</v>
      </c>
      <c r="G2355" s="2">
        <v>311818843</v>
      </c>
      <c r="H2355" s="2">
        <v>2881524</v>
      </c>
      <c r="I2355" s="2">
        <v>873289436</v>
      </c>
      <c r="J2355">
        <v>80</v>
      </c>
      <c r="K2355">
        <v>30</v>
      </c>
      <c r="L2355">
        <v>1</v>
      </c>
      <c r="M2355" t="str">
        <f t="shared" si="36"/>
        <v>2010-2020</v>
      </c>
    </row>
    <row r="2356" spans="1:13" hidden="1">
      <c r="A2356" t="s">
        <v>3417</v>
      </c>
      <c r="B2356" t="s">
        <v>1544</v>
      </c>
      <c r="C2356" s="1">
        <v>45274</v>
      </c>
      <c r="D2356" s="2">
        <v>42043071</v>
      </c>
      <c r="E2356" s="2">
        <v>9916</v>
      </c>
      <c r="G2356" s="2">
        <v>55659616</v>
      </c>
      <c r="H2356" s="2">
        <v>244536</v>
      </c>
      <c r="J2356">
        <v>14</v>
      </c>
      <c r="K2356">
        <v>322</v>
      </c>
      <c r="L2356">
        <v>0</v>
      </c>
      <c r="M2356" t="str">
        <f t="shared" si="36"/>
        <v>After 2020</v>
      </c>
    </row>
    <row r="2357" spans="1:13">
      <c r="A2357" t="s">
        <v>3418</v>
      </c>
      <c r="B2357" t="s">
        <v>3419</v>
      </c>
      <c r="C2357" s="1">
        <v>44476</v>
      </c>
      <c r="D2357" s="2">
        <v>194908788</v>
      </c>
      <c r="E2357" s="2">
        <v>58039</v>
      </c>
      <c r="F2357">
        <v>59</v>
      </c>
      <c r="G2357" s="2">
        <v>140886656</v>
      </c>
      <c r="H2357" s="2">
        <v>3277009</v>
      </c>
      <c r="I2357" s="2">
        <v>5338367302</v>
      </c>
      <c r="J2357">
        <v>4</v>
      </c>
      <c r="K2357">
        <v>121</v>
      </c>
      <c r="L2357">
        <v>1</v>
      </c>
      <c r="M2357" t="str">
        <f t="shared" si="36"/>
        <v>After 2020</v>
      </c>
    </row>
    <row r="2358" spans="1:13">
      <c r="A2358" t="s">
        <v>3420</v>
      </c>
      <c r="B2358" t="s">
        <v>3421</v>
      </c>
      <c r="C2358" s="1">
        <v>42643</v>
      </c>
      <c r="D2358" s="2">
        <v>912446776</v>
      </c>
      <c r="E2358" s="2">
        <v>48788</v>
      </c>
      <c r="F2358">
        <v>67</v>
      </c>
      <c r="G2358" s="2">
        <v>1323533350</v>
      </c>
      <c r="H2358" s="2">
        <v>3121184</v>
      </c>
      <c r="I2358" s="2">
        <v>27776697</v>
      </c>
      <c r="J2358">
        <v>45</v>
      </c>
      <c r="K2358">
        <v>121</v>
      </c>
      <c r="L2358">
        <v>0</v>
      </c>
      <c r="M2358" t="str">
        <f t="shared" si="36"/>
        <v>2010-2020</v>
      </c>
    </row>
    <row r="2359" spans="1:13" hidden="1">
      <c r="A2359" t="s">
        <v>3422</v>
      </c>
      <c r="B2359" t="s">
        <v>141</v>
      </c>
      <c r="C2359" s="1">
        <v>44162</v>
      </c>
      <c r="D2359" s="2">
        <v>403041493</v>
      </c>
      <c r="E2359" s="2">
        <v>62435</v>
      </c>
      <c r="F2359">
        <v>66</v>
      </c>
      <c r="G2359" s="2">
        <v>452234537</v>
      </c>
      <c r="H2359" s="2">
        <v>4763627</v>
      </c>
      <c r="I2359" s="2">
        <v>1329875404</v>
      </c>
      <c r="J2359">
        <v>38</v>
      </c>
      <c r="L2359">
        <v>1</v>
      </c>
      <c r="M2359" t="str">
        <f t="shared" si="36"/>
        <v>2010-2020</v>
      </c>
    </row>
    <row r="2360" spans="1:13" hidden="1">
      <c r="A2360" t="s">
        <v>3423</v>
      </c>
      <c r="B2360" t="s">
        <v>3424</v>
      </c>
      <c r="C2360" s="1">
        <v>45420</v>
      </c>
      <c r="D2360" s="2">
        <v>8797665</v>
      </c>
      <c r="E2360">
        <v>769</v>
      </c>
      <c r="F2360">
        <v>67</v>
      </c>
      <c r="G2360" s="2">
        <v>19762635</v>
      </c>
      <c r="H2360" s="2">
        <v>804351</v>
      </c>
      <c r="J2360">
        <v>13</v>
      </c>
      <c r="L2360">
        <v>0</v>
      </c>
      <c r="M2360" t="str">
        <f t="shared" si="36"/>
        <v>After 2020</v>
      </c>
    </row>
    <row r="2361" spans="1:13" hidden="1">
      <c r="A2361" t="s">
        <v>3425</v>
      </c>
      <c r="B2361" t="s">
        <v>3426</v>
      </c>
      <c r="C2361" s="1">
        <v>45131</v>
      </c>
      <c r="D2361" s="2">
        <v>91124161</v>
      </c>
      <c r="E2361" s="2">
        <v>12758</v>
      </c>
      <c r="F2361">
        <v>71</v>
      </c>
      <c r="G2361" s="2">
        <v>31715988</v>
      </c>
      <c r="H2361" s="2">
        <v>242939</v>
      </c>
      <c r="I2361" s="2">
        <v>303931523</v>
      </c>
      <c r="J2361">
        <v>13</v>
      </c>
      <c r="L2361">
        <v>0</v>
      </c>
      <c r="M2361" t="str">
        <f t="shared" si="36"/>
        <v>After 2020</v>
      </c>
    </row>
    <row r="2362" spans="1:13" hidden="1">
      <c r="A2362" t="s">
        <v>3427</v>
      </c>
      <c r="B2362" t="s">
        <v>3428</v>
      </c>
      <c r="C2362" s="1">
        <v>45253</v>
      </c>
      <c r="D2362" s="2">
        <v>137276005</v>
      </c>
      <c r="E2362" s="2">
        <v>9079</v>
      </c>
      <c r="F2362">
        <v>72</v>
      </c>
      <c r="G2362" s="2">
        <v>73127958</v>
      </c>
      <c r="H2362" s="2">
        <v>395431</v>
      </c>
      <c r="I2362" s="2">
        <v>8230779</v>
      </c>
      <c r="J2362">
        <v>21</v>
      </c>
      <c r="L2362">
        <v>0</v>
      </c>
      <c r="M2362" t="str">
        <f t="shared" si="36"/>
        <v>After 2020</v>
      </c>
    </row>
    <row r="2363" spans="1:13" hidden="1">
      <c r="A2363" t="s">
        <v>3429</v>
      </c>
      <c r="B2363" t="s">
        <v>3430</v>
      </c>
      <c r="C2363" s="1">
        <v>44672</v>
      </c>
      <c r="D2363" s="2">
        <v>231745345</v>
      </c>
      <c r="E2363" s="2">
        <v>83611</v>
      </c>
      <c r="F2363">
        <v>65</v>
      </c>
      <c r="G2363" s="2">
        <v>96088327</v>
      </c>
      <c r="H2363" s="2">
        <v>1318047</v>
      </c>
      <c r="I2363" s="2">
        <v>354699237</v>
      </c>
      <c r="J2363">
        <v>13</v>
      </c>
      <c r="L2363">
        <v>1</v>
      </c>
      <c r="M2363" t="str">
        <f t="shared" si="36"/>
        <v>After 2020</v>
      </c>
    </row>
    <row r="2364" spans="1:13" hidden="1">
      <c r="A2364" t="s">
        <v>3431</v>
      </c>
      <c r="B2364" t="s">
        <v>3432</v>
      </c>
      <c r="C2364" s="1">
        <v>42195</v>
      </c>
      <c r="D2364" s="2">
        <v>349538935</v>
      </c>
      <c r="E2364" s="2">
        <v>48604</v>
      </c>
      <c r="F2364">
        <v>67</v>
      </c>
      <c r="G2364" s="2">
        <v>147735161</v>
      </c>
      <c r="H2364" s="2">
        <v>2427913</v>
      </c>
      <c r="I2364" s="2">
        <v>2568929437</v>
      </c>
      <c r="J2364">
        <v>25</v>
      </c>
      <c r="L2364">
        <v>0</v>
      </c>
      <c r="M2364" t="str">
        <f t="shared" si="36"/>
        <v>2010-2020</v>
      </c>
    </row>
    <row r="2365" spans="1:13" hidden="1">
      <c r="A2365" t="s">
        <v>3433</v>
      </c>
      <c r="B2365" t="s">
        <v>3434</v>
      </c>
      <c r="C2365" s="1">
        <v>45335</v>
      </c>
      <c r="D2365" s="2">
        <v>33558829</v>
      </c>
      <c r="E2365" s="2">
        <v>3403</v>
      </c>
      <c r="G2365" s="2">
        <v>61203352</v>
      </c>
      <c r="H2365" s="2">
        <v>659950</v>
      </c>
      <c r="I2365" s="2">
        <v>21319700</v>
      </c>
      <c r="J2365">
        <v>6</v>
      </c>
      <c r="L2365">
        <v>0</v>
      </c>
      <c r="M2365" t="str">
        <f t="shared" si="36"/>
        <v>After 2020</v>
      </c>
    </row>
    <row r="2366" spans="1:13">
      <c r="A2366" t="s">
        <v>3435</v>
      </c>
      <c r="B2366" t="s">
        <v>1789</v>
      </c>
      <c r="C2366" s="1">
        <v>42257</v>
      </c>
      <c r="D2366" s="2">
        <v>972089598</v>
      </c>
      <c r="E2366" s="2">
        <v>98962</v>
      </c>
      <c r="F2366">
        <v>66</v>
      </c>
      <c r="G2366" s="2">
        <v>909147975</v>
      </c>
      <c r="H2366" s="2">
        <v>6777996</v>
      </c>
      <c r="I2366" s="2">
        <v>118233698</v>
      </c>
      <c r="J2366">
        <v>140</v>
      </c>
      <c r="K2366">
        <v>47</v>
      </c>
      <c r="L2366">
        <v>0</v>
      </c>
      <c r="M2366" t="str">
        <f t="shared" si="36"/>
        <v>2010-2020</v>
      </c>
    </row>
    <row r="2367" spans="1:13">
      <c r="A2367" t="s">
        <v>3436</v>
      </c>
      <c r="B2367" t="s">
        <v>30</v>
      </c>
      <c r="C2367" s="1">
        <v>44126</v>
      </c>
      <c r="D2367" s="2">
        <v>555631717</v>
      </c>
      <c r="E2367" s="2">
        <v>127984</v>
      </c>
      <c r="F2367">
        <v>66</v>
      </c>
      <c r="G2367" s="2">
        <v>124710525</v>
      </c>
      <c r="H2367" s="2">
        <v>1463633</v>
      </c>
      <c r="I2367" s="2">
        <v>148481502</v>
      </c>
      <c r="J2367">
        <v>78</v>
      </c>
      <c r="K2367">
        <v>39</v>
      </c>
      <c r="L2367">
        <v>1</v>
      </c>
      <c r="M2367" t="str">
        <f t="shared" si="36"/>
        <v>2010-2020</v>
      </c>
    </row>
    <row r="2368" spans="1:13" hidden="1">
      <c r="A2368" t="s">
        <v>3437</v>
      </c>
      <c r="B2368" t="s">
        <v>3438</v>
      </c>
      <c r="C2368" s="1">
        <v>42417</v>
      </c>
      <c r="D2368" s="2">
        <v>1405772026</v>
      </c>
      <c r="E2368" s="2">
        <v>122979</v>
      </c>
      <c r="F2368">
        <v>70</v>
      </c>
      <c r="G2368" s="2">
        <v>1018478143</v>
      </c>
      <c r="H2368" s="2">
        <v>8878070</v>
      </c>
      <c r="I2368" s="2">
        <v>240189266</v>
      </c>
      <c r="J2368">
        <v>4</v>
      </c>
      <c r="L2368">
        <v>1</v>
      </c>
      <c r="M2368" t="str">
        <f t="shared" si="36"/>
        <v>2010-2020</v>
      </c>
    </row>
    <row r="2369" spans="1:13">
      <c r="A2369" t="s">
        <v>3439</v>
      </c>
      <c r="B2369" t="s">
        <v>2703</v>
      </c>
      <c r="C2369" s="1">
        <v>42405</v>
      </c>
      <c r="D2369" s="2">
        <v>1274848626</v>
      </c>
      <c r="E2369" s="2">
        <v>213943</v>
      </c>
      <c r="F2369">
        <v>70</v>
      </c>
      <c r="G2369" s="2">
        <v>267224710</v>
      </c>
      <c r="H2369" s="2">
        <v>2081752</v>
      </c>
      <c r="I2369" s="2">
        <v>234589315</v>
      </c>
      <c r="J2369">
        <v>86</v>
      </c>
      <c r="K2369">
        <v>195</v>
      </c>
      <c r="L2369">
        <v>0</v>
      </c>
      <c r="M2369" t="str">
        <f t="shared" si="36"/>
        <v>2010-2020</v>
      </c>
    </row>
    <row r="2370" spans="1:13" hidden="1">
      <c r="A2370" t="s">
        <v>3440</v>
      </c>
      <c r="B2370" t="s">
        <v>3441</v>
      </c>
      <c r="C2370" s="1">
        <v>45246</v>
      </c>
      <c r="D2370" s="2">
        <v>106759874</v>
      </c>
      <c r="E2370" s="2">
        <v>18359</v>
      </c>
      <c r="F2370">
        <v>71</v>
      </c>
      <c r="G2370" s="2">
        <v>35214805</v>
      </c>
      <c r="H2370" s="2">
        <v>168576</v>
      </c>
      <c r="J2370">
        <v>12</v>
      </c>
      <c r="L2370">
        <v>0</v>
      </c>
      <c r="M2370" t="str">
        <f t="shared" si="36"/>
        <v>After 2020</v>
      </c>
    </row>
    <row r="2371" spans="1:13">
      <c r="A2371" t="s">
        <v>3442</v>
      </c>
      <c r="B2371" t="s">
        <v>3443</v>
      </c>
      <c r="C2371" s="1">
        <v>44230</v>
      </c>
      <c r="D2371" s="2">
        <v>364856266</v>
      </c>
      <c r="E2371" s="2">
        <v>76669</v>
      </c>
      <c r="F2371">
        <v>62</v>
      </c>
      <c r="G2371" s="2">
        <v>214069737</v>
      </c>
      <c r="H2371" s="2">
        <v>2307973</v>
      </c>
      <c r="I2371" s="2">
        <v>1045339221</v>
      </c>
      <c r="J2371">
        <v>57</v>
      </c>
      <c r="K2371">
        <v>16</v>
      </c>
      <c r="L2371">
        <v>0</v>
      </c>
      <c r="M2371" t="str">
        <f t="shared" ref="M2371:M2434" si="37">IF(YEAR(C2371)&lt;2010,"Before 2010",IF(YEAR(C2371)&lt;=2020,"2010-2020","After 2020"))</f>
        <v>After 2020</v>
      </c>
    </row>
    <row r="2372" spans="1:13">
      <c r="A2372" t="s">
        <v>3444</v>
      </c>
      <c r="B2372" t="s">
        <v>66</v>
      </c>
      <c r="C2372" s="1">
        <v>44701</v>
      </c>
      <c r="D2372" s="2">
        <v>455718141</v>
      </c>
      <c r="E2372" s="2">
        <v>51605</v>
      </c>
      <c r="F2372">
        <v>70</v>
      </c>
      <c r="G2372" s="2">
        <v>75741997</v>
      </c>
      <c r="H2372" s="2">
        <v>1437701</v>
      </c>
      <c r="I2372" s="2">
        <v>440110491</v>
      </c>
      <c r="J2372">
        <v>40</v>
      </c>
      <c r="K2372">
        <v>29</v>
      </c>
      <c r="L2372">
        <v>0</v>
      </c>
      <c r="M2372" t="str">
        <f t="shared" si="37"/>
        <v>After 2020</v>
      </c>
    </row>
    <row r="2373" spans="1:13" hidden="1">
      <c r="A2373" t="s">
        <v>3445</v>
      </c>
      <c r="B2373" t="s">
        <v>141</v>
      </c>
      <c r="C2373" s="1">
        <v>43890</v>
      </c>
      <c r="D2373" s="2">
        <v>915557792</v>
      </c>
      <c r="E2373" s="2">
        <v>96498</v>
      </c>
      <c r="F2373">
        <v>75</v>
      </c>
      <c r="G2373" s="2">
        <v>372427636</v>
      </c>
      <c r="H2373" s="2">
        <v>1612028</v>
      </c>
      <c r="I2373" s="2">
        <v>69210381</v>
      </c>
      <c r="J2373">
        <v>86</v>
      </c>
      <c r="L2373">
        <v>1</v>
      </c>
      <c r="M2373" t="str">
        <f t="shared" si="37"/>
        <v>2010-2020</v>
      </c>
    </row>
    <row r="2374" spans="1:13" hidden="1">
      <c r="A2374" t="s">
        <v>3446</v>
      </c>
      <c r="B2374" t="s">
        <v>3447</v>
      </c>
      <c r="C2374" s="1">
        <v>43630</v>
      </c>
      <c r="D2374" s="2">
        <v>211095929</v>
      </c>
      <c r="E2374" s="2">
        <v>15632</v>
      </c>
      <c r="F2374">
        <v>63</v>
      </c>
      <c r="G2374" s="2">
        <v>325655059</v>
      </c>
      <c r="H2374" s="2">
        <v>2524096</v>
      </c>
      <c r="I2374" s="2">
        <v>94600665</v>
      </c>
      <c r="J2374">
        <v>16</v>
      </c>
      <c r="L2374">
        <v>0</v>
      </c>
      <c r="M2374" t="str">
        <f t="shared" si="37"/>
        <v>2010-2020</v>
      </c>
    </row>
    <row r="2375" spans="1:13" hidden="1">
      <c r="A2375" t="s">
        <v>3448</v>
      </c>
      <c r="B2375" t="s">
        <v>747</v>
      </c>
      <c r="C2375" s="1">
        <v>44449</v>
      </c>
      <c r="D2375" s="2">
        <v>378668802</v>
      </c>
      <c r="E2375" s="2">
        <v>110916</v>
      </c>
      <c r="F2375">
        <v>71</v>
      </c>
      <c r="G2375" s="2">
        <v>46877855</v>
      </c>
      <c r="H2375" s="2">
        <v>687841</v>
      </c>
      <c r="I2375" s="2">
        <v>658699167</v>
      </c>
      <c r="J2375">
        <v>6</v>
      </c>
      <c r="L2375">
        <v>1</v>
      </c>
      <c r="M2375" t="str">
        <f t="shared" si="37"/>
        <v>After 2020</v>
      </c>
    </row>
    <row r="2376" spans="1:13" hidden="1">
      <c r="A2376" t="s">
        <v>3449</v>
      </c>
      <c r="B2376" t="s">
        <v>3450</v>
      </c>
      <c r="C2376" s="1">
        <v>44938</v>
      </c>
      <c r="D2376" s="2">
        <v>40654</v>
      </c>
      <c r="E2376">
        <v>75</v>
      </c>
      <c r="F2376">
        <v>7</v>
      </c>
      <c r="G2376" s="2">
        <v>361176372</v>
      </c>
      <c r="H2376" s="2">
        <v>4152958</v>
      </c>
      <c r="J2376">
        <v>1</v>
      </c>
      <c r="L2376">
        <v>0</v>
      </c>
      <c r="M2376" t="str">
        <f t="shared" si="37"/>
        <v>After 2020</v>
      </c>
    </row>
    <row r="2377" spans="1:13" hidden="1">
      <c r="A2377" t="s">
        <v>2382</v>
      </c>
      <c r="B2377" t="s">
        <v>295</v>
      </c>
      <c r="C2377" s="1">
        <v>42678</v>
      </c>
      <c r="E2377">
        <v>35</v>
      </c>
      <c r="F2377">
        <v>6</v>
      </c>
      <c r="G2377" s="2">
        <v>2009670018</v>
      </c>
      <c r="H2377" s="2">
        <v>11043335</v>
      </c>
      <c r="L2377">
        <v>0</v>
      </c>
      <c r="M2377" t="str">
        <f t="shared" si="37"/>
        <v>2010-2020</v>
      </c>
    </row>
    <row r="2378" spans="1:13">
      <c r="A2378" t="s">
        <v>3451</v>
      </c>
      <c r="B2378" t="s">
        <v>3452</v>
      </c>
      <c r="C2378" s="1">
        <v>40323</v>
      </c>
      <c r="D2378" s="2">
        <v>1335928309</v>
      </c>
      <c r="E2378" s="2">
        <v>190857</v>
      </c>
      <c r="F2378">
        <v>81</v>
      </c>
      <c r="G2378" s="2">
        <v>165856240</v>
      </c>
      <c r="H2378" s="2">
        <v>1428581</v>
      </c>
      <c r="I2378" s="2">
        <v>595426317</v>
      </c>
      <c r="J2378">
        <v>154</v>
      </c>
      <c r="K2378" s="2">
        <v>1200</v>
      </c>
      <c r="L2378">
        <v>0</v>
      </c>
      <c r="M2378" t="str">
        <f t="shared" si="37"/>
        <v>2010-2020</v>
      </c>
    </row>
    <row r="2379" spans="1:13">
      <c r="A2379" t="s">
        <v>3453</v>
      </c>
      <c r="B2379" t="s">
        <v>3454</v>
      </c>
      <c r="C2379" s="1">
        <v>44946</v>
      </c>
      <c r="D2379" s="2">
        <v>54683202</v>
      </c>
      <c r="E2379" s="2">
        <v>28810</v>
      </c>
      <c r="F2379">
        <v>61</v>
      </c>
      <c r="G2379" s="2">
        <v>117764650</v>
      </c>
      <c r="H2379" s="2">
        <v>714375</v>
      </c>
      <c r="I2379" s="2">
        <v>85578368</v>
      </c>
      <c r="J2379">
        <v>51</v>
      </c>
      <c r="K2379">
        <v>155</v>
      </c>
      <c r="L2379">
        <v>1</v>
      </c>
      <c r="M2379" t="str">
        <f t="shared" si="37"/>
        <v>After 2020</v>
      </c>
    </row>
    <row r="2380" spans="1:13" hidden="1">
      <c r="A2380" t="s">
        <v>3455</v>
      </c>
      <c r="B2380" t="s">
        <v>61</v>
      </c>
      <c r="C2380" s="1">
        <v>44239</v>
      </c>
      <c r="D2380" s="2">
        <v>763292840</v>
      </c>
      <c r="E2380" s="2">
        <v>71179</v>
      </c>
      <c r="F2380">
        <v>74</v>
      </c>
      <c r="G2380" s="2">
        <v>95479909</v>
      </c>
      <c r="H2380" s="2">
        <v>1954310</v>
      </c>
      <c r="I2380" s="2">
        <v>2195330963</v>
      </c>
      <c r="J2380">
        <v>100</v>
      </c>
      <c r="L2380">
        <v>0</v>
      </c>
      <c r="M2380" t="str">
        <f t="shared" si="37"/>
        <v>After 2020</v>
      </c>
    </row>
    <row r="2381" spans="1:13" hidden="1">
      <c r="A2381" t="s">
        <v>3456</v>
      </c>
      <c r="B2381" t="s">
        <v>1312</v>
      </c>
      <c r="C2381" s="1">
        <v>45191</v>
      </c>
      <c r="D2381" s="2">
        <v>176958728</v>
      </c>
      <c r="E2381" s="2">
        <v>14482</v>
      </c>
      <c r="G2381" s="2">
        <v>81376781</v>
      </c>
      <c r="H2381" s="2">
        <v>379156</v>
      </c>
      <c r="I2381" s="2">
        <v>2498673</v>
      </c>
      <c r="J2381">
        <v>10</v>
      </c>
      <c r="L2381">
        <v>1</v>
      </c>
      <c r="M2381" t="str">
        <f t="shared" si="37"/>
        <v>After 2020</v>
      </c>
    </row>
    <row r="2382" spans="1:13" hidden="1">
      <c r="A2382" t="s">
        <v>3457</v>
      </c>
      <c r="B2382" t="s">
        <v>350</v>
      </c>
      <c r="C2382" s="1">
        <v>44890</v>
      </c>
      <c r="D2382" s="2">
        <v>270327239</v>
      </c>
      <c r="E2382" s="2">
        <v>47167</v>
      </c>
      <c r="F2382">
        <v>66</v>
      </c>
      <c r="I2382" s="2">
        <v>1908957097</v>
      </c>
      <c r="J2382">
        <v>13</v>
      </c>
      <c r="L2382">
        <v>1</v>
      </c>
      <c r="M2382" t="str">
        <f t="shared" si="37"/>
        <v>After 2020</v>
      </c>
    </row>
    <row r="2383" spans="1:13">
      <c r="A2383" t="s">
        <v>3458</v>
      </c>
      <c r="B2383" t="s">
        <v>1414</v>
      </c>
      <c r="C2383" s="1">
        <v>44988</v>
      </c>
      <c r="D2383" s="2">
        <v>209988103</v>
      </c>
      <c r="E2383" s="2">
        <v>30013</v>
      </c>
      <c r="F2383">
        <v>67</v>
      </c>
      <c r="G2383" s="2">
        <v>141919199</v>
      </c>
      <c r="H2383" s="2">
        <v>1514197</v>
      </c>
      <c r="I2383" s="2">
        <v>87467392</v>
      </c>
      <c r="J2383">
        <v>14</v>
      </c>
      <c r="K2383">
        <v>316</v>
      </c>
      <c r="L2383">
        <v>1</v>
      </c>
      <c r="M2383" t="str">
        <f t="shared" si="37"/>
        <v>After 2020</v>
      </c>
    </row>
    <row r="2384" spans="1:13" hidden="1">
      <c r="A2384" t="s">
        <v>3459</v>
      </c>
      <c r="B2384" t="s">
        <v>1373</v>
      </c>
      <c r="C2384" s="1">
        <v>45190</v>
      </c>
      <c r="D2384" s="2">
        <v>36059521</v>
      </c>
      <c r="E2384" s="2">
        <v>4589</v>
      </c>
      <c r="G2384" s="2">
        <v>1031056</v>
      </c>
      <c r="H2384" s="2">
        <v>17134</v>
      </c>
      <c r="I2384" s="2">
        <v>19880210</v>
      </c>
      <c r="J2384">
        <v>19</v>
      </c>
      <c r="K2384">
        <v>108</v>
      </c>
      <c r="L2384">
        <v>0</v>
      </c>
      <c r="M2384" t="str">
        <f t="shared" si="37"/>
        <v>After 2020</v>
      </c>
    </row>
    <row r="2385" spans="1:13" hidden="1">
      <c r="A2385" t="s">
        <v>3460</v>
      </c>
      <c r="B2385" t="s">
        <v>3461</v>
      </c>
      <c r="C2385" s="1">
        <v>45414</v>
      </c>
      <c r="G2385" s="2">
        <v>32341045</v>
      </c>
      <c r="H2385" s="2">
        <v>31153</v>
      </c>
      <c r="L2385">
        <v>0</v>
      </c>
      <c r="M2385" t="str">
        <f t="shared" si="37"/>
        <v>After 2020</v>
      </c>
    </row>
    <row r="2386" spans="1:13">
      <c r="A2386" t="s">
        <v>3462</v>
      </c>
      <c r="B2386" t="s">
        <v>51</v>
      </c>
      <c r="C2386" s="1">
        <v>43299</v>
      </c>
      <c r="D2386" s="2">
        <v>860596912</v>
      </c>
      <c r="E2386" s="2">
        <v>103375</v>
      </c>
      <c r="F2386">
        <v>71</v>
      </c>
      <c r="G2386" s="2">
        <v>520754022</v>
      </c>
      <c r="H2386" s="2">
        <v>9647204</v>
      </c>
      <c r="I2386" s="2">
        <v>397345798</v>
      </c>
      <c r="J2386">
        <v>82</v>
      </c>
      <c r="K2386">
        <v>233</v>
      </c>
      <c r="L2386">
        <v>0</v>
      </c>
      <c r="M2386" t="str">
        <f t="shared" si="37"/>
        <v>2010-2020</v>
      </c>
    </row>
    <row r="2387" spans="1:13">
      <c r="A2387" t="s">
        <v>3463</v>
      </c>
      <c r="B2387" t="s">
        <v>981</v>
      </c>
      <c r="C2387" s="1">
        <v>43546</v>
      </c>
      <c r="D2387" s="2">
        <v>547483874</v>
      </c>
      <c r="E2387" s="2">
        <v>59096</v>
      </c>
      <c r="F2387">
        <v>61</v>
      </c>
      <c r="G2387" s="2">
        <v>768753162</v>
      </c>
      <c r="H2387" s="2">
        <v>3000650</v>
      </c>
      <c r="I2387" s="2">
        <v>5221834</v>
      </c>
      <c r="J2387">
        <v>59</v>
      </c>
      <c r="K2387">
        <v>55</v>
      </c>
      <c r="L2387">
        <v>0</v>
      </c>
      <c r="M2387" t="str">
        <f t="shared" si="37"/>
        <v>2010-2020</v>
      </c>
    </row>
    <row r="2388" spans="1:13" hidden="1">
      <c r="A2388" t="s">
        <v>3464</v>
      </c>
      <c r="B2388" t="s">
        <v>762</v>
      </c>
      <c r="C2388" s="1">
        <v>43398</v>
      </c>
      <c r="D2388" s="2">
        <v>853574945</v>
      </c>
      <c r="E2388" s="2">
        <v>46385</v>
      </c>
      <c r="F2388">
        <v>73</v>
      </c>
      <c r="G2388" s="2">
        <v>867818629</v>
      </c>
      <c r="H2388" s="2">
        <v>6416562</v>
      </c>
      <c r="I2388" s="2">
        <v>1181845727</v>
      </c>
      <c r="L2388">
        <v>0</v>
      </c>
      <c r="M2388" t="str">
        <f t="shared" si="37"/>
        <v>2010-2020</v>
      </c>
    </row>
    <row r="2389" spans="1:13" hidden="1">
      <c r="A2389" t="s">
        <v>3465</v>
      </c>
      <c r="B2389" t="s">
        <v>3466</v>
      </c>
      <c r="C2389" s="1">
        <v>45351</v>
      </c>
      <c r="D2389" s="2">
        <v>6591040</v>
      </c>
      <c r="E2389">
        <v>295</v>
      </c>
      <c r="G2389" s="2">
        <v>68503599</v>
      </c>
      <c r="H2389" s="2">
        <v>712779</v>
      </c>
      <c r="J2389">
        <v>1</v>
      </c>
      <c r="L2389">
        <v>0</v>
      </c>
      <c r="M2389" t="str">
        <f t="shared" si="37"/>
        <v>After 2020</v>
      </c>
    </row>
    <row r="2390" spans="1:13" hidden="1">
      <c r="A2390" t="s">
        <v>3467</v>
      </c>
      <c r="B2390" t="s">
        <v>3468</v>
      </c>
      <c r="C2390" s="1">
        <v>44879</v>
      </c>
      <c r="E2390">
        <v>1</v>
      </c>
      <c r="G2390" s="2">
        <v>415159148</v>
      </c>
      <c r="H2390" s="2">
        <v>745345</v>
      </c>
      <c r="L2390">
        <v>0</v>
      </c>
      <c r="M2390" t="str">
        <f t="shared" si="37"/>
        <v>After 2020</v>
      </c>
    </row>
    <row r="2391" spans="1:13" hidden="1">
      <c r="A2391" t="s">
        <v>3469</v>
      </c>
      <c r="B2391" t="s">
        <v>775</v>
      </c>
      <c r="C2391" s="1">
        <v>45331</v>
      </c>
      <c r="D2391" s="2">
        <v>51862502</v>
      </c>
      <c r="E2391" s="2">
        <v>14144</v>
      </c>
      <c r="F2391">
        <v>74</v>
      </c>
      <c r="G2391" s="2">
        <v>1992397</v>
      </c>
      <c r="H2391" s="2">
        <v>46818</v>
      </c>
      <c r="J2391">
        <v>32</v>
      </c>
      <c r="L2391">
        <v>0</v>
      </c>
      <c r="M2391" t="str">
        <f t="shared" si="37"/>
        <v>After 2020</v>
      </c>
    </row>
    <row r="2392" spans="1:13">
      <c r="A2392" t="s">
        <v>3470</v>
      </c>
      <c r="B2392" t="s">
        <v>3471</v>
      </c>
      <c r="C2392" s="1">
        <v>42853</v>
      </c>
      <c r="D2392" s="2">
        <v>1561518107</v>
      </c>
      <c r="E2392" s="2">
        <v>183674</v>
      </c>
      <c r="F2392">
        <v>82</v>
      </c>
      <c r="G2392" s="2">
        <v>96339252</v>
      </c>
      <c r="H2392" s="2">
        <v>1072061</v>
      </c>
      <c r="I2392" s="2">
        <v>7603775552</v>
      </c>
      <c r="J2392">
        <v>40</v>
      </c>
      <c r="K2392">
        <v>119</v>
      </c>
      <c r="L2392">
        <v>0</v>
      </c>
      <c r="M2392" t="str">
        <f t="shared" si="37"/>
        <v>2010-2020</v>
      </c>
    </row>
    <row r="2393" spans="1:13" hidden="1">
      <c r="A2393" t="s">
        <v>3472</v>
      </c>
      <c r="B2393" t="s">
        <v>3473</v>
      </c>
      <c r="C2393" s="1">
        <v>44589</v>
      </c>
      <c r="D2393" s="2">
        <v>166427224</v>
      </c>
      <c r="E2393" s="2">
        <v>17110</v>
      </c>
      <c r="F2393">
        <v>53</v>
      </c>
      <c r="G2393" s="2">
        <v>401495057</v>
      </c>
      <c r="H2393" s="2">
        <v>2782962</v>
      </c>
      <c r="I2393" s="2">
        <v>1504623313</v>
      </c>
      <c r="J2393">
        <v>18</v>
      </c>
      <c r="L2393">
        <v>0</v>
      </c>
      <c r="M2393" t="str">
        <f t="shared" si="37"/>
        <v>After 2020</v>
      </c>
    </row>
    <row r="2394" spans="1:13">
      <c r="A2394" t="s">
        <v>3474</v>
      </c>
      <c r="B2394" t="s">
        <v>3475</v>
      </c>
      <c r="C2394" s="1">
        <v>41971</v>
      </c>
      <c r="D2394" s="2">
        <v>1410353130</v>
      </c>
      <c r="E2394" s="2">
        <v>218492</v>
      </c>
      <c r="F2394">
        <v>83</v>
      </c>
      <c r="G2394" s="2">
        <v>417265571</v>
      </c>
      <c r="H2394" s="2">
        <v>5087140</v>
      </c>
      <c r="I2394" s="2">
        <v>3241952947</v>
      </c>
      <c r="J2394">
        <v>38</v>
      </c>
      <c r="K2394">
        <v>652</v>
      </c>
      <c r="L2394">
        <v>0</v>
      </c>
      <c r="M2394" t="str">
        <f t="shared" si="37"/>
        <v>2010-2020</v>
      </c>
    </row>
    <row r="2395" spans="1:13">
      <c r="A2395" t="s">
        <v>3476</v>
      </c>
      <c r="B2395" t="s">
        <v>51</v>
      </c>
      <c r="C2395" s="1">
        <v>43553</v>
      </c>
      <c r="D2395" s="2">
        <v>930343185</v>
      </c>
      <c r="E2395" s="2">
        <v>116055</v>
      </c>
      <c r="F2395">
        <v>75</v>
      </c>
      <c r="G2395" s="2">
        <v>280579630</v>
      </c>
      <c r="H2395" s="2">
        <v>3517952</v>
      </c>
      <c r="I2395" s="2">
        <v>724117161</v>
      </c>
      <c r="J2395">
        <v>35</v>
      </c>
      <c r="K2395">
        <v>1</v>
      </c>
      <c r="L2395">
        <v>0</v>
      </c>
      <c r="M2395" t="str">
        <f t="shared" si="37"/>
        <v>2010-2020</v>
      </c>
    </row>
    <row r="2396" spans="1:13" hidden="1">
      <c r="A2396" t="s">
        <v>3477</v>
      </c>
      <c r="B2396" t="s">
        <v>3478</v>
      </c>
      <c r="C2396" s="1">
        <v>45079</v>
      </c>
      <c r="D2396" s="2">
        <v>164667038</v>
      </c>
      <c r="E2396" s="2">
        <v>46918</v>
      </c>
      <c r="F2396">
        <v>69</v>
      </c>
      <c r="G2396" s="2">
        <v>902072</v>
      </c>
      <c r="H2396" s="2">
        <v>8290</v>
      </c>
      <c r="I2396" s="2">
        <v>14577073</v>
      </c>
      <c r="J2396">
        <v>23</v>
      </c>
      <c r="L2396">
        <v>0</v>
      </c>
      <c r="M2396" t="str">
        <f t="shared" si="37"/>
        <v>After 2020</v>
      </c>
    </row>
    <row r="2397" spans="1:13" hidden="1">
      <c r="A2397" t="s">
        <v>3479</v>
      </c>
      <c r="B2397" t="s">
        <v>3480</v>
      </c>
      <c r="C2397" s="1">
        <v>45223</v>
      </c>
      <c r="D2397" s="2">
        <v>996881</v>
      </c>
      <c r="E2397">
        <v>446</v>
      </c>
      <c r="G2397" s="2">
        <v>637836</v>
      </c>
      <c r="H2397" s="2">
        <v>17513</v>
      </c>
      <c r="I2397" s="2">
        <v>3461361475</v>
      </c>
      <c r="L2397">
        <v>0</v>
      </c>
      <c r="M2397" t="str">
        <f t="shared" si="37"/>
        <v>After 2020</v>
      </c>
    </row>
    <row r="2398" spans="1:13">
      <c r="A2398" t="s">
        <v>3481</v>
      </c>
      <c r="B2398" t="s">
        <v>276</v>
      </c>
      <c r="C2398" s="1">
        <v>43069</v>
      </c>
      <c r="D2398" s="2">
        <v>949651805</v>
      </c>
      <c r="E2398" s="2">
        <v>141296</v>
      </c>
      <c r="F2398">
        <v>72</v>
      </c>
      <c r="G2398" s="2">
        <v>182719598</v>
      </c>
      <c r="H2398" s="2">
        <v>2055406</v>
      </c>
      <c r="I2398" s="2">
        <v>529467091</v>
      </c>
      <c r="J2398">
        <v>69</v>
      </c>
      <c r="K2398">
        <v>14</v>
      </c>
      <c r="L2398">
        <v>1</v>
      </c>
      <c r="M2398" t="str">
        <f t="shared" si="37"/>
        <v>2010-2020</v>
      </c>
    </row>
    <row r="2399" spans="1:13" hidden="1">
      <c r="A2399" t="s">
        <v>76</v>
      </c>
      <c r="B2399" t="s">
        <v>77</v>
      </c>
      <c r="C2399" s="1">
        <v>44386</v>
      </c>
      <c r="D2399" s="2">
        <v>3107100349</v>
      </c>
      <c r="E2399" s="2">
        <v>11726</v>
      </c>
      <c r="F2399">
        <v>53</v>
      </c>
      <c r="J2399">
        <v>146</v>
      </c>
      <c r="L2399">
        <v>0</v>
      </c>
      <c r="M2399" t="str">
        <f t="shared" si="37"/>
        <v>After 2020</v>
      </c>
    </row>
    <row r="2400" spans="1:13" hidden="1">
      <c r="A2400" t="s">
        <v>3482</v>
      </c>
      <c r="B2400" t="s">
        <v>3483</v>
      </c>
      <c r="C2400" s="1">
        <v>45435</v>
      </c>
      <c r="D2400" s="2">
        <v>2164864</v>
      </c>
      <c r="E2400">
        <v>113</v>
      </c>
      <c r="F2400">
        <v>59</v>
      </c>
      <c r="G2400" s="2">
        <v>15887461</v>
      </c>
      <c r="H2400" s="2">
        <v>533961</v>
      </c>
      <c r="L2400">
        <v>0</v>
      </c>
      <c r="M2400" t="str">
        <f t="shared" si="37"/>
        <v>After 2020</v>
      </c>
    </row>
    <row r="2401" spans="1:13">
      <c r="A2401" t="s">
        <v>3484</v>
      </c>
      <c r="B2401" t="s">
        <v>1534</v>
      </c>
      <c r="C2401" s="1">
        <v>45156</v>
      </c>
      <c r="D2401" s="2">
        <v>47296342</v>
      </c>
      <c r="E2401" s="2">
        <v>10429</v>
      </c>
      <c r="F2401">
        <v>46</v>
      </c>
      <c r="G2401" s="2">
        <v>33439568</v>
      </c>
      <c r="H2401" s="2">
        <v>316661</v>
      </c>
      <c r="I2401" s="2">
        <v>37869926</v>
      </c>
      <c r="J2401">
        <v>10</v>
      </c>
      <c r="K2401">
        <v>16</v>
      </c>
      <c r="L2401">
        <v>1</v>
      </c>
      <c r="M2401" t="str">
        <f t="shared" si="37"/>
        <v>After 2020</v>
      </c>
    </row>
    <row r="2402" spans="1:13" hidden="1">
      <c r="A2402" t="s">
        <v>3485</v>
      </c>
      <c r="B2402" t="s">
        <v>200</v>
      </c>
      <c r="C2402" s="1">
        <v>45036</v>
      </c>
      <c r="D2402" s="2">
        <v>192231633</v>
      </c>
      <c r="E2402" s="2">
        <v>22780</v>
      </c>
      <c r="F2402">
        <v>65</v>
      </c>
      <c r="G2402" s="2">
        <v>111990624</v>
      </c>
      <c r="H2402" s="2">
        <v>724790</v>
      </c>
      <c r="I2402" s="2">
        <v>32536991</v>
      </c>
      <c r="J2402">
        <v>12</v>
      </c>
      <c r="L2402">
        <v>1</v>
      </c>
      <c r="M2402" t="str">
        <f t="shared" si="37"/>
        <v>After 2020</v>
      </c>
    </row>
    <row r="2403" spans="1:13">
      <c r="A2403" t="s">
        <v>3486</v>
      </c>
      <c r="B2403" t="s">
        <v>1986</v>
      </c>
      <c r="C2403" s="1">
        <v>45233</v>
      </c>
      <c r="D2403" s="2">
        <v>44047842</v>
      </c>
      <c r="E2403" s="2">
        <v>8961</v>
      </c>
      <c r="F2403">
        <v>11</v>
      </c>
      <c r="G2403" s="2">
        <v>11326093</v>
      </c>
      <c r="H2403" s="2">
        <v>90929</v>
      </c>
      <c r="I2403" s="2">
        <v>8486978</v>
      </c>
      <c r="J2403">
        <v>16</v>
      </c>
      <c r="K2403">
        <v>4</v>
      </c>
      <c r="L2403">
        <v>0</v>
      </c>
      <c r="M2403" t="str">
        <f t="shared" si="37"/>
        <v>After 2020</v>
      </c>
    </row>
    <row r="2404" spans="1:13">
      <c r="A2404" t="s">
        <v>3487</v>
      </c>
      <c r="B2404" t="s">
        <v>2448</v>
      </c>
      <c r="C2404" s="1">
        <v>43875</v>
      </c>
      <c r="D2404" s="2">
        <v>671310199</v>
      </c>
      <c r="E2404" s="2">
        <v>156377</v>
      </c>
      <c r="F2404">
        <v>76</v>
      </c>
      <c r="G2404" s="2">
        <v>125724257</v>
      </c>
      <c r="H2404" s="2">
        <v>1588850</v>
      </c>
      <c r="I2404" s="2">
        <v>961188514</v>
      </c>
      <c r="J2404">
        <v>46</v>
      </c>
      <c r="K2404">
        <v>85</v>
      </c>
      <c r="L2404">
        <v>0</v>
      </c>
      <c r="M2404" t="str">
        <f t="shared" si="37"/>
        <v>2010-2020</v>
      </c>
    </row>
    <row r="2405" spans="1:13">
      <c r="A2405" t="s">
        <v>3488</v>
      </c>
      <c r="B2405" t="s">
        <v>506</v>
      </c>
      <c r="C2405" s="1">
        <v>43973</v>
      </c>
      <c r="D2405" s="2">
        <v>327311508</v>
      </c>
      <c r="E2405" s="2">
        <v>31216</v>
      </c>
      <c r="F2405">
        <v>68</v>
      </c>
      <c r="G2405" s="2">
        <v>699298520</v>
      </c>
      <c r="H2405" s="2">
        <v>2643453</v>
      </c>
      <c r="I2405" s="2">
        <v>271173077</v>
      </c>
      <c r="J2405">
        <v>15</v>
      </c>
      <c r="K2405">
        <v>27</v>
      </c>
      <c r="L2405">
        <v>0</v>
      </c>
      <c r="M2405" t="str">
        <f t="shared" si="37"/>
        <v>2010-2020</v>
      </c>
    </row>
    <row r="2406" spans="1:13">
      <c r="A2406" t="s">
        <v>3489</v>
      </c>
      <c r="B2406" t="s">
        <v>51</v>
      </c>
      <c r="C2406" s="1">
        <v>43874</v>
      </c>
      <c r="D2406" s="2">
        <v>610838644</v>
      </c>
      <c r="E2406" s="2">
        <v>91391</v>
      </c>
      <c r="F2406">
        <v>70</v>
      </c>
      <c r="G2406" s="2">
        <v>369182880</v>
      </c>
      <c r="H2406" s="2">
        <v>7406983</v>
      </c>
      <c r="I2406" s="2">
        <v>69072143</v>
      </c>
      <c r="J2406">
        <v>88</v>
      </c>
      <c r="K2406">
        <v>7</v>
      </c>
      <c r="L2406">
        <v>0</v>
      </c>
      <c r="M2406" t="str">
        <f t="shared" si="37"/>
        <v>2010-2020</v>
      </c>
    </row>
    <row r="2407" spans="1:13" hidden="1">
      <c r="A2407" t="s">
        <v>3490</v>
      </c>
      <c r="B2407" t="s">
        <v>3491</v>
      </c>
      <c r="C2407" s="1">
        <v>44915</v>
      </c>
      <c r="D2407" s="2">
        <v>155367</v>
      </c>
      <c r="E2407">
        <v>512</v>
      </c>
      <c r="G2407" s="2">
        <v>21746915</v>
      </c>
      <c r="H2407" s="2">
        <v>272517</v>
      </c>
      <c r="I2407" s="2">
        <v>2017012601</v>
      </c>
      <c r="J2407">
        <v>20</v>
      </c>
      <c r="L2407">
        <v>1</v>
      </c>
      <c r="M2407" t="str">
        <f t="shared" si="37"/>
        <v>After 2020</v>
      </c>
    </row>
    <row r="2408" spans="1:13" hidden="1">
      <c r="A2408" t="s">
        <v>3492</v>
      </c>
      <c r="B2408" t="s">
        <v>3493</v>
      </c>
      <c r="C2408" s="1">
        <v>44694</v>
      </c>
      <c r="D2408" s="2">
        <v>215837483</v>
      </c>
      <c r="E2408" s="2">
        <v>26581</v>
      </c>
      <c r="F2408">
        <v>61</v>
      </c>
      <c r="G2408" s="2">
        <v>306900769</v>
      </c>
      <c r="H2408" s="2">
        <v>1945111</v>
      </c>
      <c r="I2408" s="2">
        <v>1027674393</v>
      </c>
      <c r="J2408">
        <v>3</v>
      </c>
      <c r="L2408">
        <v>0</v>
      </c>
      <c r="M2408" t="str">
        <f t="shared" si="37"/>
        <v>After 2020</v>
      </c>
    </row>
    <row r="2409" spans="1:13">
      <c r="A2409" t="s">
        <v>3494</v>
      </c>
      <c r="B2409" t="s">
        <v>459</v>
      </c>
      <c r="C2409" s="1">
        <v>42524</v>
      </c>
      <c r="D2409" s="2">
        <v>559708419</v>
      </c>
      <c r="E2409" s="2">
        <v>61743</v>
      </c>
      <c r="F2409">
        <v>65</v>
      </c>
      <c r="G2409" s="2">
        <v>1254068497</v>
      </c>
      <c r="H2409" s="2">
        <v>4746667</v>
      </c>
      <c r="I2409" s="2">
        <v>148552468</v>
      </c>
      <c r="J2409">
        <v>117</v>
      </c>
      <c r="K2409">
        <v>63</v>
      </c>
      <c r="L2409">
        <v>0</v>
      </c>
      <c r="M2409" t="str">
        <f t="shared" si="37"/>
        <v>2010-2020</v>
      </c>
    </row>
    <row r="2410" spans="1:13">
      <c r="A2410" t="s">
        <v>3495</v>
      </c>
      <c r="B2410" t="s">
        <v>3496</v>
      </c>
      <c r="C2410" s="1">
        <v>43350</v>
      </c>
      <c r="D2410" s="2">
        <v>822935346</v>
      </c>
      <c r="E2410" s="2">
        <v>90889</v>
      </c>
      <c r="F2410">
        <v>69</v>
      </c>
      <c r="G2410" s="2">
        <v>659693784</v>
      </c>
      <c r="H2410" s="2">
        <v>6100262</v>
      </c>
      <c r="I2410" s="2">
        <v>581871422</v>
      </c>
      <c r="J2410">
        <v>55</v>
      </c>
      <c r="K2410">
        <v>60</v>
      </c>
      <c r="L2410">
        <v>0</v>
      </c>
      <c r="M2410" t="str">
        <f t="shared" si="37"/>
        <v>2010-2020</v>
      </c>
    </row>
    <row r="2411" spans="1:13" hidden="1">
      <c r="A2411" t="s">
        <v>3497</v>
      </c>
      <c r="B2411" t="s">
        <v>3498</v>
      </c>
      <c r="C2411" s="1">
        <v>45387</v>
      </c>
      <c r="D2411" s="2">
        <v>2409532</v>
      </c>
      <c r="E2411">
        <v>128</v>
      </c>
      <c r="F2411">
        <v>52</v>
      </c>
      <c r="G2411" s="2">
        <v>44586424</v>
      </c>
      <c r="H2411" s="2">
        <v>222685</v>
      </c>
      <c r="J2411">
        <v>3</v>
      </c>
      <c r="L2411">
        <v>0</v>
      </c>
      <c r="M2411" t="str">
        <f t="shared" si="37"/>
        <v>After 2020</v>
      </c>
    </row>
    <row r="2412" spans="1:13" hidden="1">
      <c r="A2412" t="s">
        <v>3499</v>
      </c>
      <c r="B2412" t="s">
        <v>1102</v>
      </c>
      <c r="C2412" s="1">
        <v>45204</v>
      </c>
      <c r="D2412" s="2">
        <v>266127900</v>
      </c>
      <c r="E2412" s="2">
        <v>13021</v>
      </c>
      <c r="F2412">
        <v>79</v>
      </c>
      <c r="G2412" s="2">
        <v>59903646</v>
      </c>
      <c r="H2412" s="2">
        <v>419337</v>
      </c>
      <c r="I2412" s="2">
        <v>487133</v>
      </c>
      <c r="J2412">
        <v>3</v>
      </c>
      <c r="L2412">
        <v>1</v>
      </c>
      <c r="M2412" t="str">
        <f t="shared" si="37"/>
        <v>After 2020</v>
      </c>
    </row>
    <row r="2413" spans="1:13" hidden="1">
      <c r="A2413" t="s">
        <v>3500</v>
      </c>
      <c r="B2413" t="s">
        <v>197</v>
      </c>
      <c r="C2413" s="1">
        <v>44895</v>
      </c>
      <c r="D2413" s="2">
        <v>203628716</v>
      </c>
      <c r="E2413" s="2">
        <v>39800</v>
      </c>
      <c r="F2413">
        <v>62</v>
      </c>
      <c r="I2413" s="2">
        <v>2935382291</v>
      </c>
      <c r="J2413">
        <v>23</v>
      </c>
      <c r="K2413">
        <v>863</v>
      </c>
      <c r="L2413">
        <v>0</v>
      </c>
      <c r="M2413" t="str">
        <f t="shared" si="37"/>
        <v>After 2020</v>
      </c>
    </row>
    <row r="2414" spans="1:13" hidden="1">
      <c r="A2414" t="s">
        <v>3501</v>
      </c>
      <c r="B2414" t="s">
        <v>1398</v>
      </c>
      <c r="C2414" s="1">
        <v>43784</v>
      </c>
      <c r="D2414" s="2">
        <v>11029541</v>
      </c>
      <c r="E2414" s="2">
        <v>2068</v>
      </c>
      <c r="F2414">
        <v>52</v>
      </c>
      <c r="G2414" s="2">
        <v>1003456602</v>
      </c>
      <c r="H2414" s="2">
        <v>2729246</v>
      </c>
      <c r="I2414" s="2">
        <v>38710313</v>
      </c>
      <c r="L2414">
        <v>0</v>
      </c>
      <c r="M2414" t="str">
        <f t="shared" si="37"/>
        <v>2010-2020</v>
      </c>
    </row>
    <row r="2415" spans="1:13">
      <c r="A2415" t="s">
        <v>3502</v>
      </c>
      <c r="B2415" t="s">
        <v>1046</v>
      </c>
      <c r="C2415" s="1">
        <v>43508</v>
      </c>
      <c r="D2415" s="2">
        <v>109221089</v>
      </c>
      <c r="E2415" s="2">
        <v>33020</v>
      </c>
      <c r="F2415">
        <v>66</v>
      </c>
      <c r="G2415" s="2">
        <v>974345116</v>
      </c>
      <c r="H2415" s="2">
        <v>4887786</v>
      </c>
      <c r="I2415" s="2">
        <v>284819297</v>
      </c>
      <c r="J2415">
        <v>13</v>
      </c>
      <c r="K2415">
        <v>344</v>
      </c>
      <c r="L2415">
        <v>0</v>
      </c>
      <c r="M2415" t="str">
        <f t="shared" si="37"/>
        <v>2010-2020</v>
      </c>
    </row>
    <row r="2416" spans="1:13">
      <c r="A2416" t="s">
        <v>3503</v>
      </c>
      <c r="B2416" t="s">
        <v>2122</v>
      </c>
      <c r="C2416" s="1">
        <v>44727</v>
      </c>
      <c r="D2416" s="2">
        <v>47723324</v>
      </c>
      <c r="E2416" s="2">
        <v>34495</v>
      </c>
      <c r="F2416">
        <v>52</v>
      </c>
      <c r="G2416" s="2">
        <v>90212996</v>
      </c>
      <c r="H2416" s="2">
        <v>801572</v>
      </c>
      <c r="I2416" s="2">
        <v>3829712483</v>
      </c>
      <c r="J2416">
        <v>16</v>
      </c>
      <c r="K2416">
        <v>865</v>
      </c>
      <c r="L2416">
        <v>0</v>
      </c>
      <c r="M2416" t="str">
        <f t="shared" si="37"/>
        <v>After 2020</v>
      </c>
    </row>
    <row r="2417" spans="1:13" hidden="1">
      <c r="A2417" t="s">
        <v>3504</v>
      </c>
      <c r="B2417" t="s">
        <v>3505</v>
      </c>
      <c r="C2417" s="1">
        <v>44776</v>
      </c>
      <c r="D2417" s="2">
        <v>17075528</v>
      </c>
      <c r="E2417" s="2">
        <v>1868</v>
      </c>
      <c r="F2417">
        <v>40</v>
      </c>
      <c r="G2417" s="2">
        <v>458564536</v>
      </c>
      <c r="H2417" s="2">
        <v>2110326</v>
      </c>
      <c r="J2417">
        <v>8</v>
      </c>
      <c r="L2417">
        <v>0</v>
      </c>
      <c r="M2417" t="str">
        <f t="shared" si="37"/>
        <v>After 2020</v>
      </c>
    </row>
    <row r="2418" spans="1:13" hidden="1">
      <c r="A2418" t="s">
        <v>3506</v>
      </c>
      <c r="B2418" t="s">
        <v>191</v>
      </c>
      <c r="C2418" s="1">
        <v>45376</v>
      </c>
      <c r="D2418" s="2">
        <v>29089538</v>
      </c>
      <c r="E2418" s="2">
        <v>1933</v>
      </c>
      <c r="F2418">
        <v>72</v>
      </c>
      <c r="G2418" s="2">
        <v>39607373</v>
      </c>
      <c r="H2418" s="2">
        <v>513074</v>
      </c>
      <c r="I2418" s="2">
        <v>28210200</v>
      </c>
      <c r="J2418">
        <v>6</v>
      </c>
      <c r="L2418">
        <v>0</v>
      </c>
      <c r="M2418" t="str">
        <f t="shared" si="37"/>
        <v>After 2020</v>
      </c>
    </row>
    <row r="2419" spans="1:13" hidden="1">
      <c r="A2419" t="s">
        <v>3507</v>
      </c>
      <c r="B2419" t="s">
        <v>3508</v>
      </c>
      <c r="C2419" s="1">
        <v>45359</v>
      </c>
      <c r="D2419" s="2">
        <v>28423160</v>
      </c>
      <c r="E2419" s="2">
        <v>5020</v>
      </c>
      <c r="G2419" s="2">
        <v>33548614</v>
      </c>
      <c r="H2419" s="2">
        <v>846916</v>
      </c>
      <c r="J2419">
        <v>12</v>
      </c>
      <c r="K2419">
        <v>12</v>
      </c>
      <c r="L2419">
        <v>0</v>
      </c>
      <c r="M2419" t="str">
        <f t="shared" si="37"/>
        <v>After 2020</v>
      </c>
    </row>
    <row r="2420" spans="1:13">
      <c r="A2420" t="s">
        <v>3509</v>
      </c>
      <c r="B2420" t="s">
        <v>3510</v>
      </c>
      <c r="C2420" s="1">
        <v>43025</v>
      </c>
      <c r="D2420" s="2">
        <v>641453269</v>
      </c>
      <c r="E2420" s="2">
        <v>197169</v>
      </c>
      <c r="F2420">
        <v>72</v>
      </c>
      <c r="G2420" s="2">
        <v>409991163</v>
      </c>
      <c r="H2420" s="2">
        <v>5836318</v>
      </c>
      <c r="I2420" s="2">
        <v>2500579993</v>
      </c>
      <c r="J2420">
        <v>55</v>
      </c>
      <c r="K2420">
        <v>15</v>
      </c>
      <c r="L2420">
        <v>0</v>
      </c>
      <c r="M2420" t="str">
        <f t="shared" si="37"/>
        <v>2010-2020</v>
      </c>
    </row>
    <row r="2421" spans="1:13" hidden="1">
      <c r="A2421" t="s">
        <v>3511</v>
      </c>
      <c r="B2421" t="s">
        <v>281</v>
      </c>
      <c r="C2421" s="1">
        <v>42705</v>
      </c>
      <c r="D2421" s="2">
        <v>2935372</v>
      </c>
      <c r="E2421">
        <v>41</v>
      </c>
      <c r="G2421" s="2">
        <v>1941794720</v>
      </c>
      <c r="H2421" s="2">
        <v>6381781</v>
      </c>
      <c r="L2421">
        <v>0</v>
      </c>
      <c r="M2421" t="str">
        <f t="shared" si="37"/>
        <v>2010-2020</v>
      </c>
    </row>
    <row r="2422" spans="1:13" hidden="1">
      <c r="A2422" t="s">
        <v>361</v>
      </c>
      <c r="B2422" t="s">
        <v>362</v>
      </c>
      <c r="C2422" s="1">
        <v>45334</v>
      </c>
      <c r="D2422" s="2">
        <v>207093873</v>
      </c>
      <c r="E2422">
        <v>529</v>
      </c>
      <c r="J2422">
        <v>30</v>
      </c>
      <c r="L2422">
        <v>0</v>
      </c>
      <c r="M2422" t="str">
        <f t="shared" si="37"/>
        <v>After 2020</v>
      </c>
    </row>
    <row r="2423" spans="1:13" hidden="1">
      <c r="A2423" t="s">
        <v>3512</v>
      </c>
      <c r="B2423" t="s">
        <v>1177</v>
      </c>
      <c r="C2423" s="1">
        <v>43929</v>
      </c>
      <c r="D2423" s="2">
        <v>354683755</v>
      </c>
      <c r="E2423" s="2">
        <v>77323</v>
      </c>
      <c r="F2423">
        <v>58</v>
      </c>
      <c r="G2423" s="2">
        <v>213371276</v>
      </c>
      <c r="H2423" s="2">
        <v>1027195</v>
      </c>
      <c r="I2423" s="2">
        <v>43216239</v>
      </c>
      <c r="J2423">
        <v>93</v>
      </c>
      <c r="L2423">
        <v>0</v>
      </c>
      <c r="M2423" t="str">
        <f t="shared" si="37"/>
        <v>2010-2020</v>
      </c>
    </row>
    <row r="2424" spans="1:13" hidden="1">
      <c r="A2424" t="s">
        <v>3513</v>
      </c>
      <c r="B2424" t="s">
        <v>3514</v>
      </c>
      <c r="C2424" s="1">
        <v>44985</v>
      </c>
      <c r="D2424" s="2">
        <v>53058</v>
      </c>
      <c r="E2424">
        <v>117</v>
      </c>
      <c r="F2424">
        <v>10</v>
      </c>
      <c r="G2424" s="2">
        <v>326994714</v>
      </c>
      <c r="H2424" s="2">
        <v>529872</v>
      </c>
      <c r="L2424">
        <v>0</v>
      </c>
      <c r="M2424" t="str">
        <f t="shared" si="37"/>
        <v>After 2020</v>
      </c>
    </row>
    <row r="2425" spans="1:13" hidden="1">
      <c r="A2425" t="s">
        <v>3515</v>
      </c>
      <c r="B2425" t="s">
        <v>3516</v>
      </c>
      <c r="C2425" s="1">
        <v>43153</v>
      </c>
      <c r="D2425" s="2">
        <v>30173434</v>
      </c>
      <c r="E2425" s="2">
        <v>6294</v>
      </c>
      <c r="F2425">
        <v>45</v>
      </c>
      <c r="G2425" s="2">
        <v>1535932925</v>
      </c>
      <c r="H2425" s="2">
        <v>6444235</v>
      </c>
      <c r="J2425">
        <v>6</v>
      </c>
      <c r="L2425">
        <v>0</v>
      </c>
      <c r="M2425" t="str">
        <f t="shared" si="37"/>
        <v>2010-2020</v>
      </c>
    </row>
    <row r="2426" spans="1:13" hidden="1">
      <c r="A2426" t="s">
        <v>3517</v>
      </c>
      <c r="B2426" t="s">
        <v>3518</v>
      </c>
      <c r="C2426" s="1">
        <v>44725</v>
      </c>
      <c r="G2426" s="2">
        <v>501846542</v>
      </c>
      <c r="H2426" s="2">
        <v>2581637</v>
      </c>
      <c r="L2426">
        <v>0</v>
      </c>
      <c r="M2426" t="str">
        <f t="shared" si="37"/>
        <v>After 2020</v>
      </c>
    </row>
    <row r="2427" spans="1:13" hidden="1">
      <c r="A2427" t="s">
        <v>3519</v>
      </c>
      <c r="B2427" t="s">
        <v>3520</v>
      </c>
      <c r="C2427" s="1">
        <v>45236</v>
      </c>
      <c r="D2427" s="2">
        <v>28816253</v>
      </c>
      <c r="E2427" s="2">
        <v>1287</v>
      </c>
      <c r="G2427" s="2">
        <v>142222735</v>
      </c>
      <c r="H2427" s="2">
        <v>949673</v>
      </c>
      <c r="I2427" s="2">
        <v>34208</v>
      </c>
      <c r="J2427">
        <v>2</v>
      </c>
      <c r="L2427">
        <v>0</v>
      </c>
      <c r="M2427" t="str">
        <f t="shared" si="37"/>
        <v>After 2020</v>
      </c>
    </row>
    <row r="2428" spans="1:13">
      <c r="A2428" t="s">
        <v>3521</v>
      </c>
      <c r="B2428" t="s">
        <v>920</v>
      </c>
      <c r="C2428" s="1">
        <v>44531</v>
      </c>
      <c r="D2428" s="2">
        <v>306760464</v>
      </c>
      <c r="E2428" s="2">
        <v>23542</v>
      </c>
      <c r="F2428">
        <v>66</v>
      </c>
      <c r="G2428" s="2">
        <v>458931624</v>
      </c>
      <c r="H2428" s="2">
        <v>5675068</v>
      </c>
      <c r="I2428" s="2">
        <v>1292286614</v>
      </c>
      <c r="J2428">
        <v>33</v>
      </c>
      <c r="K2428">
        <v>124</v>
      </c>
      <c r="L2428">
        <v>0</v>
      </c>
      <c r="M2428" t="str">
        <f t="shared" si="37"/>
        <v>After 2020</v>
      </c>
    </row>
    <row r="2429" spans="1:13" hidden="1">
      <c r="A2429" t="s">
        <v>3522</v>
      </c>
      <c r="B2429" t="s">
        <v>981</v>
      </c>
      <c r="C2429" s="1">
        <v>42384</v>
      </c>
      <c r="D2429" s="2">
        <v>560103803</v>
      </c>
      <c r="E2429">
        <v>935</v>
      </c>
      <c r="G2429" s="2">
        <v>1596092291</v>
      </c>
      <c r="H2429" s="2">
        <v>5050679</v>
      </c>
      <c r="L2429">
        <v>0</v>
      </c>
      <c r="M2429" t="str">
        <f t="shared" si="37"/>
        <v>2010-2020</v>
      </c>
    </row>
    <row r="2430" spans="1:13">
      <c r="A2430" t="s">
        <v>3523</v>
      </c>
      <c r="B2430" t="s">
        <v>129</v>
      </c>
      <c r="C2430" s="1">
        <v>43406</v>
      </c>
      <c r="D2430" s="2">
        <v>917916061</v>
      </c>
      <c r="E2430" s="2">
        <v>204396</v>
      </c>
      <c r="F2430">
        <v>75</v>
      </c>
      <c r="G2430" s="2">
        <v>182161713</v>
      </c>
      <c r="H2430" s="2">
        <v>2330786</v>
      </c>
      <c r="I2430" s="2">
        <v>405647527</v>
      </c>
      <c r="J2430">
        <v>32</v>
      </c>
      <c r="K2430">
        <v>64</v>
      </c>
      <c r="L2430">
        <v>1</v>
      </c>
      <c r="M2430" t="str">
        <f t="shared" si="37"/>
        <v>2010-2020</v>
      </c>
    </row>
    <row r="2431" spans="1:13" hidden="1">
      <c r="A2431" t="s">
        <v>3524</v>
      </c>
      <c r="B2431" t="s">
        <v>3525</v>
      </c>
      <c r="C2431" s="1">
        <v>45216</v>
      </c>
      <c r="D2431" s="2">
        <v>1271094976</v>
      </c>
      <c r="E2431">
        <v>1</v>
      </c>
      <c r="L2431">
        <v>0</v>
      </c>
      <c r="M2431" t="str">
        <f t="shared" si="37"/>
        <v>After 2020</v>
      </c>
    </row>
    <row r="2432" spans="1:13" hidden="1">
      <c r="A2432" t="s">
        <v>3526</v>
      </c>
      <c r="B2432" t="s">
        <v>3527</v>
      </c>
      <c r="C2432" s="1">
        <v>44869</v>
      </c>
      <c r="D2432" s="2">
        <v>14394612</v>
      </c>
      <c r="E2432" s="2">
        <v>2572</v>
      </c>
      <c r="F2432">
        <v>53</v>
      </c>
      <c r="J2432">
        <v>16</v>
      </c>
      <c r="L2432">
        <v>0</v>
      </c>
      <c r="M2432" t="str">
        <f t="shared" si="37"/>
        <v>After 2020</v>
      </c>
    </row>
    <row r="2433" spans="1:13" hidden="1">
      <c r="A2433" t="s">
        <v>3528</v>
      </c>
      <c r="B2433" t="s">
        <v>3529</v>
      </c>
      <c r="C2433" s="1">
        <v>44498</v>
      </c>
      <c r="D2433" s="2">
        <v>32318892</v>
      </c>
      <c r="E2433" s="2">
        <v>13584</v>
      </c>
      <c r="F2433">
        <v>51</v>
      </c>
      <c r="G2433" s="2">
        <v>366398853</v>
      </c>
      <c r="H2433" s="2">
        <v>1436406</v>
      </c>
      <c r="I2433" s="2">
        <v>2526424724</v>
      </c>
      <c r="J2433">
        <v>23</v>
      </c>
      <c r="L2433">
        <v>0</v>
      </c>
      <c r="M2433" t="str">
        <f t="shared" si="37"/>
        <v>After 2020</v>
      </c>
    </row>
    <row r="2434" spans="1:13" hidden="1">
      <c r="A2434" t="s">
        <v>3530</v>
      </c>
      <c r="B2434" t="s">
        <v>3531</v>
      </c>
      <c r="C2434" s="1">
        <v>44862</v>
      </c>
      <c r="D2434" s="2">
        <v>200017368</v>
      </c>
      <c r="E2434" s="2">
        <v>30976</v>
      </c>
      <c r="F2434">
        <v>76</v>
      </c>
      <c r="G2434" s="2">
        <v>35463149</v>
      </c>
      <c r="H2434" s="2">
        <v>219282</v>
      </c>
      <c r="I2434" s="2">
        <v>27411983</v>
      </c>
      <c r="J2434">
        <v>6</v>
      </c>
      <c r="L2434">
        <v>1</v>
      </c>
      <c r="M2434" t="str">
        <f t="shared" si="37"/>
        <v>After 2020</v>
      </c>
    </row>
    <row r="2435" spans="1:13">
      <c r="A2435" t="s">
        <v>3532</v>
      </c>
      <c r="B2435" t="s">
        <v>19</v>
      </c>
      <c r="C2435" s="1">
        <v>44694</v>
      </c>
      <c r="D2435" s="2">
        <v>254191262</v>
      </c>
      <c r="E2435" s="2">
        <v>68188</v>
      </c>
      <c r="F2435">
        <v>71</v>
      </c>
      <c r="G2435" s="2">
        <v>66231224</v>
      </c>
      <c r="H2435" s="2">
        <v>1090031</v>
      </c>
      <c r="I2435" s="2">
        <v>33984850</v>
      </c>
      <c r="J2435">
        <v>23</v>
      </c>
      <c r="K2435">
        <v>35</v>
      </c>
      <c r="L2435">
        <v>1</v>
      </c>
      <c r="M2435" t="str">
        <f t="shared" ref="M2435:M2498" si="38">IF(YEAR(C2435)&lt;2010,"Before 2010",IF(YEAR(C2435)&lt;=2020,"2010-2020","After 2020"))</f>
        <v>After 2020</v>
      </c>
    </row>
    <row r="2436" spans="1:13" hidden="1">
      <c r="A2436" t="s">
        <v>3533</v>
      </c>
      <c r="B2436" t="s">
        <v>3534</v>
      </c>
      <c r="C2436" s="1">
        <v>44670</v>
      </c>
      <c r="D2436" s="2">
        <v>155050178</v>
      </c>
      <c r="E2436" s="2">
        <v>35527</v>
      </c>
      <c r="F2436">
        <v>58</v>
      </c>
      <c r="G2436" s="2">
        <v>285012395</v>
      </c>
      <c r="H2436" s="2">
        <v>1652366</v>
      </c>
      <c r="I2436" s="2">
        <v>1442464830</v>
      </c>
      <c r="J2436">
        <v>3</v>
      </c>
      <c r="L2436">
        <v>1</v>
      </c>
      <c r="M2436" t="str">
        <f t="shared" si="38"/>
        <v>After 2020</v>
      </c>
    </row>
    <row r="2437" spans="1:13" hidden="1">
      <c r="A2437" t="s">
        <v>3535</v>
      </c>
      <c r="B2437" t="s">
        <v>3536</v>
      </c>
      <c r="C2437" s="1">
        <v>42643</v>
      </c>
      <c r="D2437" s="2">
        <v>243305603</v>
      </c>
      <c r="E2437" s="2">
        <v>30216</v>
      </c>
      <c r="F2437">
        <v>52</v>
      </c>
      <c r="G2437" s="2">
        <v>568942313</v>
      </c>
      <c r="H2437" s="2">
        <v>4660040</v>
      </c>
      <c r="I2437" s="2">
        <v>54450631</v>
      </c>
      <c r="L2437">
        <v>0</v>
      </c>
      <c r="M2437" t="str">
        <f t="shared" si="38"/>
        <v>2010-2020</v>
      </c>
    </row>
    <row r="2438" spans="1:13">
      <c r="A2438" t="s">
        <v>3537</v>
      </c>
      <c r="B2438" t="s">
        <v>133</v>
      </c>
      <c r="C2438" s="1">
        <v>41640</v>
      </c>
      <c r="D2438" s="2">
        <v>1879966374</v>
      </c>
      <c r="E2438" s="2">
        <v>164059</v>
      </c>
      <c r="F2438">
        <v>77</v>
      </c>
      <c r="G2438" s="2">
        <v>464847219</v>
      </c>
      <c r="H2438" s="2">
        <v>2891357</v>
      </c>
      <c r="I2438" s="2">
        <v>417275446</v>
      </c>
      <c r="J2438">
        <v>124</v>
      </c>
      <c r="K2438">
        <v>125</v>
      </c>
      <c r="L2438">
        <v>0</v>
      </c>
      <c r="M2438" t="str">
        <f t="shared" si="38"/>
        <v>2010-2020</v>
      </c>
    </row>
    <row r="2439" spans="1:13" hidden="1">
      <c r="A2439" t="s">
        <v>3538</v>
      </c>
      <c r="B2439" t="s">
        <v>3539</v>
      </c>
      <c r="C2439" s="1">
        <v>44971</v>
      </c>
      <c r="D2439" s="2">
        <v>2613573</v>
      </c>
      <c r="E2439" s="2">
        <v>1475</v>
      </c>
      <c r="F2439">
        <v>37</v>
      </c>
      <c r="G2439" s="2">
        <v>1141572</v>
      </c>
      <c r="H2439" s="2">
        <v>13557</v>
      </c>
      <c r="I2439" s="2">
        <v>2582559682</v>
      </c>
      <c r="L2439">
        <v>1</v>
      </c>
      <c r="M2439" t="str">
        <f t="shared" si="38"/>
        <v>After 2020</v>
      </c>
    </row>
    <row r="2440" spans="1:13">
      <c r="A2440" t="s">
        <v>3540</v>
      </c>
      <c r="B2440" t="s">
        <v>295</v>
      </c>
      <c r="C2440" s="1">
        <v>44869</v>
      </c>
      <c r="D2440" s="2">
        <v>199662854</v>
      </c>
      <c r="E2440" s="2">
        <v>70800</v>
      </c>
      <c r="F2440">
        <v>62</v>
      </c>
      <c r="G2440" s="2">
        <v>26734808</v>
      </c>
      <c r="H2440" s="2">
        <v>271645</v>
      </c>
      <c r="I2440" s="2">
        <v>100007156</v>
      </c>
      <c r="J2440">
        <v>27</v>
      </c>
      <c r="K2440">
        <v>118</v>
      </c>
      <c r="L2440">
        <v>1</v>
      </c>
      <c r="M2440" t="str">
        <f t="shared" si="38"/>
        <v>After 2020</v>
      </c>
    </row>
    <row r="2441" spans="1:13" hidden="1">
      <c r="A2441" t="s">
        <v>3541</v>
      </c>
      <c r="B2441" t="s">
        <v>3542</v>
      </c>
      <c r="C2441" s="1">
        <v>45428</v>
      </c>
      <c r="D2441" s="2">
        <v>2112678</v>
      </c>
      <c r="E2441">
        <v>387</v>
      </c>
      <c r="G2441" s="2">
        <v>18494570</v>
      </c>
      <c r="H2441" s="2">
        <v>108824</v>
      </c>
      <c r="J2441">
        <v>1</v>
      </c>
      <c r="L2441">
        <v>0</v>
      </c>
      <c r="M2441" t="str">
        <f t="shared" si="38"/>
        <v>After 2020</v>
      </c>
    </row>
    <row r="2442" spans="1:13" hidden="1">
      <c r="A2442" t="s">
        <v>3543</v>
      </c>
      <c r="B2442" t="s">
        <v>1380</v>
      </c>
      <c r="C2442" s="1">
        <v>45079</v>
      </c>
      <c r="D2442" s="2">
        <v>134291091</v>
      </c>
      <c r="E2442" s="2">
        <v>16247</v>
      </c>
      <c r="F2442">
        <v>65</v>
      </c>
      <c r="G2442" s="2">
        <v>147910091</v>
      </c>
      <c r="H2442" s="2">
        <v>435023</v>
      </c>
      <c r="J2442">
        <v>10</v>
      </c>
      <c r="L2442">
        <v>0</v>
      </c>
      <c r="M2442" t="str">
        <f t="shared" si="38"/>
        <v>After 2020</v>
      </c>
    </row>
    <row r="2443" spans="1:13">
      <c r="A2443" t="s">
        <v>251</v>
      </c>
      <c r="B2443" t="s">
        <v>3544</v>
      </c>
      <c r="C2443" s="1">
        <v>40179</v>
      </c>
      <c r="D2443" s="2">
        <v>1070923216</v>
      </c>
      <c r="E2443" s="2">
        <v>204514</v>
      </c>
      <c r="F2443">
        <v>69</v>
      </c>
      <c r="G2443" s="2">
        <v>576914505</v>
      </c>
      <c r="H2443" s="2">
        <v>3412361</v>
      </c>
      <c r="I2443" s="2">
        <v>185228504</v>
      </c>
      <c r="J2443">
        <v>133</v>
      </c>
      <c r="K2443">
        <v>210</v>
      </c>
      <c r="L2443">
        <v>0</v>
      </c>
      <c r="M2443" t="str">
        <f t="shared" si="38"/>
        <v>2010-2020</v>
      </c>
    </row>
    <row r="2444" spans="1:13" hidden="1">
      <c r="A2444" t="s">
        <v>3545</v>
      </c>
      <c r="B2444" t="s">
        <v>515</v>
      </c>
      <c r="C2444" s="1">
        <v>43378</v>
      </c>
      <c r="D2444" s="2">
        <v>517990518</v>
      </c>
      <c r="E2444" s="2">
        <v>91490</v>
      </c>
      <c r="F2444">
        <v>68</v>
      </c>
      <c r="G2444" s="2">
        <v>721254947</v>
      </c>
      <c r="H2444" s="2">
        <v>6194264</v>
      </c>
      <c r="I2444" s="2">
        <v>67549016</v>
      </c>
      <c r="K2444">
        <v>12</v>
      </c>
      <c r="L2444">
        <v>0</v>
      </c>
      <c r="M2444" t="str">
        <f t="shared" si="38"/>
        <v>2010-2020</v>
      </c>
    </row>
    <row r="2445" spans="1:13">
      <c r="A2445" t="s">
        <v>3546</v>
      </c>
      <c r="B2445" t="s">
        <v>3547</v>
      </c>
      <c r="C2445" s="1">
        <v>44762</v>
      </c>
      <c r="D2445" s="2">
        <v>240519561</v>
      </c>
      <c r="E2445" s="2">
        <v>48629</v>
      </c>
      <c r="F2445">
        <v>62</v>
      </c>
      <c r="G2445" s="2">
        <v>203263077</v>
      </c>
      <c r="H2445" s="2">
        <v>2270776</v>
      </c>
      <c r="I2445" s="2">
        <v>313936580</v>
      </c>
      <c r="J2445">
        <v>13</v>
      </c>
      <c r="K2445">
        <v>100</v>
      </c>
      <c r="L2445">
        <v>1</v>
      </c>
      <c r="M2445" t="str">
        <f t="shared" si="38"/>
        <v>After 2020</v>
      </c>
    </row>
    <row r="2446" spans="1:13">
      <c r="A2446" t="s">
        <v>3548</v>
      </c>
      <c r="B2446" t="s">
        <v>1850</v>
      </c>
      <c r="C2446" s="1">
        <v>42124</v>
      </c>
      <c r="D2446" s="2">
        <v>616445374</v>
      </c>
      <c r="E2446" s="2">
        <v>76646</v>
      </c>
      <c r="F2446">
        <v>65</v>
      </c>
      <c r="G2446" s="2">
        <v>656387408</v>
      </c>
      <c r="H2446" s="2">
        <v>7682235</v>
      </c>
      <c r="I2446" s="2">
        <v>166158568</v>
      </c>
      <c r="J2446">
        <v>19</v>
      </c>
      <c r="K2446">
        <v>81</v>
      </c>
      <c r="L2446">
        <v>0</v>
      </c>
      <c r="M2446" t="str">
        <f t="shared" si="38"/>
        <v>2010-2020</v>
      </c>
    </row>
    <row r="2447" spans="1:13" hidden="1">
      <c r="A2447" t="s">
        <v>3549</v>
      </c>
      <c r="B2447" t="s">
        <v>3550</v>
      </c>
      <c r="C2447" s="1">
        <v>45358</v>
      </c>
      <c r="D2447" s="2">
        <v>53590796</v>
      </c>
      <c r="E2447" s="2">
        <v>2987</v>
      </c>
      <c r="F2447">
        <v>75</v>
      </c>
      <c r="G2447" s="2">
        <v>26526323</v>
      </c>
      <c r="H2447" s="2">
        <v>97934</v>
      </c>
      <c r="J2447">
        <v>21</v>
      </c>
      <c r="L2447">
        <v>1</v>
      </c>
      <c r="M2447" t="str">
        <f t="shared" si="38"/>
        <v>After 2020</v>
      </c>
    </row>
    <row r="2448" spans="1:13">
      <c r="A2448" t="s">
        <v>3551</v>
      </c>
      <c r="B2448" t="s">
        <v>1217</v>
      </c>
      <c r="C2448" s="1">
        <v>43916</v>
      </c>
      <c r="D2448" s="2">
        <v>488713982</v>
      </c>
      <c r="E2448" s="2">
        <v>42311</v>
      </c>
      <c r="F2448">
        <v>58</v>
      </c>
      <c r="G2448" s="2">
        <v>596356173</v>
      </c>
      <c r="H2448" s="2">
        <v>4579674</v>
      </c>
      <c r="I2448" s="2">
        <v>712167034</v>
      </c>
      <c r="J2448">
        <v>88</v>
      </c>
      <c r="K2448">
        <v>9</v>
      </c>
      <c r="L2448">
        <v>0</v>
      </c>
      <c r="M2448" t="str">
        <f t="shared" si="38"/>
        <v>2010-2020</v>
      </c>
    </row>
    <row r="2449" spans="1:13" hidden="1">
      <c r="A2449" t="s">
        <v>3552</v>
      </c>
      <c r="B2449" t="s">
        <v>3553</v>
      </c>
      <c r="C2449" s="1">
        <v>44308</v>
      </c>
      <c r="D2449" s="2">
        <v>317252487</v>
      </c>
      <c r="E2449" s="2">
        <v>52261</v>
      </c>
      <c r="F2449">
        <v>74</v>
      </c>
      <c r="G2449" s="2">
        <v>156128236</v>
      </c>
      <c r="H2449" s="2">
        <v>2068133</v>
      </c>
      <c r="I2449" s="2">
        <v>1989420692</v>
      </c>
      <c r="J2449">
        <v>6</v>
      </c>
      <c r="L2449">
        <v>0</v>
      </c>
      <c r="M2449" t="str">
        <f t="shared" si="38"/>
        <v>After 2020</v>
      </c>
    </row>
    <row r="2450" spans="1:13">
      <c r="A2450" t="s">
        <v>3554</v>
      </c>
      <c r="B2450" t="s">
        <v>3555</v>
      </c>
      <c r="C2450" s="1">
        <v>41275</v>
      </c>
      <c r="D2450" s="2">
        <v>965827790</v>
      </c>
      <c r="E2450" s="2">
        <v>160031</v>
      </c>
      <c r="F2450">
        <v>71</v>
      </c>
      <c r="G2450" s="2">
        <v>243060460</v>
      </c>
      <c r="H2450" s="2">
        <v>2037116</v>
      </c>
      <c r="I2450" s="2">
        <v>930985864</v>
      </c>
      <c r="J2450">
        <v>89</v>
      </c>
      <c r="K2450">
        <v>159</v>
      </c>
      <c r="L2450">
        <v>0</v>
      </c>
      <c r="M2450" t="str">
        <f t="shared" si="38"/>
        <v>2010-2020</v>
      </c>
    </row>
    <row r="2451" spans="1:13">
      <c r="A2451" t="s">
        <v>3556</v>
      </c>
      <c r="B2451" t="s">
        <v>3557</v>
      </c>
      <c r="C2451" s="1">
        <v>44806</v>
      </c>
      <c r="D2451" s="2">
        <v>227893586</v>
      </c>
      <c r="E2451" s="2">
        <v>28139</v>
      </c>
      <c r="F2451">
        <v>73</v>
      </c>
      <c r="G2451" s="2">
        <v>30913276</v>
      </c>
      <c r="H2451" s="2">
        <v>159791</v>
      </c>
      <c r="I2451" s="2">
        <v>117505652</v>
      </c>
      <c r="J2451">
        <v>33</v>
      </c>
      <c r="K2451">
        <v>34</v>
      </c>
      <c r="L2451">
        <v>0</v>
      </c>
      <c r="M2451" t="str">
        <f t="shared" si="38"/>
        <v>After 2020</v>
      </c>
    </row>
    <row r="2452" spans="1:13">
      <c r="A2452" t="s">
        <v>3556</v>
      </c>
      <c r="B2452" t="s">
        <v>3557</v>
      </c>
      <c r="C2452" s="1">
        <v>44806</v>
      </c>
      <c r="D2452" s="2">
        <v>227893586</v>
      </c>
      <c r="E2452" s="2">
        <v>28139</v>
      </c>
      <c r="F2452">
        <v>73</v>
      </c>
      <c r="G2452" s="2">
        <v>30913276</v>
      </c>
      <c r="H2452" s="2">
        <v>159791</v>
      </c>
      <c r="I2452" s="2">
        <v>117505652</v>
      </c>
      <c r="J2452">
        <v>33</v>
      </c>
      <c r="K2452">
        <v>34</v>
      </c>
      <c r="L2452">
        <v>0</v>
      </c>
      <c r="M2452" t="str">
        <f t="shared" si="38"/>
        <v>After 2020</v>
      </c>
    </row>
    <row r="2453" spans="1:13">
      <c r="A2453" t="s">
        <v>3558</v>
      </c>
      <c r="B2453" t="s">
        <v>187</v>
      </c>
      <c r="C2453" s="1">
        <v>44189</v>
      </c>
      <c r="D2453" s="2">
        <v>176140377</v>
      </c>
      <c r="E2453" s="2">
        <v>76081</v>
      </c>
      <c r="F2453">
        <v>61</v>
      </c>
      <c r="G2453" s="2">
        <v>90527434</v>
      </c>
      <c r="H2453" s="2">
        <v>1019305</v>
      </c>
      <c r="I2453" s="2">
        <v>12014523</v>
      </c>
      <c r="J2453">
        <v>36</v>
      </c>
      <c r="K2453">
        <v>36</v>
      </c>
      <c r="L2453">
        <v>1</v>
      </c>
      <c r="M2453" t="str">
        <f t="shared" si="38"/>
        <v>2010-2020</v>
      </c>
    </row>
    <row r="2454" spans="1:13" hidden="1">
      <c r="A2454" t="s">
        <v>3559</v>
      </c>
      <c r="B2454" t="s">
        <v>424</v>
      </c>
      <c r="C2454" s="1">
        <v>45240</v>
      </c>
      <c r="D2454" s="2">
        <v>81186913</v>
      </c>
      <c r="E2454" s="2">
        <v>7818</v>
      </c>
      <c r="G2454" s="2">
        <v>92334733</v>
      </c>
      <c r="H2454" s="2">
        <v>526817</v>
      </c>
      <c r="J2454">
        <v>3</v>
      </c>
      <c r="L2454">
        <v>0</v>
      </c>
      <c r="M2454" t="str">
        <f t="shared" si="38"/>
        <v>After 2020</v>
      </c>
    </row>
    <row r="2455" spans="1:13" hidden="1">
      <c r="A2455" t="s">
        <v>3560</v>
      </c>
      <c r="B2455" t="s">
        <v>3561</v>
      </c>
      <c r="C2455" s="1">
        <v>44825</v>
      </c>
      <c r="D2455" s="2">
        <v>14148</v>
      </c>
      <c r="E2455">
        <v>31</v>
      </c>
      <c r="G2455" s="2">
        <v>434179026</v>
      </c>
      <c r="H2455" s="2">
        <v>4911572</v>
      </c>
      <c r="L2455">
        <v>0</v>
      </c>
      <c r="M2455" t="str">
        <f t="shared" si="38"/>
        <v>After 2020</v>
      </c>
    </row>
    <row r="2456" spans="1:13" hidden="1">
      <c r="A2456" t="s">
        <v>3562</v>
      </c>
      <c r="B2456" t="s">
        <v>2979</v>
      </c>
      <c r="C2456" s="1">
        <v>45100</v>
      </c>
      <c r="D2456" s="2">
        <v>52295701</v>
      </c>
      <c r="E2456" s="2">
        <v>10792</v>
      </c>
      <c r="F2456">
        <v>64</v>
      </c>
      <c r="G2456" s="2">
        <v>82604684</v>
      </c>
      <c r="H2456" s="2">
        <v>950767</v>
      </c>
      <c r="I2456" s="2">
        <v>573262137</v>
      </c>
      <c r="L2456">
        <v>1</v>
      </c>
      <c r="M2456" t="str">
        <f t="shared" si="38"/>
        <v>After 2020</v>
      </c>
    </row>
    <row r="2457" spans="1:13">
      <c r="A2457" t="s">
        <v>3563</v>
      </c>
      <c r="B2457" t="s">
        <v>3564</v>
      </c>
      <c r="C2457" s="1">
        <v>42748</v>
      </c>
      <c r="D2457" s="2">
        <v>1214862854</v>
      </c>
      <c r="E2457" s="2">
        <v>86990</v>
      </c>
      <c r="F2457">
        <v>69</v>
      </c>
      <c r="G2457" s="2">
        <v>333612581</v>
      </c>
      <c r="H2457" s="2">
        <v>3284811</v>
      </c>
      <c r="I2457" s="2">
        <v>142981272</v>
      </c>
      <c r="J2457">
        <v>148</v>
      </c>
      <c r="K2457">
        <v>288</v>
      </c>
      <c r="L2457">
        <v>0</v>
      </c>
      <c r="M2457" t="str">
        <f t="shared" si="38"/>
        <v>2010-2020</v>
      </c>
    </row>
    <row r="2458" spans="1:13">
      <c r="A2458" t="s">
        <v>3565</v>
      </c>
      <c r="B2458" t="s">
        <v>355</v>
      </c>
      <c r="C2458" s="1">
        <v>43868</v>
      </c>
      <c r="D2458" s="2">
        <v>523416171</v>
      </c>
      <c r="E2458" s="2">
        <v>164690</v>
      </c>
      <c r="F2458">
        <v>68</v>
      </c>
      <c r="G2458" s="2">
        <v>139802262</v>
      </c>
      <c r="H2458" s="2">
        <v>1087343</v>
      </c>
      <c r="I2458" s="2">
        <v>223524052</v>
      </c>
      <c r="J2458">
        <v>14</v>
      </c>
      <c r="K2458">
        <v>163</v>
      </c>
      <c r="L2458">
        <v>1</v>
      </c>
      <c r="M2458" t="str">
        <f t="shared" si="38"/>
        <v>2010-2020</v>
      </c>
    </row>
    <row r="2459" spans="1:13" hidden="1">
      <c r="A2459" t="s">
        <v>3566</v>
      </c>
      <c r="B2459" t="s">
        <v>182</v>
      </c>
      <c r="C2459" s="1">
        <v>45301</v>
      </c>
      <c r="D2459" s="2">
        <v>102829758</v>
      </c>
      <c r="E2459" s="2">
        <v>16786</v>
      </c>
      <c r="G2459" s="2">
        <v>4997224</v>
      </c>
      <c r="H2459" s="2">
        <v>62319</v>
      </c>
      <c r="J2459">
        <v>32</v>
      </c>
      <c r="K2459">
        <v>74</v>
      </c>
      <c r="L2459">
        <v>1</v>
      </c>
      <c r="M2459" t="str">
        <f t="shared" si="38"/>
        <v>After 2020</v>
      </c>
    </row>
    <row r="2460" spans="1:13" hidden="1">
      <c r="A2460" t="s">
        <v>3567</v>
      </c>
      <c r="B2460" t="s">
        <v>236</v>
      </c>
      <c r="C2460" s="1">
        <v>45135</v>
      </c>
      <c r="D2460" s="2">
        <v>96802469</v>
      </c>
      <c r="E2460" s="2">
        <v>34681</v>
      </c>
      <c r="F2460">
        <v>64</v>
      </c>
      <c r="G2460" s="2">
        <v>10285324</v>
      </c>
      <c r="H2460" s="2">
        <v>247844</v>
      </c>
      <c r="I2460" s="2">
        <v>10714123</v>
      </c>
      <c r="J2460">
        <v>7</v>
      </c>
      <c r="L2460">
        <v>1</v>
      </c>
      <c r="M2460" t="str">
        <f t="shared" si="38"/>
        <v>After 2020</v>
      </c>
    </row>
    <row r="2461" spans="1:13" hidden="1">
      <c r="A2461" t="s">
        <v>3568</v>
      </c>
      <c r="B2461" t="s">
        <v>3569</v>
      </c>
      <c r="C2461" s="1">
        <v>43304</v>
      </c>
      <c r="D2461" s="2">
        <v>387513964</v>
      </c>
      <c r="E2461" s="2">
        <v>87059</v>
      </c>
      <c r="F2461">
        <v>68</v>
      </c>
      <c r="G2461" s="2">
        <v>441752713</v>
      </c>
      <c r="H2461" s="2">
        <v>4691667</v>
      </c>
      <c r="I2461" s="2">
        <v>5294479343</v>
      </c>
      <c r="J2461">
        <v>8</v>
      </c>
      <c r="L2461">
        <v>0</v>
      </c>
      <c r="M2461" t="str">
        <f t="shared" si="38"/>
        <v>2010-2020</v>
      </c>
    </row>
    <row r="2462" spans="1:13" hidden="1">
      <c r="A2462" t="s">
        <v>3570</v>
      </c>
      <c r="B2462" t="s">
        <v>3571</v>
      </c>
      <c r="C2462" s="1">
        <v>45254</v>
      </c>
      <c r="D2462" s="2">
        <v>25684</v>
      </c>
      <c r="E2462">
        <v>1</v>
      </c>
      <c r="L2462">
        <v>0</v>
      </c>
      <c r="M2462" t="str">
        <f t="shared" si="38"/>
        <v>After 2020</v>
      </c>
    </row>
    <row r="2463" spans="1:13" hidden="1">
      <c r="A2463" t="s">
        <v>3572</v>
      </c>
      <c r="B2463" t="s">
        <v>3573</v>
      </c>
      <c r="C2463" s="1">
        <v>44065</v>
      </c>
      <c r="D2463" s="2">
        <v>1415206</v>
      </c>
      <c r="E2463">
        <v>973</v>
      </c>
      <c r="F2463">
        <v>19</v>
      </c>
      <c r="G2463" s="2">
        <v>59644</v>
      </c>
      <c r="H2463">
        <v>960</v>
      </c>
      <c r="I2463" s="2">
        <v>2181208314</v>
      </c>
      <c r="J2463">
        <v>3</v>
      </c>
      <c r="L2463">
        <v>1</v>
      </c>
      <c r="M2463" t="str">
        <f t="shared" si="38"/>
        <v>2010-2020</v>
      </c>
    </row>
    <row r="2464" spans="1:13">
      <c r="A2464" t="s">
        <v>3574</v>
      </c>
      <c r="B2464" t="s">
        <v>313</v>
      </c>
      <c r="C2464" s="1">
        <v>43692</v>
      </c>
      <c r="D2464" s="2">
        <v>572697124</v>
      </c>
      <c r="E2464" s="2">
        <v>76099</v>
      </c>
      <c r="F2464">
        <v>65</v>
      </c>
      <c r="G2464" s="2">
        <v>630335590</v>
      </c>
      <c r="H2464" s="2">
        <v>4117309</v>
      </c>
      <c r="I2464" s="2">
        <v>125501807</v>
      </c>
      <c r="J2464">
        <v>148</v>
      </c>
      <c r="K2464">
        <v>104</v>
      </c>
      <c r="L2464">
        <v>0</v>
      </c>
      <c r="M2464" t="str">
        <f t="shared" si="38"/>
        <v>2010-2020</v>
      </c>
    </row>
    <row r="2465" spans="1:13">
      <c r="A2465" t="s">
        <v>3575</v>
      </c>
      <c r="B2465" t="s">
        <v>1332</v>
      </c>
      <c r="C2465" s="1">
        <v>42216</v>
      </c>
      <c r="D2465" s="2">
        <v>510138748</v>
      </c>
      <c r="E2465" s="2">
        <v>83010</v>
      </c>
      <c r="F2465">
        <v>70</v>
      </c>
      <c r="G2465" s="2">
        <v>486163241</v>
      </c>
      <c r="H2465" s="2">
        <v>3542793</v>
      </c>
      <c r="I2465" s="2">
        <v>63978184</v>
      </c>
      <c r="J2465">
        <v>76</v>
      </c>
      <c r="K2465">
        <v>18</v>
      </c>
      <c r="L2465">
        <v>1</v>
      </c>
      <c r="M2465" t="str">
        <f t="shared" si="38"/>
        <v>2010-2020</v>
      </c>
    </row>
    <row r="2466" spans="1:13" hidden="1">
      <c r="A2466" t="s">
        <v>3576</v>
      </c>
      <c r="B2466" t="s">
        <v>68</v>
      </c>
      <c r="C2466" s="1">
        <v>44372</v>
      </c>
      <c r="D2466" s="2">
        <v>599547543</v>
      </c>
      <c r="E2466" s="2">
        <v>90475</v>
      </c>
      <c r="F2466">
        <v>70</v>
      </c>
      <c r="G2466" s="2">
        <v>154979267</v>
      </c>
      <c r="H2466" s="2">
        <v>2179826</v>
      </c>
      <c r="I2466" s="2">
        <v>557527051</v>
      </c>
      <c r="J2466">
        <v>112</v>
      </c>
      <c r="L2466">
        <v>1</v>
      </c>
      <c r="M2466" t="str">
        <f t="shared" si="38"/>
        <v>After 2020</v>
      </c>
    </row>
    <row r="2467" spans="1:13" hidden="1">
      <c r="A2467" t="s">
        <v>3577</v>
      </c>
      <c r="B2467" t="s">
        <v>3578</v>
      </c>
      <c r="C2467" s="1">
        <v>43644</v>
      </c>
      <c r="D2467" s="2">
        <v>573785235</v>
      </c>
      <c r="E2467" s="2">
        <v>104197</v>
      </c>
      <c r="F2467">
        <v>71</v>
      </c>
      <c r="G2467" s="2">
        <v>67117513</v>
      </c>
      <c r="H2467" s="2">
        <v>621757</v>
      </c>
      <c r="I2467" s="2">
        <v>1230812968</v>
      </c>
      <c r="J2467">
        <v>54</v>
      </c>
      <c r="L2467">
        <v>0</v>
      </c>
      <c r="M2467" t="str">
        <f t="shared" si="38"/>
        <v>2010-2020</v>
      </c>
    </row>
    <row r="2468" spans="1:13" hidden="1">
      <c r="A2468" t="s">
        <v>3579</v>
      </c>
      <c r="B2468" t="s">
        <v>236</v>
      </c>
      <c r="C2468" s="1">
        <v>45135</v>
      </c>
      <c r="D2468" s="2">
        <v>102510409</v>
      </c>
      <c r="E2468" s="2">
        <v>39218</v>
      </c>
      <c r="F2468">
        <v>65</v>
      </c>
      <c r="G2468" s="2">
        <v>22490105</v>
      </c>
      <c r="H2468" s="2">
        <v>254512</v>
      </c>
      <c r="I2468" s="2">
        <v>8554938</v>
      </c>
      <c r="J2468">
        <v>6</v>
      </c>
      <c r="L2468">
        <v>1</v>
      </c>
      <c r="M2468" t="str">
        <f t="shared" si="38"/>
        <v>After 2020</v>
      </c>
    </row>
    <row r="2469" spans="1:13" hidden="1">
      <c r="A2469" t="s">
        <v>3580</v>
      </c>
      <c r="B2469" t="s">
        <v>3581</v>
      </c>
      <c r="C2469" s="1">
        <v>45046</v>
      </c>
      <c r="D2469" s="2">
        <v>159579530</v>
      </c>
      <c r="E2469" s="2">
        <v>29495</v>
      </c>
      <c r="F2469">
        <v>67</v>
      </c>
      <c r="G2469" s="2">
        <v>113216772</v>
      </c>
      <c r="H2469" s="2">
        <v>1817753</v>
      </c>
      <c r="I2469" s="2">
        <v>68969483</v>
      </c>
      <c r="J2469">
        <v>20</v>
      </c>
      <c r="L2469">
        <v>1</v>
      </c>
      <c r="M2469" t="str">
        <f t="shared" si="38"/>
        <v>After 2020</v>
      </c>
    </row>
    <row r="2470" spans="1:13" hidden="1">
      <c r="A2470" t="s">
        <v>3582</v>
      </c>
      <c r="B2470" t="s">
        <v>3583</v>
      </c>
      <c r="C2470" s="1">
        <v>44959</v>
      </c>
      <c r="D2470" s="2">
        <v>76078240</v>
      </c>
      <c r="E2470" s="2">
        <v>16848</v>
      </c>
      <c r="G2470" s="2">
        <v>60811918</v>
      </c>
      <c r="H2470" s="2">
        <v>330400</v>
      </c>
      <c r="I2470" s="2">
        <v>1479348962</v>
      </c>
      <c r="J2470">
        <v>4</v>
      </c>
      <c r="L2470">
        <v>1</v>
      </c>
      <c r="M2470" t="str">
        <f t="shared" si="38"/>
        <v>After 2020</v>
      </c>
    </row>
    <row r="2471" spans="1:13" hidden="1">
      <c r="A2471" t="s">
        <v>3584</v>
      </c>
      <c r="B2471" t="s">
        <v>2649</v>
      </c>
      <c r="C2471" s="1">
        <v>45329</v>
      </c>
      <c r="D2471" s="2">
        <v>42027577</v>
      </c>
      <c r="E2471" s="2">
        <v>7316</v>
      </c>
      <c r="G2471" s="2">
        <v>42037919</v>
      </c>
      <c r="H2471" s="2">
        <v>380896</v>
      </c>
      <c r="J2471">
        <v>15</v>
      </c>
      <c r="L2471">
        <v>1</v>
      </c>
      <c r="M2471" t="str">
        <f t="shared" si="38"/>
        <v>After 2020</v>
      </c>
    </row>
    <row r="2472" spans="1:13" hidden="1">
      <c r="A2472" t="s">
        <v>3585</v>
      </c>
      <c r="B2472" t="s">
        <v>3586</v>
      </c>
      <c r="C2472" s="1">
        <v>44501</v>
      </c>
      <c r="D2472" s="2">
        <v>8887656</v>
      </c>
      <c r="E2472" s="2">
        <v>1905</v>
      </c>
      <c r="F2472">
        <v>37</v>
      </c>
      <c r="G2472" s="2">
        <v>102934351</v>
      </c>
      <c r="H2472" s="2">
        <v>1234889</v>
      </c>
      <c r="I2472" s="2">
        <v>1978705486</v>
      </c>
      <c r="L2472">
        <v>0</v>
      </c>
      <c r="M2472" t="str">
        <f t="shared" si="38"/>
        <v>After 2020</v>
      </c>
    </row>
    <row r="2473" spans="1:13">
      <c r="A2473" t="s">
        <v>3587</v>
      </c>
      <c r="B2473" t="s">
        <v>500</v>
      </c>
      <c r="C2473" s="1">
        <v>40909</v>
      </c>
      <c r="D2473" s="2">
        <v>1438795892</v>
      </c>
      <c r="E2473" s="2">
        <v>180669</v>
      </c>
      <c r="F2473">
        <v>78</v>
      </c>
      <c r="G2473" s="2">
        <v>1122719476</v>
      </c>
      <c r="H2473" s="2">
        <v>8456502</v>
      </c>
      <c r="I2473" s="2">
        <v>2876399321</v>
      </c>
      <c r="J2473">
        <v>71</v>
      </c>
      <c r="K2473">
        <v>25</v>
      </c>
      <c r="L2473">
        <v>0</v>
      </c>
      <c r="M2473" t="str">
        <f t="shared" si="38"/>
        <v>2010-2020</v>
      </c>
    </row>
    <row r="2474" spans="1:13" hidden="1">
      <c r="A2474" t="s">
        <v>3588</v>
      </c>
      <c r="B2474" t="s">
        <v>3589</v>
      </c>
      <c r="C2474" s="1">
        <v>43403</v>
      </c>
      <c r="D2474" s="2">
        <v>37291</v>
      </c>
      <c r="E2474">
        <v>93</v>
      </c>
      <c r="F2474">
        <v>3</v>
      </c>
      <c r="I2474" s="2">
        <v>12110114842</v>
      </c>
      <c r="L2474">
        <v>0</v>
      </c>
      <c r="M2474" t="str">
        <f t="shared" si="38"/>
        <v>2010-2020</v>
      </c>
    </row>
    <row r="2475" spans="1:13" hidden="1">
      <c r="A2475" t="s">
        <v>3590</v>
      </c>
      <c r="B2475" t="s">
        <v>3193</v>
      </c>
      <c r="C2475" s="1">
        <v>45366</v>
      </c>
      <c r="D2475" s="2">
        <v>81775807</v>
      </c>
      <c r="E2475" s="2">
        <v>5560</v>
      </c>
      <c r="F2475">
        <v>80</v>
      </c>
      <c r="G2475" s="2">
        <v>21914068</v>
      </c>
      <c r="H2475" s="2">
        <v>393262</v>
      </c>
      <c r="I2475" s="2">
        <v>40996820</v>
      </c>
      <c r="J2475">
        <v>4</v>
      </c>
      <c r="L2475">
        <v>1</v>
      </c>
      <c r="M2475" t="str">
        <f t="shared" si="38"/>
        <v>After 2020</v>
      </c>
    </row>
    <row r="2476" spans="1:13" hidden="1">
      <c r="A2476" t="s">
        <v>3591</v>
      </c>
      <c r="B2476" t="s">
        <v>3592</v>
      </c>
      <c r="C2476" s="1">
        <v>43100</v>
      </c>
      <c r="E2476">
        <v>1</v>
      </c>
      <c r="G2476" s="2">
        <v>1651471016</v>
      </c>
      <c r="H2476" s="2">
        <v>9796166</v>
      </c>
      <c r="L2476">
        <v>0</v>
      </c>
      <c r="M2476" t="str">
        <f t="shared" si="38"/>
        <v>2010-2020</v>
      </c>
    </row>
    <row r="2477" spans="1:13" hidden="1">
      <c r="A2477" t="s">
        <v>3593</v>
      </c>
      <c r="B2477" t="s">
        <v>3594</v>
      </c>
      <c r="C2477" s="1">
        <v>45006</v>
      </c>
      <c r="D2477" s="2">
        <v>64736609</v>
      </c>
      <c r="E2477" s="2">
        <v>4611</v>
      </c>
      <c r="F2477">
        <v>67</v>
      </c>
      <c r="G2477" s="2">
        <v>254836186</v>
      </c>
      <c r="H2477" s="2">
        <v>1434198</v>
      </c>
      <c r="I2477" s="2">
        <v>67989343</v>
      </c>
      <c r="J2477">
        <v>7</v>
      </c>
      <c r="L2477">
        <v>0</v>
      </c>
      <c r="M2477" t="str">
        <f t="shared" si="38"/>
        <v>After 2020</v>
      </c>
    </row>
    <row r="2478" spans="1:13">
      <c r="A2478" t="s">
        <v>3595</v>
      </c>
      <c r="B2478" t="s">
        <v>2265</v>
      </c>
      <c r="C2478" s="1">
        <v>45105</v>
      </c>
      <c r="D2478" s="2">
        <v>52240739</v>
      </c>
      <c r="E2478" s="2">
        <v>18224</v>
      </c>
      <c r="F2478">
        <v>59</v>
      </c>
      <c r="G2478" s="2">
        <v>19520315</v>
      </c>
      <c r="H2478" s="2">
        <v>328759</v>
      </c>
      <c r="I2478" s="2">
        <v>71305547</v>
      </c>
      <c r="J2478">
        <v>10</v>
      </c>
      <c r="K2478">
        <v>44</v>
      </c>
      <c r="L2478">
        <v>0</v>
      </c>
      <c r="M2478" t="str">
        <f t="shared" si="38"/>
        <v>After 2020</v>
      </c>
    </row>
    <row r="2479" spans="1:13" hidden="1">
      <c r="A2479" t="s">
        <v>3596</v>
      </c>
      <c r="B2479" t="s">
        <v>2225</v>
      </c>
      <c r="C2479" s="1">
        <v>45390</v>
      </c>
      <c r="D2479" s="2">
        <v>22739117</v>
      </c>
      <c r="E2479" s="2">
        <v>1119</v>
      </c>
      <c r="F2479">
        <v>71</v>
      </c>
      <c r="G2479" s="2">
        <v>33961165</v>
      </c>
      <c r="H2479" s="2">
        <v>359831</v>
      </c>
      <c r="J2479">
        <v>20</v>
      </c>
      <c r="L2479">
        <v>0</v>
      </c>
      <c r="M2479" t="str">
        <f t="shared" si="38"/>
        <v>After 2020</v>
      </c>
    </row>
    <row r="2480" spans="1:13" hidden="1">
      <c r="A2480" t="s">
        <v>3597</v>
      </c>
      <c r="B2480" t="s">
        <v>94</v>
      </c>
      <c r="C2480" s="1">
        <v>45408</v>
      </c>
      <c r="D2480" s="2">
        <v>20455</v>
      </c>
      <c r="E2480">
        <v>3</v>
      </c>
      <c r="L2480">
        <v>0</v>
      </c>
      <c r="M2480" t="str">
        <f t="shared" si="38"/>
        <v>After 2020</v>
      </c>
    </row>
    <row r="2481" spans="1:13">
      <c r="A2481" t="s">
        <v>3598</v>
      </c>
      <c r="B2481" t="s">
        <v>3335</v>
      </c>
      <c r="C2481" s="1">
        <v>41917</v>
      </c>
      <c r="D2481" s="2">
        <v>895051532</v>
      </c>
      <c r="E2481" s="2">
        <v>155100</v>
      </c>
      <c r="F2481">
        <v>72</v>
      </c>
      <c r="G2481" s="2">
        <v>619712411</v>
      </c>
      <c r="H2481" s="2">
        <v>5087544</v>
      </c>
      <c r="I2481" s="2">
        <v>730346946</v>
      </c>
      <c r="J2481">
        <v>78</v>
      </c>
      <c r="K2481">
        <v>115</v>
      </c>
      <c r="L2481">
        <v>0</v>
      </c>
      <c r="M2481" t="str">
        <f t="shared" si="38"/>
        <v>2010-2020</v>
      </c>
    </row>
    <row r="2482" spans="1:13">
      <c r="A2482" t="s">
        <v>3599</v>
      </c>
      <c r="B2482" t="s">
        <v>1412</v>
      </c>
      <c r="C2482" s="1">
        <v>44441</v>
      </c>
      <c r="D2482" s="2">
        <v>412597562</v>
      </c>
      <c r="E2482" s="2">
        <v>80841</v>
      </c>
      <c r="F2482">
        <v>66</v>
      </c>
      <c r="G2482" s="2">
        <v>209120821</v>
      </c>
      <c r="H2482" s="2">
        <v>1034481</v>
      </c>
      <c r="I2482" s="2">
        <v>201664757</v>
      </c>
      <c r="J2482">
        <v>76</v>
      </c>
      <c r="K2482">
        <v>63</v>
      </c>
      <c r="L2482">
        <v>0</v>
      </c>
      <c r="M2482" t="str">
        <f t="shared" si="38"/>
        <v>After 2020</v>
      </c>
    </row>
    <row r="2483" spans="1:13">
      <c r="A2483" t="s">
        <v>3600</v>
      </c>
      <c r="B2483" t="s">
        <v>318</v>
      </c>
      <c r="C2483" s="1">
        <v>44953</v>
      </c>
      <c r="D2483" s="2">
        <v>261468916</v>
      </c>
      <c r="E2483" s="2">
        <v>44088</v>
      </c>
      <c r="F2483">
        <v>75</v>
      </c>
      <c r="G2483" s="2">
        <v>8880434</v>
      </c>
      <c r="H2483" s="2">
        <v>54195</v>
      </c>
      <c r="I2483" s="2">
        <v>127691196</v>
      </c>
      <c r="J2483">
        <v>25</v>
      </c>
      <c r="K2483">
        <v>4</v>
      </c>
      <c r="L2483">
        <v>1</v>
      </c>
      <c r="M2483" t="str">
        <f t="shared" si="38"/>
        <v>After 2020</v>
      </c>
    </row>
    <row r="2484" spans="1:13" hidden="1">
      <c r="A2484" t="s">
        <v>3601</v>
      </c>
      <c r="B2484" t="s">
        <v>1380</v>
      </c>
      <c r="C2484" s="1">
        <v>45170</v>
      </c>
      <c r="D2484" s="2">
        <v>59964248</v>
      </c>
      <c r="E2484" s="2">
        <v>9504</v>
      </c>
      <c r="G2484" s="2">
        <v>112511884</v>
      </c>
      <c r="H2484" s="2">
        <v>361436</v>
      </c>
      <c r="I2484" s="2">
        <v>77807288</v>
      </c>
      <c r="J2484">
        <v>4</v>
      </c>
      <c r="L2484">
        <v>0</v>
      </c>
      <c r="M2484" t="str">
        <f t="shared" si="38"/>
        <v>After 2020</v>
      </c>
    </row>
    <row r="2485" spans="1:13">
      <c r="A2485" t="s">
        <v>1874</v>
      </c>
      <c r="B2485" t="s">
        <v>155</v>
      </c>
      <c r="C2485" s="1">
        <v>37704</v>
      </c>
      <c r="D2485" s="2">
        <v>1720830668</v>
      </c>
      <c r="E2485" s="2">
        <v>270810</v>
      </c>
      <c r="F2485">
        <v>80</v>
      </c>
      <c r="G2485" s="2">
        <v>2450982330</v>
      </c>
      <c r="H2485" s="2">
        <v>15462896</v>
      </c>
      <c r="I2485" s="2">
        <v>490782499</v>
      </c>
      <c r="J2485">
        <v>5</v>
      </c>
      <c r="K2485">
        <v>559</v>
      </c>
      <c r="L2485">
        <v>0</v>
      </c>
      <c r="M2485" t="str">
        <f t="shared" si="38"/>
        <v>Before 2010</v>
      </c>
    </row>
    <row r="2486" spans="1:13" hidden="1">
      <c r="A2486" t="s">
        <v>3602</v>
      </c>
      <c r="B2486" t="s">
        <v>61</v>
      </c>
      <c r="C2486" s="1">
        <v>45401</v>
      </c>
      <c r="D2486" s="2">
        <v>97601615</v>
      </c>
      <c r="E2486" s="2">
        <v>3397</v>
      </c>
      <c r="F2486">
        <v>87</v>
      </c>
      <c r="G2486" s="2">
        <v>5528058</v>
      </c>
      <c r="H2486" s="2">
        <v>78517</v>
      </c>
      <c r="I2486" s="2">
        <v>17893741</v>
      </c>
      <c r="J2486">
        <v>18</v>
      </c>
      <c r="L2486">
        <v>0</v>
      </c>
      <c r="M2486" t="str">
        <f t="shared" si="38"/>
        <v>After 2020</v>
      </c>
    </row>
    <row r="2487" spans="1:13" hidden="1">
      <c r="A2487" t="s">
        <v>3603</v>
      </c>
      <c r="B2487" t="s">
        <v>3604</v>
      </c>
      <c r="C2487" s="1">
        <v>43595</v>
      </c>
      <c r="D2487" s="2">
        <v>28185177</v>
      </c>
      <c r="E2487" s="2">
        <v>6572</v>
      </c>
      <c r="F2487">
        <v>42</v>
      </c>
      <c r="G2487" s="2">
        <v>1163245760</v>
      </c>
      <c r="H2487" s="2">
        <v>5110945</v>
      </c>
      <c r="I2487" s="2">
        <v>20930088</v>
      </c>
      <c r="L2487">
        <v>0</v>
      </c>
      <c r="M2487" t="str">
        <f t="shared" si="38"/>
        <v>2010-2020</v>
      </c>
    </row>
    <row r="2488" spans="1:13">
      <c r="A2488" t="s">
        <v>3605</v>
      </c>
      <c r="B2488" t="s">
        <v>380</v>
      </c>
      <c r="C2488" s="1">
        <v>42786</v>
      </c>
      <c r="D2488" s="2">
        <v>1315024190</v>
      </c>
      <c r="E2488" s="2">
        <v>261850</v>
      </c>
      <c r="F2488">
        <v>80</v>
      </c>
      <c r="G2488" s="2">
        <v>152580618</v>
      </c>
      <c r="H2488" s="2">
        <v>1969610</v>
      </c>
      <c r="I2488" s="2">
        <v>558037837</v>
      </c>
      <c r="J2488">
        <v>101</v>
      </c>
      <c r="K2488">
        <v>188</v>
      </c>
      <c r="L2488">
        <v>0</v>
      </c>
      <c r="M2488" t="str">
        <f t="shared" si="38"/>
        <v>2010-2020</v>
      </c>
    </row>
    <row r="2489" spans="1:13">
      <c r="A2489" t="s">
        <v>3606</v>
      </c>
      <c r="B2489" t="s">
        <v>59</v>
      </c>
      <c r="C2489" s="1">
        <v>43854</v>
      </c>
      <c r="D2489" s="2">
        <v>465811322</v>
      </c>
      <c r="E2489" s="2">
        <v>70596</v>
      </c>
      <c r="F2489">
        <v>66</v>
      </c>
      <c r="G2489" s="2">
        <v>574401770</v>
      </c>
      <c r="H2489" s="2">
        <v>3127746</v>
      </c>
      <c r="I2489" s="2">
        <v>196656614</v>
      </c>
      <c r="J2489">
        <v>42</v>
      </c>
      <c r="K2489">
        <v>40</v>
      </c>
      <c r="L2489">
        <v>1</v>
      </c>
      <c r="M2489" t="str">
        <f t="shared" si="38"/>
        <v>2010-2020</v>
      </c>
    </row>
    <row r="2490" spans="1:13" hidden="1">
      <c r="A2490" t="s">
        <v>3607</v>
      </c>
      <c r="B2490" t="s">
        <v>3608</v>
      </c>
      <c r="C2490" s="1">
        <v>44805</v>
      </c>
      <c r="E2490">
        <v>14</v>
      </c>
      <c r="G2490" s="2">
        <v>456529791</v>
      </c>
      <c r="H2490" s="2">
        <v>536208</v>
      </c>
      <c r="L2490">
        <v>1</v>
      </c>
      <c r="M2490" t="str">
        <f t="shared" si="38"/>
        <v>After 2020</v>
      </c>
    </row>
    <row r="2491" spans="1:13">
      <c r="A2491" t="s">
        <v>3609</v>
      </c>
      <c r="B2491" t="s">
        <v>3610</v>
      </c>
      <c r="C2491" s="1">
        <v>41275</v>
      </c>
      <c r="D2491" s="2">
        <v>727417273</v>
      </c>
      <c r="E2491" s="2">
        <v>107826</v>
      </c>
      <c r="F2491">
        <v>73</v>
      </c>
      <c r="G2491" s="2">
        <v>563826762</v>
      </c>
      <c r="H2491" s="2">
        <v>2402463</v>
      </c>
      <c r="I2491" s="2">
        <v>101847028</v>
      </c>
      <c r="J2491">
        <v>59</v>
      </c>
      <c r="K2491">
        <v>126</v>
      </c>
      <c r="L2491">
        <v>0</v>
      </c>
      <c r="M2491" t="str">
        <f t="shared" si="38"/>
        <v>2010-2020</v>
      </c>
    </row>
    <row r="2492" spans="1:13" hidden="1">
      <c r="A2492" t="s">
        <v>3611</v>
      </c>
      <c r="B2492" t="s">
        <v>1042</v>
      </c>
      <c r="C2492" s="1">
        <v>44464</v>
      </c>
      <c r="D2492" s="2">
        <v>64013323</v>
      </c>
      <c r="E2492" s="2">
        <v>5573</v>
      </c>
      <c r="F2492">
        <v>53</v>
      </c>
      <c r="G2492" s="2">
        <v>633429136</v>
      </c>
      <c r="H2492" s="2">
        <v>6478665</v>
      </c>
      <c r="I2492" s="2">
        <v>4052529</v>
      </c>
      <c r="J2492">
        <v>2</v>
      </c>
      <c r="L2492">
        <v>0</v>
      </c>
      <c r="M2492" t="str">
        <f t="shared" si="38"/>
        <v>After 2020</v>
      </c>
    </row>
    <row r="2493" spans="1:13">
      <c r="A2493" t="s">
        <v>3612</v>
      </c>
      <c r="B2493" t="s">
        <v>127</v>
      </c>
      <c r="C2493" s="1">
        <v>44232</v>
      </c>
      <c r="D2493" s="2">
        <v>669099980</v>
      </c>
      <c r="E2493" s="2">
        <v>87216</v>
      </c>
      <c r="F2493">
        <v>76</v>
      </c>
      <c r="G2493" s="2">
        <v>213028772</v>
      </c>
      <c r="H2493" s="2">
        <v>2081644</v>
      </c>
      <c r="I2493" s="2">
        <v>101980300</v>
      </c>
      <c r="J2493">
        <v>13</v>
      </c>
      <c r="K2493">
        <v>90</v>
      </c>
      <c r="L2493">
        <v>0</v>
      </c>
      <c r="M2493" t="str">
        <f t="shared" si="38"/>
        <v>After 2020</v>
      </c>
    </row>
    <row r="2494" spans="1:13">
      <c r="A2494" t="s">
        <v>2621</v>
      </c>
      <c r="B2494" t="s">
        <v>3613</v>
      </c>
      <c r="C2494" s="1">
        <v>43005</v>
      </c>
      <c r="D2494" s="2">
        <v>133061000</v>
      </c>
      <c r="E2494" s="2">
        <v>41010</v>
      </c>
      <c r="F2494">
        <v>54</v>
      </c>
      <c r="G2494" s="2">
        <v>113794097</v>
      </c>
      <c r="H2494" s="2">
        <v>1057519</v>
      </c>
      <c r="I2494" s="2">
        <v>3983988990</v>
      </c>
      <c r="J2494">
        <v>24</v>
      </c>
      <c r="K2494">
        <v>74</v>
      </c>
      <c r="L2494">
        <v>0</v>
      </c>
      <c r="M2494" t="str">
        <f t="shared" si="38"/>
        <v>2010-2020</v>
      </c>
    </row>
    <row r="2495" spans="1:13">
      <c r="A2495" t="s">
        <v>3614</v>
      </c>
      <c r="B2495" t="s">
        <v>3615</v>
      </c>
      <c r="C2495" s="1">
        <v>44393</v>
      </c>
      <c r="D2495" s="2">
        <v>181529121</v>
      </c>
      <c r="E2495" s="2">
        <v>36504</v>
      </c>
      <c r="F2495">
        <v>60</v>
      </c>
      <c r="G2495" s="2">
        <v>235286963</v>
      </c>
      <c r="H2495" s="2">
        <v>3057740</v>
      </c>
      <c r="I2495" s="2">
        <v>406413864</v>
      </c>
      <c r="J2495">
        <v>88</v>
      </c>
      <c r="K2495">
        <v>456</v>
      </c>
      <c r="L2495">
        <v>1</v>
      </c>
      <c r="M2495" t="str">
        <f t="shared" si="38"/>
        <v>After 2020</v>
      </c>
    </row>
    <row r="2496" spans="1:13" hidden="1">
      <c r="A2496" t="s">
        <v>3616</v>
      </c>
      <c r="B2496" t="s">
        <v>3617</v>
      </c>
      <c r="C2496" s="1">
        <v>44638</v>
      </c>
      <c r="D2496" s="2">
        <v>214391030</v>
      </c>
      <c r="E2496" s="2">
        <v>27588</v>
      </c>
      <c r="F2496">
        <v>58</v>
      </c>
      <c r="G2496" s="2">
        <v>301701293</v>
      </c>
      <c r="H2496" s="2">
        <v>1063678</v>
      </c>
      <c r="I2496" s="2">
        <v>196090529</v>
      </c>
      <c r="J2496">
        <v>12</v>
      </c>
      <c r="L2496">
        <v>0</v>
      </c>
      <c r="M2496" t="str">
        <f t="shared" si="38"/>
        <v>After 2020</v>
      </c>
    </row>
    <row r="2497" spans="1:13">
      <c r="A2497" t="s">
        <v>3618</v>
      </c>
      <c r="B2497" t="s">
        <v>167</v>
      </c>
      <c r="C2497" s="1">
        <v>43532</v>
      </c>
      <c r="D2497" s="2">
        <v>540907681</v>
      </c>
      <c r="E2497" s="2">
        <v>169023</v>
      </c>
      <c r="F2497">
        <v>70</v>
      </c>
      <c r="G2497" s="2">
        <v>281620086</v>
      </c>
      <c r="H2497" s="2">
        <v>1394656</v>
      </c>
      <c r="I2497" s="2">
        <v>65403430</v>
      </c>
      <c r="J2497">
        <v>113</v>
      </c>
      <c r="K2497">
        <v>9</v>
      </c>
      <c r="L2497">
        <v>1</v>
      </c>
      <c r="M2497" t="str">
        <f t="shared" si="38"/>
        <v>2010-2020</v>
      </c>
    </row>
    <row r="2498" spans="1:13" hidden="1">
      <c r="A2498" t="s">
        <v>3619</v>
      </c>
      <c r="B2498" t="s">
        <v>3620</v>
      </c>
      <c r="C2498" s="1">
        <v>45016</v>
      </c>
      <c r="D2498" s="2">
        <v>86387703</v>
      </c>
      <c r="E2498" s="2">
        <v>9584</v>
      </c>
      <c r="F2498">
        <v>56</v>
      </c>
      <c r="G2498" s="2">
        <v>98278396</v>
      </c>
      <c r="H2498" s="2">
        <v>404177</v>
      </c>
      <c r="I2498" s="2">
        <v>376919346</v>
      </c>
      <c r="J2498">
        <v>23</v>
      </c>
      <c r="L2498">
        <v>0</v>
      </c>
      <c r="M2498" t="str">
        <f t="shared" si="38"/>
        <v>After 2020</v>
      </c>
    </row>
    <row r="2499" spans="1:13" hidden="1">
      <c r="A2499" t="s">
        <v>3621</v>
      </c>
      <c r="B2499" t="s">
        <v>1565</v>
      </c>
      <c r="C2499" s="1">
        <v>45125</v>
      </c>
      <c r="D2499" s="2">
        <v>97050082</v>
      </c>
      <c r="E2499" s="2">
        <v>6294</v>
      </c>
      <c r="F2499">
        <v>68</v>
      </c>
      <c r="G2499" s="2">
        <v>159263795</v>
      </c>
      <c r="H2499" s="2">
        <v>1268052</v>
      </c>
      <c r="J2499">
        <v>14</v>
      </c>
      <c r="L2499">
        <v>0</v>
      </c>
      <c r="M2499" t="str">
        <f t="shared" ref="M2499:M2562" si="39">IF(YEAR(C2499)&lt;2010,"Before 2010",IF(YEAR(C2499)&lt;=2020,"2010-2020","After 2020"))</f>
        <v>After 2020</v>
      </c>
    </row>
    <row r="2500" spans="1:13" hidden="1">
      <c r="A2500" t="s">
        <v>1552</v>
      </c>
      <c r="B2500" t="s">
        <v>39</v>
      </c>
      <c r="C2500" s="1">
        <v>45074</v>
      </c>
      <c r="D2500" s="2">
        <v>1614203949</v>
      </c>
      <c r="L2500">
        <v>1</v>
      </c>
      <c r="M2500" t="str">
        <f t="shared" si="39"/>
        <v>After 2020</v>
      </c>
    </row>
    <row r="2501" spans="1:13" hidden="1">
      <c r="A2501" t="s">
        <v>3622</v>
      </c>
      <c r="B2501" t="s">
        <v>127</v>
      </c>
      <c r="C2501" s="1">
        <v>43133</v>
      </c>
      <c r="D2501" s="2">
        <v>918478800</v>
      </c>
      <c r="E2501" s="2">
        <v>139420</v>
      </c>
      <c r="F2501">
        <v>71</v>
      </c>
      <c r="G2501" s="2">
        <v>351030632</v>
      </c>
      <c r="H2501" s="2">
        <v>3597944</v>
      </c>
      <c r="I2501" s="2">
        <v>164140502</v>
      </c>
      <c r="J2501">
        <v>77</v>
      </c>
      <c r="L2501">
        <v>1</v>
      </c>
      <c r="M2501" t="str">
        <f t="shared" si="39"/>
        <v>2010-2020</v>
      </c>
    </row>
    <row r="2502" spans="1:13" hidden="1">
      <c r="A2502" t="s">
        <v>3623</v>
      </c>
      <c r="B2502" t="s">
        <v>1326</v>
      </c>
      <c r="C2502" s="1">
        <v>44330</v>
      </c>
      <c r="D2502" s="2">
        <v>367165473</v>
      </c>
      <c r="E2502" s="2">
        <v>125205</v>
      </c>
      <c r="F2502">
        <v>65</v>
      </c>
      <c r="G2502" s="2">
        <v>69280791</v>
      </c>
      <c r="H2502" s="2">
        <v>766589</v>
      </c>
      <c r="J2502">
        <v>56</v>
      </c>
      <c r="K2502">
        <v>52</v>
      </c>
      <c r="L2502">
        <v>1</v>
      </c>
      <c r="M2502" t="str">
        <f t="shared" si="39"/>
        <v>After 2020</v>
      </c>
    </row>
    <row r="2503" spans="1:13" hidden="1">
      <c r="A2503" t="s">
        <v>3624</v>
      </c>
      <c r="B2503" t="s">
        <v>3625</v>
      </c>
      <c r="C2503" s="1">
        <v>45337</v>
      </c>
      <c r="D2503" s="2">
        <v>44456165</v>
      </c>
      <c r="E2503" s="2">
        <v>3922</v>
      </c>
      <c r="F2503">
        <v>73</v>
      </c>
      <c r="G2503" s="2">
        <v>34743986</v>
      </c>
      <c r="H2503" s="2">
        <v>212617</v>
      </c>
      <c r="J2503">
        <v>25</v>
      </c>
      <c r="L2503">
        <v>0</v>
      </c>
      <c r="M2503" t="str">
        <f t="shared" si="39"/>
        <v>After 2020</v>
      </c>
    </row>
    <row r="2504" spans="1:13">
      <c r="A2504" t="s">
        <v>3626</v>
      </c>
      <c r="B2504" t="s">
        <v>47</v>
      </c>
      <c r="C2504" s="1">
        <v>44386</v>
      </c>
      <c r="D2504" s="2">
        <v>399297877</v>
      </c>
      <c r="E2504" s="2">
        <v>98593</v>
      </c>
      <c r="F2504">
        <v>66</v>
      </c>
      <c r="G2504" s="2">
        <v>113586161</v>
      </c>
      <c r="H2504" s="2">
        <v>1283651</v>
      </c>
      <c r="I2504" s="2">
        <v>90781226</v>
      </c>
      <c r="J2504">
        <v>98</v>
      </c>
      <c r="K2504">
        <v>24</v>
      </c>
      <c r="L2504">
        <v>1</v>
      </c>
      <c r="M2504" t="str">
        <f t="shared" si="39"/>
        <v>After 2020</v>
      </c>
    </row>
    <row r="2505" spans="1:13">
      <c r="A2505" t="s">
        <v>3627</v>
      </c>
      <c r="B2505" t="s">
        <v>747</v>
      </c>
      <c r="C2505" s="1">
        <v>44610</v>
      </c>
      <c r="D2505" s="2">
        <v>152999496</v>
      </c>
      <c r="E2505" s="2">
        <v>61870</v>
      </c>
      <c r="F2505">
        <v>63</v>
      </c>
      <c r="G2505" s="2">
        <v>41680427</v>
      </c>
      <c r="H2505" s="2">
        <v>625297</v>
      </c>
      <c r="I2505" s="2">
        <v>165647395</v>
      </c>
      <c r="J2505">
        <v>5</v>
      </c>
      <c r="K2505">
        <v>47</v>
      </c>
      <c r="L2505">
        <v>1</v>
      </c>
      <c r="M2505" t="str">
        <f t="shared" si="39"/>
        <v>After 2020</v>
      </c>
    </row>
    <row r="2506" spans="1:13">
      <c r="A2506" t="s">
        <v>356</v>
      </c>
      <c r="B2506" t="s">
        <v>1955</v>
      </c>
      <c r="C2506" s="1">
        <v>44666</v>
      </c>
      <c r="D2506" s="2">
        <v>445742307</v>
      </c>
      <c r="E2506" s="2">
        <v>68570</v>
      </c>
      <c r="F2506">
        <v>72</v>
      </c>
      <c r="G2506" s="2">
        <v>65247352</v>
      </c>
      <c r="H2506" s="2">
        <v>1302190</v>
      </c>
      <c r="I2506" s="2">
        <v>299317588</v>
      </c>
      <c r="J2506">
        <v>9</v>
      </c>
      <c r="K2506">
        <v>3</v>
      </c>
      <c r="L2506">
        <v>0</v>
      </c>
      <c r="M2506" t="str">
        <f t="shared" si="39"/>
        <v>After 2020</v>
      </c>
    </row>
    <row r="2507" spans="1:13" hidden="1">
      <c r="A2507" t="s">
        <v>3628</v>
      </c>
      <c r="B2507" t="s">
        <v>819</v>
      </c>
      <c r="C2507" s="1">
        <v>45247</v>
      </c>
      <c r="D2507" s="2">
        <v>64656678</v>
      </c>
      <c r="E2507" s="2">
        <v>2743</v>
      </c>
      <c r="G2507" s="2">
        <v>104860686</v>
      </c>
      <c r="H2507" s="2">
        <v>407632</v>
      </c>
      <c r="I2507" s="2">
        <v>194766</v>
      </c>
      <c r="L2507">
        <v>0</v>
      </c>
      <c r="M2507" t="str">
        <f t="shared" si="39"/>
        <v>After 2020</v>
      </c>
    </row>
    <row r="2508" spans="1:13" hidden="1">
      <c r="A2508" t="s">
        <v>3629</v>
      </c>
      <c r="B2508" t="s">
        <v>72</v>
      </c>
      <c r="C2508" s="1">
        <v>45378</v>
      </c>
      <c r="D2508" s="2">
        <v>57163264</v>
      </c>
      <c r="E2508" s="2">
        <v>3903</v>
      </c>
      <c r="G2508" s="2">
        <v>13386365</v>
      </c>
      <c r="H2508" s="2">
        <v>216945</v>
      </c>
      <c r="I2508" s="2">
        <v>21400000</v>
      </c>
      <c r="J2508">
        <v>37</v>
      </c>
      <c r="K2508">
        <v>8</v>
      </c>
      <c r="L2508">
        <v>0</v>
      </c>
      <c r="M2508" t="str">
        <f t="shared" si="39"/>
        <v>After 2020</v>
      </c>
    </row>
    <row r="2509" spans="1:13" hidden="1">
      <c r="A2509" t="s">
        <v>3630</v>
      </c>
      <c r="B2509" t="s">
        <v>3473</v>
      </c>
      <c r="C2509" s="1">
        <v>44882</v>
      </c>
      <c r="D2509" s="2">
        <v>192684719</v>
      </c>
      <c r="E2509" s="2">
        <v>15067</v>
      </c>
      <c r="F2509">
        <v>63</v>
      </c>
      <c r="G2509" s="2">
        <v>253199155</v>
      </c>
      <c r="H2509" s="2">
        <v>1310110</v>
      </c>
      <c r="I2509" s="2">
        <v>547404253</v>
      </c>
      <c r="J2509">
        <v>12</v>
      </c>
      <c r="L2509">
        <v>0</v>
      </c>
      <c r="M2509" t="str">
        <f t="shared" si="39"/>
        <v>After 2020</v>
      </c>
    </row>
    <row r="2510" spans="1:13" hidden="1">
      <c r="A2510" t="s">
        <v>3631</v>
      </c>
      <c r="B2510" t="s">
        <v>3632</v>
      </c>
      <c r="C2510" s="1">
        <v>44659</v>
      </c>
      <c r="D2510" s="2">
        <v>52418564</v>
      </c>
      <c r="E2510" s="2">
        <v>24196</v>
      </c>
      <c r="F2510">
        <v>57</v>
      </c>
      <c r="G2510" s="2">
        <v>112013583</v>
      </c>
      <c r="H2510" s="2">
        <v>498515</v>
      </c>
      <c r="I2510" s="2">
        <v>375062387</v>
      </c>
      <c r="J2510">
        <v>37</v>
      </c>
      <c r="L2510">
        <v>1</v>
      </c>
      <c r="M2510" t="str">
        <f t="shared" si="39"/>
        <v>After 2020</v>
      </c>
    </row>
    <row r="2511" spans="1:13" hidden="1">
      <c r="A2511" t="s">
        <v>3633</v>
      </c>
      <c r="B2511" t="s">
        <v>1723</v>
      </c>
      <c r="C2511" s="1">
        <v>45443</v>
      </c>
      <c r="D2511" s="2">
        <v>96766</v>
      </c>
      <c r="E2511">
        <v>20</v>
      </c>
      <c r="G2511" s="2">
        <v>10605392</v>
      </c>
      <c r="H2511" s="2">
        <v>57310</v>
      </c>
      <c r="L2511">
        <v>0</v>
      </c>
      <c r="M2511" t="str">
        <f t="shared" si="39"/>
        <v>After 2020</v>
      </c>
    </row>
    <row r="2512" spans="1:13">
      <c r="A2512" t="s">
        <v>3634</v>
      </c>
      <c r="B2512" t="s">
        <v>315</v>
      </c>
      <c r="C2512" s="1">
        <v>43735</v>
      </c>
      <c r="D2512" s="2">
        <v>349688559</v>
      </c>
      <c r="E2512" s="2">
        <v>77636</v>
      </c>
      <c r="F2512">
        <v>60</v>
      </c>
      <c r="G2512" s="2">
        <v>66011548</v>
      </c>
      <c r="H2512" s="2">
        <v>699236</v>
      </c>
      <c r="I2512" s="2">
        <v>643169528</v>
      </c>
      <c r="J2512">
        <v>26</v>
      </c>
      <c r="K2512">
        <v>43</v>
      </c>
      <c r="L2512">
        <v>1</v>
      </c>
      <c r="M2512" t="str">
        <f t="shared" si="39"/>
        <v>2010-2020</v>
      </c>
    </row>
    <row r="2513" spans="1:13" hidden="1">
      <c r="A2513" t="s">
        <v>3635</v>
      </c>
      <c r="B2513" t="s">
        <v>3636</v>
      </c>
      <c r="C2513" s="1">
        <v>41382</v>
      </c>
      <c r="D2513" s="2">
        <v>3115</v>
      </c>
      <c r="E2513">
        <v>7</v>
      </c>
      <c r="G2513" s="2">
        <v>2730590985</v>
      </c>
      <c r="H2513" s="2">
        <v>6452846</v>
      </c>
      <c r="L2513">
        <v>0</v>
      </c>
      <c r="M2513" t="str">
        <f t="shared" si="39"/>
        <v>2010-2020</v>
      </c>
    </row>
    <row r="2514" spans="1:13">
      <c r="A2514" t="s">
        <v>3637</v>
      </c>
      <c r="B2514" t="s">
        <v>3638</v>
      </c>
      <c r="C2514" s="1">
        <v>44643</v>
      </c>
      <c r="D2514" s="2">
        <v>238502829</v>
      </c>
      <c r="E2514" s="2">
        <v>38595</v>
      </c>
      <c r="F2514">
        <v>4</v>
      </c>
      <c r="G2514" s="2">
        <v>26154092</v>
      </c>
      <c r="H2514" s="2">
        <v>390129</v>
      </c>
      <c r="I2514" s="2">
        <v>2205444414</v>
      </c>
      <c r="J2514">
        <v>17</v>
      </c>
      <c r="K2514">
        <v>760</v>
      </c>
      <c r="L2514">
        <v>1</v>
      </c>
      <c r="M2514" t="str">
        <f t="shared" si="39"/>
        <v>After 2020</v>
      </c>
    </row>
    <row r="2515" spans="1:13" hidden="1">
      <c r="A2515" t="s">
        <v>3639</v>
      </c>
      <c r="B2515" t="s">
        <v>2362</v>
      </c>
      <c r="C2515" s="1">
        <v>43147</v>
      </c>
      <c r="D2515" s="2">
        <v>597899105</v>
      </c>
      <c r="E2515">
        <v>23</v>
      </c>
      <c r="G2515" s="2">
        <v>1498558573</v>
      </c>
      <c r="H2515" s="2">
        <v>4666041</v>
      </c>
      <c r="L2515">
        <v>0</v>
      </c>
      <c r="M2515" t="str">
        <f t="shared" si="39"/>
        <v>2010-2020</v>
      </c>
    </row>
    <row r="2516" spans="1:13">
      <c r="A2516" t="s">
        <v>3640</v>
      </c>
      <c r="B2516" t="s">
        <v>418</v>
      </c>
      <c r="C2516" s="1">
        <v>44645</v>
      </c>
      <c r="D2516" s="2">
        <v>409394001</v>
      </c>
      <c r="E2516" s="2">
        <v>53657</v>
      </c>
      <c r="F2516">
        <v>64</v>
      </c>
      <c r="G2516" s="2">
        <v>123846563</v>
      </c>
      <c r="H2516" s="2">
        <v>1120466</v>
      </c>
      <c r="I2516" s="2">
        <v>1334863571</v>
      </c>
      <c r="J2516">
        <v>45</v>
      </c>
      <c r="K2516">
        <v>81</v>
      </c>
      <c r="L2516">
        <v>1</v>
      </c>
      <c r="M2516" t="str">
        <f t="shared" si="39"/>
        <v>After 2020</v>
      </c>
    </row>
    <row r="2517" spans="1:13" hidden="1">
      <c r="A2517" t="s">
        <v>3641</v>
      </c>
      <c r="B2517" t="s">
        <v>1583</v>
      </c>
      <c r="C2517" s="1">
        <v>43766</v>
      </c>
      <c r="D2517" s="2">
        <v>28240865</v>
      </c>
      <c r="E2517" s="2">
        <v>9377</v>
      </c>
      <c r="F2517">
        <v>49</v>
      </c>
      <c r="I2517" s="2">
        <v>1680010594</v>
      </c>
      <c r="J2517">
        <v>14</v>
      </c>
      <c r="L2517">
        <v>1</v>
      </c>
      <c r="M2517" t="str">
        <f t="shared" si="39"/>
        <v>2010-2020</v>
      </c>
    </row>
    <row r="2518" spans="1:13" hidden="1">
      <c r="A2518" t="s">
        <v>3642</v>
      </c>
      <c r="B2518" t="s">
        <v>195</v>
      </c>
      <c r="C2518" s="1">
        <v>45192</v>
      </c>
      <c r="D2518" s="2">
        <v>283079113</v>
      </c>
      <c r="E2518" s="2">
        <v>15570</v>
      </c>
      <c r="F2518">
        <v>82</v>
      </c>
      <c r="G2518" s="2">
        <v>41149970</v>
      </c>
      <c r="H2518" s="2">
        <v>328843</v>
      </c>
      <c r="I2518" s="2">
        <v>60287119</v>
      </c>
      <c r="J2518">
        <v>7</v>
      </c>
      <c r="L2518">
        <v>0</v>
      </c>
      <c r="M2518" t="str">
        <f t="shared" si="39"/>
        <v>After 2020</v>
      </c>
    </row>
    <row r="2519" spans="1:13" hidden="1">
      <c r="A2519" t="s">
        <v>3643</v>
      </c>
      <c r="B2519" t="s">
        <v>61</v>
      </c>
      <c r="C2519" s="1">
        <v>45400</v>
      </c>
      <c r="D2519" s="2">
        <v>106201248</v>
      </c>
      <c r="E2519" s="2">
        <v>2992</v>
      </c>
      <c r="G2519" s="2">
        <v>5521347</v>
      </c>
      <c r="H2519" s="2">
        <v>70034</v>
      </c>
      <c r="J2519">
        <v>19</v>
      </c>
      <c r="L2519">
        <v>0</v>
      </c>
      <c r="M2519" t="str">
        <f t="shared" si="39"/>
        <v>After 2020</v>
      </c>
    </row>
    <row r="2520" spans="1:13" hidden="1">
      <c r="A2520" t="s">
        <v>3644</v>
      </c>
      <c r="B2520" t="s">
        <v>1210</v>
      </c>
      <c r="C2520" s="1">
        <v>45331</v>
      </c>
      <c r="D2520" s="2">
        <v>12270831</v>
      </c>
      <c r="E2520" s="2">
        <v>1736</v>
      </c>
      <c r="G2520" s="2">
        <v>22668627</v>
      </c>
      <c r="H2520" s="2">
        <v>309518</v>
      </c>
      <c r="I2520" s="2">
        <v>3400000</v>
      </c>
      <c r="J2520">
        <v>18</v>
      </c>
      <c r="K2520">
        <v>112</v>
      </c>
      <c r="L2520">
        <v>1</v>
      </c>
      <c r="M2520" t="str">
        <f t="shared" si="39"/>
        <v>After 2020</v>
      </c>
    </row>
    <row r="2521" spans="1:13">
      <c r="A2521" t="s">
        <v>3645</v>
      </c>
      <c r="B2521" t="s">
        <v>772</v>
      </c>
      <c r="C2521" s="1">
        <v>44988</v>
      </c>
      <c r="D2521" s="2">
        <v>148574146</v>
      </c>
      <c r="E2521" s="2">
        <v>25770</v>
      </c>
      <c r="F2521">
        <v>59</v>
      </c>
      <c r="G2521" s="2">
        <v>39166702</v>
      </c>
      <c r="H2521" s="2">
        <v>619142</v>
      </c>
      <c r="I2521" s="2">
        <v>21611489</v>
      </c>
      <c r="J2521">
        <v>39</v>
      </c>
      <c r="K2521">
        <v>156</v>
      </c>
      <c r="L2521">
        <v>1</v>
      </c>
      <c r="M2521" t="str">
        <f t="shared" si="39"/>
        <v>After 2020</v>
      </c>
    </row>
    <row r="2522" spans="1:13" hidden="1">
      <c r="A2522" t="s">
        <v>3646</v>
      </c>
      <c r="B2522" t="s">
        <v>3647</v>
      </c>
      <c r="C2522" s="1">
        <v>42860</v>
      </c>
      <c r="D2522" s="2">
        <v>955563174</v>
      </c>
      <c r="E2522" s="2">
        <v>89780</v>
      </c>
      <c r="F2522">
        <v>67</v>
      </c>
      <c r="G2522" s="2">
        <v>929090173</v>
      </c>
      <c r="H2522" s="2">
        <v>5061750</v>
      </c>
      <c r="I2522" s="2">
        <v>85857976</v>
      </c>
      <c r="J2522">
        <v>103</v>
      </c>
      <c r="L2522">
        <v>0</v>
      </c>
      <c r="M2522" t="str">
        <f t="shared" si="39"/>
        <v>2010-2020</v>
      </c>
    </row>
    <row r="2523" spans="1:13" hidden="1">
      <c r="A2523" t="s">
        <v>3648</v>
      </c>
      <c r="B2523" t="s">
        <v>3649</v>
      </c>
      <c r="C2523" s="1">
        <v>44901</v>
      </c>
      <c r="D2523" s="2">
        <v>172602494</v>
      </c>
      <c r="E2523" s="2">
        <v>38926</v>
      </c>
      <c r="F2523">
        <v>63</v>
      </c>
      <c r="G2523" s="2">
        <v>122947771</v>
      </c>
      <c r="H2523" s="2">
        <v>1241098</v>
      </c>
      <c r="I2523" s="2">
        <v>1722398168</v>
      </c>
      <c r="L2523">
        <v>1</v>
      </c>
      <c r="M2523" t="str">
        <f t="shared" si="39"/>
        <v>After 2020</v>
      </c>
    </row>
    <row r="2524" spans="1:13" hidden="1">
      <c r="A2524" t="s">
        <v>3650</v>
      </c>
      <c r="B2524" t="s">
        <v>3651</v>
      </c>
      <c r="C2524" s="1">
        <v>43294</v>
      </c>
      <c r="D2524" s="2">
        <v>687861392</v>
      </c>
      <c r="E2524" s="2">
        <v>156992</v>
      </c>
      <c r="F2524">
        <v>70</v>
      </c>
      <c r="G2524" s="2">
        <v>497604866</v>
      </c>
      <c r="H2524" s="2">
        <v>3052127</v>
      </c>
      <c r="I2524" s="2">
        <v>193776994</v>
      </c>
      <c r="L2524">
        <v>1</v>
      </c>
      <c r="M2524" t="str">
        <f t="shared" si="39"/>
        <v>2010-2020</v>
      </c>
    </row>
    <row r="2525" spans="1:13">
      <c r="A2525" t="s">
        <v>3652</v>
      </c>
      <c r="B2525" t="s">
        <v>127</v>
      </c>
      <c r="C2525" s="1">
        <v>44232</v>
      </c>
      <c r="D2525" s="2">
        <v>451878749</v>
      </c>
      <c r="E2525" s="2">
        <v>78793</v>
      </c>
      <c r="F2525">
        <v>70</v>
      </c>
      <c r="G2525" s="2">
        <v>221123432</v>
      </c>
      <c r="H2525" s="2">
        <v>2660730</v>
      </c>
      <c r="I2525" s="2">
        <v>233301151</v>
      </c>
      <c r="J2525">
        <v>41</v>
      </c>
      <c r="K2525">
        <v>709</v>
      </c>
      <c r="L2525">
        <v>0</v>
      </c>
      <c r="M2525" t="str">
        <f t="shared" si="39"/>
        <v>After 2020</v>
      </c>
    </row>
    <row r="2526" spans="1:13" hidden="1">
      <c r="A2526" t="s">
        <v>1145</v>
      </c>
      <c r="B2526" t="s">
        <v>61</v>
      </c>
      <c r="C2526" s="1">
        <v>44855</v>
      </c>
      <c r="D2526" s="2">
        <v>777305444</v>
      </c>
      <c r="E2526" s="2">
        <v>2358</v>
      </c>
      <c r="F2526">
        <v>47</v>
      </c>
      <c r="G2526" s="2">
        <v>83446</v>
      </c>
      <c r="H2526" s="2">
        <v>3275</v>
      </c>
      <c r="J2526">
        <v>17</v>
      </c>
      <c r="L2526">
        <v>0</v>
      </c>
      <c r="M2526" t="str">
        <f t="shared" si="39"/>
        <v>After 2020</v>
      </c>
    </row>
    <row r="2527" spans="1:13">
      <c r="A2527" t="s">
        <v>3653</v>
      </c>
      <c r="B2527" t="s">
        <v>3654</v>
      </c>
      <c r="C2527" s="1">
        <v>44848</v>
      </c>
      <c r="D2527" s="2">
        <v>350348521</v>
      </c>
      <c r="E2527" s="2">
        <v>48286</v>
      </c>
      <c r="F2527">
        <v>75</v>
      </c>
      <c r="G2527" s="2">
        <v>63111604</v>
      </c>
      <c r="H2527" s="2">
        <v>494666</v>
      </c>
      <c r="I2527" s="2">
        <v>793536731</v>
      </c>
      <c r="J2527">
        <v>32</v>
      </c>
      <c r="K2527">
        <v>5</v>
      </c>
      <c r="L2527">
        <v>0</v>
      </c>
      <c r="M2527" t="str">
        <f t="shared" si="39"/>
        <v>After 2020</v>
      </c>
    </row>
    <row r="2528" spans="1:13">
      <c r="A2528" t="s">
        <v>3655</v>
      </c>
      <c r="B2528" t="s">
        <v>1030</v>
      </c>
      <c r="C2528" s="1">
        <v>44253</v>
      </c>
      <c r="D2528" s="2">
        <v>480737112</v>
      </c>
      <c r="E2528" s="2">
        <v>91401</v>
      </c>
      <c r="F2528">
        <v>66</v>
      </c>
      <c r="G2528" s="2">
        <v>55185277</v>
      </c>
      <c r="H2528" s="2">
        <v>280740</v>
      </c>
      <c r="I2528" s="2">
        <v>149754997</v>
      </c>
      <c r="J2528">
        <v>185</v>
      </c>
      <c r="K2528">
        <v>60</v>
      </c>
      <c r="L2528">
        <v>0</v>
      </c>
      <c r="M2528" t="str">
        <f t="shared" si="39"/>
        <v>After 2020</v>
      </c>
    </row>
    <row r="2529" spans="1:13" hidden="1">
      <c r="A2529">
        <v>23</v>
      </c>
      <c r="B2529" t="s">
        <v>3656</v>
      </c>
      <c r="C2529" s="1">
        <v>44330</v>
      </c>
      <c r="D2529" s="2">
        <v>217524988</v>
      </c>
      <c r="E2529" s="2">
        <v>52661</v>
      </c>
      <c r="F2529">
        <v>69</v>
      </c>
      <c r="G2529" s="2">
        <v>84504714</v>
      </c>
      <c r="H2529" s="2">
        <v>547950</v>
      </c>
      <c r="I2529" s="2">
        <v>21694150</v>
      </c>
      <c r="J2529">
        <v>23</v>
      </c>
      <c r="L2529">
        <v>0</v>
      </c>
      <c r="M2529" t="str">
        <f t="shared" si="39"/>
        <v>After 2020</v>
      </c>
    </row>
    <row r="2530" spans="1:13" hidden="1">
      <c r="A2530" t="s">
        <v>473</v>
      </c>
      <c r="B2530" t="s">
        <v>61</v>
      </c>
      <c r="C2530" s="1">
        <v>45400</v>
      </c>
      <c r="D2530" s="2">
        <v>250430303</v>
      </c>
      <c r="E2530">
        <v>648</v>
      </c>
      <c r="J2530">
        <v>55</v>
      </c>
      <c r="L2530">
        <v>0</v>
      </c>
      <c r="M2530" t="str">
        <f t="shared" si="39"/>
        <v>After 2020</v>
      </c>
    </row>
    <row r="2531" spans="1:13" hidden="1">
      <c r="A2531" t="s">
        <v>3657</v>
      </c>
      <c r="B2531" t="s">
        <v>3658</v>
      </c>
      <c r="C2531" s="1">
        <v>42847</v>
      </c>
      <c r="G2531" s="2">
        <v>1820176345</v>
      </c>
      <c r="H2531" s="2">
        <v>4950177</v>
      </c>
      <c r="L2531">
        <v>0</v>
      </c>
      <c r="M2531" t="str">
        <f t="shared" si="39"/>
        <v>2010-2020</v>
      </c>
    </row>
    <row r="2532" spans="1:13">
      <c r="A2532" t="s">
        <v>3659</v>
      </c>
      <c r="B2532" t="s">
        <v>3660</v>
      </c>
      <c r="C2532" s="1">
        <v>44309</v>
      </c>
      <c r="D2532" s="2">
        <v>453644642</v>
      </c>
      <c r="E2532" s="2">
        <v>78241</v>
      </c>
      <c r="F2532">
        <v>67</v>
      </c>
      <c r="G2532" s="2">
        <v>68753113</v>
      </c>
      <c r="H2532" s="2">
        <v>442500</v>
      </c>
      <c r="I2532" s="2">
        <v>86516663</v>
      </c>
      <c r="J2532">
        <v>135</v>
      </c>
      <c r="K2532">
        <v>583</v>
      </c>
      <c r="L2532">
        <v>0</v>
      </c>
      <c r="M2532" t="str">
        <f t="shared" si="39"/>
        <v>After 2020</v>
      </c>
    </row>
    <row r="2533" spans="1:13" hidden="1">
      <c r="A2533" t="s">
        <v>3661</v>
      </c>
      <c r="B2533" t="s">
        <v>3662</v>
      </c>
      <c r="C2533" s="1">
        <v>44316</v>
      </c>
      <c r="D2533" s="2">
        <v>418998816</v>
      </c>
      <c r="E2533" s="2">
        <v>42598</v>
      </c>
      <c r="F2533">
        <v>69</v>
      </c>
      <c r="G2533" s="2">
        <v>349432726</v>
      </c>
      <c r="H2533" s="2">
        <v>3317953</v>
      </c>
      <c r="I2533" s="2">
        <v>1962424177</v>
      </c>
      <c r="J2533">
        <v>40</v>
      </c>
      <c r="L2533">
        <v>0</v>
      </c>
      <c r="M2533" t="str">
        <f t="shared" si="39"/>
        <v>After 2020</v>
      </c>
    </row>
    <row r="2534" spans="1:13" hidden="1">
      <c r="A2534" t="s">
        <v>3663</v>
      </c>
      <c r="B2534" t="s">
        <v>3664</v>
      </c>
      <c r="C2534" s="1">
        <v>45079</v>
      </c>
      <c r="D2534" s="2">
        <v>64747926</v>
      </c>
      <c r="E2534" s="2">
        <v>19758</v>
      </c>
      <c r="F2534">
        <v>63</v>
      </c>
      <c r="G2534" s="2">
        <v>30831455</v>
      </c>
      <c r="H2534" s="2">
        <v>515719</v>
      </c>
      <c r="I2534" s="2">
        <v>304170641</v>
      </c>
      <c r="J2534">
        <v>4</v>
      </c>
      <c r="L2534">
        <v>0</v>
      </c>
      <c r="M2534" t="str">
        <f t="shared" si="39"/>
        <v>After 2020</v>
      </c>
    </row>
    <row r="2535" spans="1:13" hidden="1">
      <c r="A2535" t="s">
        <v>3665</v>
      </c>
      <c r="B2535" t="s">
        <v>216</v>
      </c>
      <c r="C2535" s="1">
        <v>45443</v>
      </c>
      <c r="D2535" s="2">
        <v>4462637</v>
      </c>
      <c r="E2535">
        <v>789</v>
      </c>
      <c r="F2535">
        <v>66</v>
      </c>
      <c r="G2535" s="2">
        <v>2244519</v>
      </c>
      <c r="H2535" s="2">
        <v>116431</v>
      </c>
      <c r="J2535">
        <v>27</v>
      </c>
      <c r="K2535">
        <v>20</v>
      </c>
      <c r="L2535">
        <v>1</v>
      </c>
      <c r="M2535" t="str">
        <f t="shared" si="39"/>
        <v>After 2020</v>
      </c>
    </row>
    <row r="2536" spans="1:13" hidden="1">
      <c r="A2536" t="s">
        <v>3666</v>
      </c>
      <c r="B2536" t="s">
        <v>3667</v>
      </c>
      <c r="C2536" s="1">
        <v>44840</v>
      </c>
      <c r="D2536" s="2">
        <v>7332</v>
      </c>
      <c r="E2536">
        <v>45</v>
      </c>
      <c r="F2536">
        <v>2</v>
      </c>
      <c r="G2536" s="2">
        <v>416430705</v>
      </c>
      <c r="H2536" s="2">
        <v>7483560</v>
      </c>
      <c r="L2536">
        <v>0</v>
      </c>
      <c r="M2536" t="str">
        <f t="shared" si="39"/>
        <v>After 2020</v>
      </c>
    </row>
    <row r="2537" spans="1:13">
      <c r="A2537" t="s">
        <v>3668</v>
      </c>
      <c r="B2537" t="s">
        <v>3669</v>
      </c>
      <c r="C2537" s="1">
        <v>45400</v>
      </c>
      <c r="D2537" s="2">
        <v>16327372</v>
      </c>
      <c r="E2537">
        <v>987</v>
      </c>
      <c r="F2537">
        <v>69</v>
      </c>
      <c r="G2537" s="2">
        <v>29637408</v>
      </c>
      <c r="H2537" s="2">
        <v>364827</v>
      </c>
      <c r="I2537" s="2">
        <v>64226700</v>
      </c>
      <c r="J2537">
        <v>21</v>
      </c>
      <c r="K2537">
        <v>30</v>
      </c>
      <c r="L2537">
        <v>0</v>
      </c>
      <c r="M2537" t="str">
        <f t="shared" si="39"/>
        <v>After 2020</v>
      </c>
    </row>
    <row r="2538" spans="1:13" hidden="1">
      <c r="A2538" t="s">
        <v>3670</v>
      </c>
      <c r="B2538" t="s">
        <v>3208</v>
      </c>
      <c r="C2538" s="1">
        <v>44764</v>
      </c>
      <c r="D2538" s="2">
        <v>391773238</v>
      </c>
      <c r="E2538" s="2">
        <v>34952</v>
      </c>
      <c r="F2538">
        <v>69</v>
      </c>
      <c r="G2538" s="2">
        <v>133887895</v>
      </c>
      <c r="H2538" s="2">
        <v>711785</v>
      </c>
      <c r="I2538" s="2">
        <v>1102477168</v>
      </c>
      <c r="J2538">
        <v>7</v>
      </c>
      <c r="L2538">
        <v>1</v>
      </c>
      <c r="M2538" t="str">
        <f t="shared" si="39"/>
        <v>After 2020</v>
      </c>
    </row>
    <row r="2539" spans="1:13">
      <c r="A2539" t="s">
        <v>3671</v>
      </c>
      <c r="B2539" t="s">
        <v>3672</v>
      </c>
      <c r="C2539" s="1">
        <v>44309</v>
      </c>
      <c r="D2539" s="2">
        <v>138100044</v>
      </c>
      <c r="E2539" s="2">
        <v>64635</v>
      </c>
      <c r="F2539">
        <v>56</v>
      </c>
      <c r="G2539" s="2">
        <v>168383616</v>
      </c>
      <c r="H2539" s="2">
        <v>1456308</v>
      </c>
      <c r="I2539" s="2">
        <v>94781829</v>
      </c>
      <c r="J2539">
        <v>59</v>
      </c>
      <c r="K2539">
        <v>187</v>
      </c>
      <c r="L2539">
        <v>1</v>
      </c>
      <c r="M2539" t="str">
        <f t="shared" si="39"/>
        <v>After 2020</v>
      </c>
    </row>
    <row r="2540" spans="1:13" hidden="1">
      <c r="A2540" t="s">
        <v>3673</v>
      </c>
      <c r="B2540" t="s">
        <v>1880</v>
      </c>
      <c r="C2540" s="1">
        <v>45399</v>
      </c>
      <c r="D2540" s="2">
        <v>24345826</v>
      </c>
      <c r="E2540" s="2">
        <v>1758</v>
      </c>
      <c r="F2540">
        <v>72</v>
      </c>
      <c r="G2540" s="2">
        <v>22781812</v>
      </c>
      <c r="H2540" s="2">
        <v>162339</v>
      </c>
      <c r="J2540">
        <v>21</v>
      </c>
      <c r="L2540">
        <v>1</v>
      </c>
      <c r="M2540" t="str">
        <f t="shared" si="39"/>
        <v>After 2020</v>
      </c>
    </row>
    <row r="2541" spans="1:13">
      <c r="A2541" t="s">
        <v>3674</v>
      </c>
      <c r="B2541" t="s">
        <v>3675</v>
      </c>
      <c r="C2541" s="1">
        <v>44638</v>
      </c>
      <c r="D2541" s="2">
        <v>332175085</v>
      </c>
      <c r="E2541" s="2">
        <v>63085</v>
      </c>
      <c r="F2541">
        <v>66</v>
      </c>
      <c r="G2541" s="2">
        <v>119541325</v>
      </c>
      <c r="H2541" s="2">
        <v>763188</v>
      </c>
      <c r="I2541" s="2">
        <v>866018385</v>
      </c>
      <c r="J2541">
        <v>37</v>
      </c>
      <c r="K2541">
        <v>108</v>
      </c>
      <c r="L2541">
        <v>1</v>
      </c>
      <c r="M2541" t="str">
        <f t="shared" si="39"/>
        <v>After 2020</v>
      </c>
    </row>
    <row r="2542" spans="1:13">
      <c r="A2542" t="s">
        <v>3676</v>
      </c>
      <c r="B2542" t="s">
        <v>266</v>
      </c>
      <c r="C2542" s="1">
        <v>44337</v>
      </c>
      <c r="D2542" s="2">
        <v>639900946</v>
      </c>
      <c r="E2542" s="2">
        <v>87550</v>
      </c>
      <c r="F2542">
        <v>73</v>
      </c>
      <c r="G2542" s="2">
        <v>147309966</v>
      </c>
      <c r="H2542" s="2">
        <v>3536634</v>
      </c>
      <c r="I2542" s="2">
        <v>774173668</v>
      </c>
      <c r="J2542">
        <v>41</v>
      </c>
      <c r="K2542">
        <v>85</v>
      </c>
      <c r="L2542">
        <v>1</v>
      </c>
      <c r="M2542" t="str">
        <f t="shared" si="39"/>
        <v>After 2020</v>
      </c>
    </row>
    <row r="2543" spans="1:13">
      <c r="A2543" t="s">
        <v>3677</v>
      </c>
      <c r="B2543" t="s">
        <v>3678</v>
      </c>
      <c r="C2543" s="1">
        <v>41849</v>
      </c>
      <c r="D2543" s="2">
        <v>275465440</v>
      </c>
      <c r="E2543" s="2">
        <v>58725</v>
      </c>
      <c r="F2543">
        <v>65</v>
      </c>
      <c r="G2543" s="2">
        <v>290207058</v>
      </c>
      <c r="H2543" s="2">
        <v>1533113</v>
      </c>
      <c r="I2543" s="2">
        <v>53454696</v>
      </c>
      <c r="J2543">
        <v>30</v>
      </c>
      <c r="K2543">
        <v>8</v>
      </c>
      <c r="L2543">
        <v>1</v>
      </c>
      <c r="M2543" t="str">
        <f t="shared" si="39"/>
        <v>2010-2020</v>
      </c>
    </row>
    <row r="2544" spans="1:13" hidden="1">
      <c r="A2544" t="s">
        <v>107</v>
      </c>
      <c r="B2544" t="s">
        <v>295</v>
      </c>
      <c r="C2544" s="1">
        <v>45205</v>
      </c>
      <c r="D2544" s="2">
        <v>78417212</v>
      </c>
      <c r="E2544" s="2">
        <v>26088</v>
      </c>
      <c r="G2544" s="2">
        <v>4514270</v>
      </c>
      <c r="H2544" s="2">
        <v>53581</v>
      </c>
      <c r="I2544" s="2">
        <v>38589807</v>
      </c>
      <c r="J2544">
        <v>7</v>
      </c>
      <c r="K2544">
        <v>43</v>
      </c>
      <c r="L2544">
        <v>1</v>
      </c>
      <c r="M2544" t="str">
        <f t="shared" si="39"/>
        <v>After 2020</v>
      </c>
    </row>
    <row r="2545" spans="1:13" hidden="1">
      <c r="A2545" t="s">
        <v>3679</v>
      </c>
      <c r="B2545" t="s">
        <v>2067</v>
      </c>
      <c r="C2545" s="1">
        <v>43959</v>
      </c>
      <c r="D2545" s="2">
        <v>359757970</v>
      </c>
      <c r="E2545" s="2">
        <v>73161</v>
      </c>
      <c r="F2545">
        <v>62</v>
      </c>
      <c r="G2545" s="2">
        <v>216865947</v>
      </c>
      <c r="H2545" s="2">
        <v>1581781</v>
      </c>
      <c r="I2545" s="2">
        <v>658030330</v>
      </c>
      <c r="J2545">
        <v>149</v>
      </c>
      <c r="L2545">
        <v>0</v>
      </c>
      <c r="M2545" t="str">
        <f t="shared" si="39"/>
        <v>2010-2020</v>
      </c>
    </row>
    <row r="2546" spans="1:13" hidden="1">
      <c r="A2546" t="s">
        <v>549</v>
      </c>
      <c r="B2546" t="s">
        <v>295</v>
      </c>
      <c r="C2546" s="1">
        <v>44868</v>
      </c>
      <c r="D2546" s="2">
        <v>811888874</v>
      </c>
      <c r="E2546" s="2">
        <v>5471</v>
      </c>
      <c r="F2546">
        <v>46</v>
      </c>
      <c r="G2546" s="2">
        <v>34057109</v>
      </c>
      <c r="H2546" s="2">
        <v>415396</v>
      </c>
      <c r="J2546">
        <v>23</v>
      </c>
      <c r="L2546">
        <v>0</v>
      </c>
      <c r="M2546" t="str">
        <f t="shared" si="39"/>
        <v>After 2020</v>
      </c>
    </row>
    <row r="2547" spans="1:13">
      <c r="A2547" t="s">
        <v>3680</v>
      </c>
      <c r="B2547" t="s">
        <v>1641</v>
      </c>
      <c r="C2547" s="1">
        <v>44652</v>
      </c>
      <c r="D2547" s="2">
        <v>359336745</v>
      </c>
      <c r="E2547" s="2">
        <v>67125</v>
      </c>
      <c r="F2547">
        <v>70</v>
      </c>
      <c r="G2547" s="2">
        <v>143505182</v>
      </c>
      <c r="H2547" s="2">
        <v>823971</v>
      </c>
      <c r="I2547" s="2">
        <v>82205989</v>
      </c>
      <c r="J2547">
        <v>38</v>
      </c>
      <c r="K2547">
        <v>170</v>
      </c>
      <c r="L2547">
        <v>0</v>
      </c>
      <c r="M2547" t="str">
        <f t="shared" si="39"/>
        <v>After 2020</v>
      </c>
    </row>
    <row r="2548" spans="1:13" hidden="1">
      <c r="A2548" t="s">
        <v>3681</v>
      </c>
      <c r="B2548" t="s">
        <v>3682</v>
      </c>
      <c r="C2548" s="1">
        <v>45162</v>
      </c>
      <c r="D2548" s="2">
        <v>188309858</v>
      </c>
      <c r="E2548" s="2">
        <v>15111</v>
      </c>
      <c r="F2548">
        <v>71</v>
      </c>
      <c r="G2548" s="2">
        <v>87069499</v>
      </c>
      <c r="H2548" s="2">
        <v>318350</v>
      </c>
      <c r="I2548" s="2">
        <v>18855</v>
      </c>
      <c r="J2548">
        <v>6</v>
      </c>
      <c r="L2548">
        <v>0</v>
      </c>
      <c r="M2548" t="str">
        <f t="shared" si="39"/>
        <v>After 2020</v>
      </c>
    </row>
    <row r="2549" spans="1:13">
      <c r="A2549" t="s">
        <v>3683</v>
      </c>
      <c r="B2549" t="s">
        <v>1890</v>
      </c>
      <c r="C2549" s="1">
        <v>44750</v>
      </c>
      <c r="D2549" s="2">
        <v>247386146</v>
      </c>
      <c r="E2549" s="2">
        <v>57298</v>
      </c>
      <c r="F2549">
        <v>70</v>
      </c>
      <c r="G2549" s="2">
        <v>48937559</v>
      </c>
      <c r="H2549" s="2">
        <v>461922</v>
      </c>
      <c r="I2549" s="2">
        <v>119045728</v>
      </c>
      <c r="J2549">
        <v>21</v>
      </c>
      <c r="K2549">
        <v>553</v>
      </c>
      <c r="L2549">
        <v>1</v>
      </c>
      <c r="M2549" t="str">
        <f t="shared" si="39"/>
        <v>After 2020</v>
      </c>
    </row>
    <row r="2550" spans="1:13" hidden="1">
      <c r="A2550" t="s">
        <v>3684</v>
      </c>
      <c r="B2550" t="s">
        <v>141</v>
      </c>
      <c r="C2550" s="1">
        <v>45212</v>
      </c>
      <c r="D2550" s="2">
        <v>101706440</v>
      </c>
      <c r="E2550" s="2">
        <v>22195</v>
      </c>
      <c r="G2550" s="2">
        <v>37327301</v>
      </c>
      <c r="H2550" s="2">
        <v>496072</v>
      </c>
      <c r="I2550" s="2">
        <v>11568535</v>
      </c>
      <c r="J2550">
        <v>12</v>
      </c>
      <c r="L2550">
        <v>1</v>
      </c>
      <c r="M2550" t="str">
        <f t="shared" si="39"/>
        <v>After 2020</v>
      </c>
    </row>
    <row r="2551" spans="1:13" hidden="1">
      <c r="A2551" t="s">
        <v>3685</v>
      </c>
      <c r="B2551" t="s">
        <v>1882</v>
      </c>
      <c r="C2551" s="1">
        <v>43588</v>
      </c>
      <c r="D2551" s="2">
        <v>10423140</v>
      </c>
      <c r="E2551" s="2">
        <v>1820</v>
      </c>
      <c r="F2551">
        <v>49</v>
      </c>
      <c r="G2551" s="2">
        <v>1126576126</v>
      </c>
      <c r="H2551" s="2">
        <v>2223950</v>
      </c>
      <c r="I2551" s="2">
        <v>3059373</v>
      </c>
      <c r="L2551">
        <v>0</v>
      </c>
      <c r="M2551" t="str">
        <f t="shared" si="39"/>
        <v>2010-2020</v>
      </c>
    </row>
    <row r="2552" spans="1:13" hidden="1">
      <c r="A2552" t="s">
        <v>3686</v>
      </c>
      <c r="B2552" t="s">
        <v>1427</v>
      </c>
      <c r="C2552" s="1">
        <v>45191</v>
      </c>
      <c r="D2552" s="2">
        <v>8607782</v>
      </c>
      <c r="E2552">
        <v>231</v>
      </c>
      <c r="G2552" s="2">
        <v>171883395</v>
      </c>
      <c r="H2552" s="2">
        <v>997466</v>
      </c>
      <c r="I2552" s="2">
        <v>36029</v>
      </c>
      <c r="L2552">
        <v>0</v>
      </c>
      <c r="M2552" t="str">
        <f t="shared" si="39"/>
        <v>After 2020</v>
      </c>
    </row>
    <row r="2553" spans="1:13" hidden="1">
      <c r="A2553" t="s">
        <v>3687</v>
      </c>
      <c r="B2553" t="s">
        <v>3111</v>
      </c>
      <c r="C2553" s="1">
        <v>45324</v>
      </c>
      <c r="D2553" s="2">
        <v>39891157</v>
      </c>
      <c r="E2553" s="2">
        <v>2503</v>
      </c>
      <c r="G2553" s="2">
        <v>68785789</v>
      </c>
      <c r="H2553" s="2">
        <v>2273476</v>
      </c>
      <c r="J2553">
        <v>6</v>
      </c>
      <c r="L2553">
        <v>1</v>
      </c>
      <c r="M2553" t="str">
        <f t="shared" si="39"/>
        <v>After 2020</v>
      </c>
    </row>
    <row r="2554" spans="1:13">
      <c r="A2554" t="s">
        <v>3688</v>
      </c>
      <c r="B2554" t="s">
        <v>2541</v>
      </c>
      <c r="C2554" s="1">
        <v>44314</v>
      </c>
      <c r="D2554" s="2">
        <v>304069347</v>
      </c>
      <c r="E2554" s="2">
        <v>89224</v>
      </c>
      <c r="F2554">
        <v>63</v>
      </c>
      <c r="G2554" s="2">
        <v>87407927</v>
      </c>
      <c r="H2554" s="2">
        <v>580798</v>
      </c>
      <c r="I2554" s="2">
        <v>94926621</v>
      </c>
      <c r="J2554">
        <v>89</v>
      </c>
      <c r="K2554">
        <v>24</v>
      </c>
      <c r="L2554">
        <v>0</v>
      </c>
      <c r="M2554" t="str">
        <f t="shared" si="39"/>
        <v>After 2020</v>
      </c>
    </row>
    <row r="2555" spans="1:13">
      <c r="A2555" t="s">
        <v>3689</v>
      </c>
      <c r="B2555" t="s">
        <v>2878</v>
      </c>
      <c r="C2555" s="1">
        <v>44491</v>
      </c>
      <c r="D2555" s="2">
        <v>275492185</v>
      </c>
      <c r="E2555" s="2">
        <v>47297</v>
      </c>
      <c r="F2555">
        <v>68</v>
      </c>
      <c r="G2555" s="2">
        <v>104950820</v>
      </c>
      <c r="H2555" s="2">
        <v>697838</v>
      </c>
      <c r="I2555" s="2">
        <v>2603158294</v>
      </c>
      <c r="J2555">
        <v>35</v>
      </c>
      <c r="K2555">
        <v>2</v>
      </c>
      <c r="L2555">
        <v>0</v>
      </c>
      <c r="M2555" t="str">
        <f t="shared" si="39"/>
        <v>After 2020</v>
      </c>
    </row>
    <row r="2556" spans="1:13" hidden="1">
      <c r="A2556" t="s">
        <v>3690</v>
      </c>
      <c r="B2556" t="s">
        <v>155</v>
      </c>
      <c r="C2556" s="1">
        <v>45394</v>
      </c>
      <c r="D2556" s="2">
        <v>160127218</v>
      </c>
      <c r="E2556">
        <v>5</v>
      </c>
      <c r="L2556">
        <v>0</v>
      </c>
      <c r="M2556" t="str">
        <f t="shared" si="39"/>
        <v>After 2020</v>
      </c>
    </row>
    <row r="2557" spans="1:13">
      <c r="A2557" t="s">
        <v>3691</v>
      </c>
      <c r="B2557" t="s">
        <v>966</v>
      </c>
      <c r="C2557" s="1">
        <v>45040</v>
      </c>
      <c r="D2557" s="2">
        <v>58652026</v>
      </c>
      <c r="E2557" s="2">
        <v>19596</v>
      </c>
      <c r="F2557">
        <v>54</v>
      </c>
      <c r="G2557" s="2">
        <v>74399520</v>
      </c>
      <c r="H2557" s="2">
        <v>458583</v>
      </c>
      <c r="I2557" s="2">
        <v>344636407</v>
      </c>
      <c r="J2557">
        <v>14</v>
      </c>
      <c r="K2557">
        <v>6</v>
      </c>
      <c r="L2557">
        <v>1</v>
      </c>
      <c r="M2557" t="str">
        <f t="shared" si="39"/>
        <v>After 2020</v>
      </c>
    </row>
    <row r="2558" spans="1:13" hidden="1">
      <c r="A2558" t="s">
        <v>3692</v>
      </c>
      <c r="B2558" t="s">
        <v>2063</v>
      </c>
      <c r="C2558" s="1">
        <v>43130</v>
      </c>
      <c r="D2558" s="2">
        <v>614897887</v>
      </c>
      <c r="E2558" s="2">
        <v>19568</v>
      </c>
      <c r="G2558" s="2">
        <v>1332773890</v>
      </c>
      <c r="H2558" s="2">
        <v>6926941</v>
      </c>
      <c r="L2558">
        <v>0</v>
      </c>
      <c r="M2558" t="str">
        <f t="shared" si="39"/>
        <v>2010-2020</v>
      </c>
    </row>
    <row r="2559" spans="1:13" hidden="1">
      <c r="A2559" t="s">
        <v>3693</v>
      </c>
      <c r="B2559" t="s">
        <v>3088</v>
      </c>
      <c r="C2559" s="1">
        <v>45450</v>
      </c>
      <c r="D2559" s="2">
        <v>6446985</v>
      </c>
      <c r="E2559">
        <v>830</v>
      </c>
      <c r="G2559" s="2">
        <v>201264</v>
      </c>
      <c r="H2559" s="2">
        <v>3929</v>
      </c>
      <c r="I2559" s="2">
        <v>78500</v>
      </c>
      <c r="J2559">
        <v>52</v>
      </c>
      <c r="L2559">
        <v>0</v>
      </c>
      <c r="M2559" t="str">
        <f t="shared" si="39"/>
        <v>After 2020</v>
      </c>
    </row>
    <row r="2560" spans="1:13">
      <c r="A2560" t="s">
        <v>3694</v>
      </c>
      <c r="B2560" t="s">
        <v>3695</v>
      </c>
      <c r="C2560" s="1">
        <v>44021</v>
      </c>
      <c r="D2560" s="2">
        <v>509353753</v>
      </c>
      <c r="E2560" s="2">
        <v>87580</v>
      </c>
      <c r="F2560">
        <v>63</v>
      </c>
      <c r="G2560" s="2">
        <v>231541575</v>
      </c>
      <c r="H2560" s="2">
        <v>3846027</v>
      </c>
      <c r="I2560" s="2">
        <v>842856226</v>
      </c>
      <c r="J2560">
        <v>45</v>
      </c>
      <c r="K2560">
        <v>112</v>
      </c>
      <c r="L2560">
        <v>1</v>
      </c>
      <c r="M2560" t="str">
        <f t="shared" si="39"/>
        <v>2010-2020</v>
      </c>
    </row>
    <row r="2561" spans="1:13">
      <c r="A2561" t="s">
        <v>3696</v>
      </c>
      <c r="B2561" t="s">
        <v>3697</v>
      </c>
      <c r="C2561" s="1">
        <v>45145</v>
      </c>
      <c r="D2561" s="2">
        <v>88499180</v>
      </c>
      <c r="E2561" s="2">
        <v>9715</v>
      </c>
      <c r="F2561">
        <v>59</v>
      </c>
      <c r="G2561" s="2">
        <v>134376601</v>
      </c>
      <c r="H2561" s="2">
        <v>256505</v>
      </c>
      <c r="I2561" s="2">
        <v>291191318</v>
      </c>
      <c r="J2561">
        <v>16</v>
      </c>
      <c r="K2561">
        <v>33</v>
      </c>
      <c r="L2561">
        <v>0</v>
      </c>
      <c r="M2561" t="str">
        <f t="shared" si="39"/>
        <v>After 2020</v>
      </c>
    </row>
    <row r="2562" spans="1:13" hidden="1">
      <c r="A2562" t="s">
        <v>3698</v>
      </c>
      <c r="B2562" t="s">
        <v>53</v>
      </c>
      <c r="C2562" s="1">
        <v>45373</v>
      </c>
      <c r="D2562" s="2">
        <v>38912003</v>
      </c>
      <c r="E2562" s="2">
        <v>9619</v>
      </c>
      <c r="G2562" s="2">
        <v>3915932</v>
      </c>
      <c r="H2562" s="2">
        <v>59814</v>
      </c>
      <c r="J2562">
        <v>4</v>
      </c>
      <c r="L2562">
        <v>1</v>
      </c>
      <c r="M2562" t="str">
        <f t="shared" si="39"/>
        <v>After 2020</v>
      </c>
    </row>
    <row r="2563" spans="1:13">
      <c r="A2563" t="s">
        <v>3699</v>
      </c>
      <c r="B2563" t="s">
        <v>3700</v>
      </c>
      <c r="C2563" s="1">
        <v>41275</v>
      </c>
      <c r="D2563" s="2">
        <v>1460945792</v>
      </c>
      <c r="E2563" s="2">
        <v>331171</v>
      </c>
      <c r="F2563">
        <v>76</v>
      </c>
      <c r="G2563" s="2">
        <v>224150562</v>
      </c>
      <c r="H2563" s="2">
        <v>1926122</v>
      </c>
      <c r="I2563" s="2">
        <v>2134365963</v>
      </c>
      <c r="J2563">
        <v>83</v>
      </c>
      <c r="K2563">
        <v>115</v>
      </c>
      <c r="L2563">
        <v>0</v>
      </c>
      <c r="M2563" t="str">
        <f t="shared" ref="M2563:M2626" si="40">IF(YEAR(C2563)&lt;2010,"Before 2010",IF(YEAR(C2563)&lt;=2020,"2010-2020","After 2020"))</f>
        <v>2010-2020</v>
      </c>
    </row>
    <row r="2564" spans="1:13" hidden="1">
      <c r="A2564" t="s">
        <v>3701</v>
      </c>
      <c r="B2564" t="s">
        <v>2000</v>
      </c>
      <c r="C2564" s="1">
        <v>45002</v>
      </c>
      <c r="D2564" s="2">
        <v>350802342</v>
      </c>
      <c r="E2564" s="2">
        <v>12581</v>
      </c>
      <c r="F2564">
        <v>76</v>
      </c>
      <c r="G2564" s="2">
        <v>150660549</v>
      </c>
      <c r="H2564" s="2">
        <v>5807332</v>
      </c>
      <c r="I2564" s="2">
        <v>494628703</v>
      </c>
      <c r="J2564">
        <v>5</v>
      </c>
      <c r="L2564">
        <v>1</v>
      </c>
      <c r="M2564" t="str">
        <f t="shared" si="40"/>
        <v>After 2020</v>
      </c>
    </row>
    <row r="2565" spans="1:13" hidden="1">
      <c r="A2565" t="s">
        <v>3702</v>
      </c>
      <c r="B2565" t="s">
        <v>3703</v>
      </c>
      <c r="C2565" s="1">
        <v>44911</v>
      </c>
      <c r="E2565">
        <v>1</v>
      </c>
      <c r="G2565" s="2">
        <v>1858910</v>
      </c>
      <c r="H2565" s="2">
        <v>8964</v>
      </c>
      <c r="I2565" s="2">
        <v>133463784</v>
      </c>
      <c r="L2565">
        <v>0</v>
      </c>
      <c r="M2565" t="str">
        <f t="shared" si="40"/>
        <v>After 2020</v>
      </c>
    </row>
    <row r="2566" spans="1:13">
      <c r="A2566" t="s">
        <v>605</v>
      </c>
      <c r="B2566" t="s">
        <v>459</v>
      </c>
      <c r="C2566" s="1">
        <v>43909</v>
      </c>
      <c r="D2566" s="2">
        <v>489654759</v>
      </c>
      <c r="E2566" s="2">
        <v>60072</v>
      </c>
      <c r="F2566">
        <v>63</v>
      </c>
      <c r="G2566" s="2">
        <v>478807073</v>
      </c>
      <c r="H2566" s="2">
        <v>3205287</v>
      </c>
      <c r="I2566" s="2">
        <v>491920895</v>
      </c>
      <c r="J2566">
        <v>92</v>
      </c>
      <c r="K2566">
        <v>41</v>
      </c>
      <c r="L2566">
        <v>0</v>
      </c>
      <c r="M2566" t="str">
        <f t="shared" si="40"/>
        <v>2010-2020</v>
      </c>
    </row>
    <row r="2567" spans="1:13">
      <c r="A2567" t="s">
        <v>3704</v>
      </c>
      <c r="B2567" t="s">
        <v>170</v>
      </c>
      <c r="C2567" s="1">
        <v>44239</v>
      </c>
      <c r="D2567" s="2">
        <v>236644328</v>
      </c>
      <c r="E2567" s="2">
        <v>36130</v>
      </c>
      <c r="F2567">
        <v>50</v>
      </c>
      <c r="G2567" s="2">
        <v>525752748</v>
      </c>
      <c r="H2567" s="2">
        <v>3073337</v>
      </c>
      <c r="I2567" s="2">
        <v>329180615</v>
      </c>
      <c r="J2567">
        <v>56</v>
      </c>
      <c r="K2567">
        <v>18</v>
      </c>
      <c r="L2567">
        <v>1</v>
      </c>
      <c r="M2567" t="str">
        <f t="shared" si="40"/>
        <v>After 2020</v>
      </c>
    </row>
    <row r="2568" spans="1:13">
      <c r="A2568" t="s">
        <v>3705</v>
      </c>
      <c r="B2568" t="s">
        <v>3706</v>
      </c>
      <c r="C2568" s="1">
        <v>45051</v>
      </c>
      <c r="D2568" s="2">
        <v>34026239</v>
      </c>
      <c r="E2568" s="2">
        <v>8723</v>
      </c>
      <c r="F2568">
        <v>58</v>
      </c>
      <c r="G2568" s="2">
        <v>56469190</v>
      </c>
      <c r="H2568" s="2">
        <v>290499</v>
      </c>
      <c r="I2568" s="2">
        <v>391501573</v>
      </c>
      <c r="J2568">
        <v>23</v>
      </c>
      <c r="K2568">
        <v>4</v>
      </c>
      <c r="L2568">
        <v>0</v>
      </c>
      <c r="M2568" t="str">
        <f t="shared" si="40"/>
        <v>After 2020</v>
      </c>
    </row>
    <row r="2569" spans="1:13" hidden="1">
      <c r="A2569" t="s">
        <v>3707</v>
      </c>
      <c r="B2569" t="s">
        <v>3708</v>
      </c>
      <c r="C2569" s="1">
        <v>45189</v>
      </c>
      <c r="D2569" s="2">
        <v>3900009</v>
      </c>
      <c r="E2569">
        <v>239</v>
      </c>
      <c r="G2569" s="2">
        <v>2001200</v>
      </c>
      <c r="H2569" s="2">
        <v>23163</v>
      </c>
      <c r="I2569" s="2">
        <v>529234742</v>
      </c>
      <c r="L2569">
        <v>0</v>
      </c>
      <c r="M2569" t="str">
        <f t="shared" si="40"/>
        <v>After 2020</v>
      </c>
    </row>
    <row r="2570" spans="1:13">
      <c r="A2570" t="s">
        <v>3709</v>
      </c>
      <c r="B2570" t="s">
        <v>892</v>
      </c>
      <c r="C2570" s="1">
        <v>43048</v>
      </c>
      <c r="D2570" s="2">
        <v>947770190</v>
      </c>
      <c r="E2570" s="2">
        <v>123852</v>
      </c>
      <c r="F2570">
        <v>69</v>
      </c>
      <c r="G2570" s="2">
        <v>417814325</v>
      </c>
      <c r="H2570" s="2">
        <v>6867798</v>
      </c>
      <c r="I2570" s="2">
        <v>5479108705</v>
      </c>
      <c r="J2570">
        <v>128</v>
      </c>
      <c r="K2570">
        <v>93</v>
      </c>
      <c r="L2570">
        <v>0</v>
      </c>
      <c r="M2570" t="str">
        <f t="shared" si="40"/>
        <v>2010-2020</v>
      </c>
    </row>
    <row r="2571" spans="1:13">
      <c r="A2571" t="s">
        <v>3710</v>
      </c>
      <c r="B2571" t="s">
        <v>1857</v>
      </c>
      <c r="C2571" s="1">
        <v>44437</v>
      </c>
      <c r="D2571" s="2">
        <v>404497617</v>
      </c>
      <c r="E2571" s="2">
        <v>108795</v>
      </c>
      <c r="F2571">
        <v>62</v>
      </c>
      <c r="G2571" s="2">
        <v>45337894</v>
      </c>
      <c r="H2571" s="2">
        <v>615908</v>
      </c>
      <c r="I2571" s="2">
        <v>91838300</v>
      </c>
      <c r="J2571">
        <v>51</v>
      </c>
      <c r="K2571">
        <v>185</v>
      </c>
      <c r="L2571">
        <v>0</v>
      </c>
      <c r="M2571" t="str">
        <f t="shared" si="40"/>
        <v>After 2020</v>
      </c>
    </row>
    <row r="2572" spans="1:13" hidden="1">
      <c r="A2572" t="s">
        <v>3711</v>
      </c>
      <c r="B2572" t="s">
        <v>3712</v>
      </c>
      <c r="C2572" s="1">
        <v>44686</v>
      </c>
      <c r="D2572" s="2">
        <v>239624643</v>
      </c>
      <c r="E2572" s="2">
        <v>13095</v>
      </c>
      <c r="F2572">
        <v>67</v>
      </c>
      <c r="G2572" s="2">
        <v>228923419</v>
      </c>
      <c r="H2572" s="2">
        <v>1210579</v>
      </c>
      <c r="I2572" s="2">
        <v>3306847230</v>
      </c>
      <c r="J2572">
        <v>11</v>
      </c>
      <c r="L2572">
        <v>0</v>
      </c>
      <c r="M2572" t="str">
        <f t="shared" si="40"/>
        <v>After 2020</v>
      </c>
    </row>
    <row r="2573" spans="1:13">
      <c r="A2573" t="s">
        <v>3713</v>
      </c>
      <c r="B2573" t="s">
        <v>3714</v>
      </c>
      <c r="C2573" s="1">
        <v>42873</v>
      </c>
      <c r="D2573" s="2">
        <v>1000549809</v>
      </c>
      <c r="E2573" s="2">
        <v>86051</v>
      </c>
      <c r="F2573">
        <v>63</v>
      </c>
      <c r="G2573" s="2">
        <v>503776997</v>
      </c>
      <c r="H2573" s="2">
        <v>5263027</v>
      </c>
      <c r="I2573" s="2">
        <v>181309829</v>
      </c>
      <c r="J2573">
        <v>99</v>
      </c>
      <c r="K2573">
        <v>101</v>
      </c>
      <c r="L2573">
        <v>0</v>
      </c>
      <c r="M2573" t="str">
        <f t="shared" si="40"/>
        <v>2010-2020</v>
      </c>
    </row>
    <row r="2574" spans="1:13" hidden="1">
      <c r="A2574" t="s">
        <v>3715</v>
      </c>
      <c r="B2574" t="s">
        <v>2807</v>
      </c>
      <c r="C2574" s="1">
        <v>45199</v>
      </c>
      <c r="D2574" s="2">
        <v>23708233</v>
      </c>
      <c r="E2574" s="2">
        <v>7125</v>
      </c>
      <c r="I2574" s="2">
        <v>3090790304</v>
      </c>
      <c r="J2574">
        <v>2</v>
      </c>
      <c r="K2574">
        <v>382</v>
      </c>
      <c r="L2574">
        <v>1</v>
      </c>
      <c r="M2574" t="str">
        <f t="shared" si="40"/>
        <v>After 2020</v>
      </c>
    </row>
    <row r="2575" spans="1:13" hidden="1">
      <c r="A2575" t="s">
        <v>3716</v>
      </c>
      <c r="B2575" t="s">
        <v>2353</v>
      </c>
      <c r="C2575" s="1">
        <v>45428</v>
      </c>
      <c r="D2575" s="2">
        <v>916695</v>
      </c>
      <c r="E2575">
        <v>97</v>
      </c>
      <c r="G2575" s="2">
        <v>19150049</v>
      </c>
      <c r="H2575" s="2">
        <v>391641</v>
      </c>
      <c r="J2575">
        <v>4</v>
      </c>
      <c r="L2575">
        <v>0</v>
      </c>
      <c r="M2575" t="str">
        <f t="shared" si="40"/>
        <v>After 2020</v>
      </c>
    </row>
    <row r="2576" spans="1:13">
      <c r="A2576" t="s">
        <v>3717</v>
      </c>
      <c r="B2576" t="s">
        <v>3718</v>
      </c>
      <c r="C2576" s="1">
        <v>43476</v>
      </c>
      <c r="D2576" s="2">
        <v>895496661</v>
      </c>
      <c r="E2576" s="2">
        <v>158437</v>
      </c>
      <c r="F2576">
        <v>75</v>
      </c>
      <c r="G2576" s="2">
        <v>60795572</v>
      </c>
      <c r="H2576" s="2">
        <v>663427</v>
      </c>
      <c r="I2576" s="2">
        <v>500515994</v>
      </c>
      <c r="J2576">
        <v>109</v>
      </c>
      <c r="K2576">
        <v>9</v>
      </c>
      <c r="L2576">
        <v>1</v>
      </c>
      <c r="M2576" t="str">
        <f t="shared" si="40"/>
        <v>2010-2020</v>
      </c>
    </row>
    <row r="2577" spans="1:13" hidden="1">
      <c r="A2577" t="s">
        <v>3719</v>
      </c>
      <c r="B2577" t="s">
        <v>1648</v>
      </c>
      <c r="C2577" s="1">
        <v>45442</v>
      </c>
      <c r="D2577" s="2">
        <v>3582494</v>
      </c>
      <c r="E2577">
        <v>506</v>
      </c>
      <c r="F2577">
        <v>64</v>
      </c>
      <c r="G2577" s="2">
        <v>8320170</v>
      </c>
      <c r="H2577" s="2">
        <v>107335</v>
      </c>
      <c r="J2577">
        <v>2</v>
      </c>
      <c r="L2577">
        <v>0</v>
      </c>
      <c r="M2577" t="str">
        <f t="shared" si="40"/>
        <v>After 2020</v>
      </c>
    </row>
    <row r="2578" spans="1:13" hidden="1">
      <c r="A2578" t="s">
        <v>3720</v>
      </c>
      <c r="B2578" t="s">
        <v>3721</v>
      </c>
      <c r="C2578" s="1">
        <v>45093</v>
      </c>
      <c r="D2578" s="2">
        <v>62458329</v>
      </c>
      <c r="E2578" s="2">
        <v>7526</v>
      </c>
      <c r="F2578">
        <v>58</v>
      </c>
      <c r="G2578" s="2">
        <v>167062542</v>
      </c>
      <c r="H2578" s="2">
        <v>417472</v>
      </c>
      <c r="I2578" s="2">
        <v>25252458</v>
      </c>
      <c r="J2578">
        <v>10</v>
      </c>
      <c r="L2578">
        <v>0</v>
      </c>
      <c r="M2578" t="str">
        <f t="shared" si="40"/>
        <v>After 2020</v>
      </c>
    </row>
    <row r="2579" spans="1:13" hidden="1">
      <c r="A2579" t="s">
        <v>3722</v>
      </c>
      <c r="B2579" t="s">
        <v>3723</v>
      </c>
      <c r="C2579" s="1">
        <v>45301</v>
      </c>
      <c r="D2579" s="2">
        <v>9293098</v>
      </c>
      <c r="E2579" s="2">
        <v>1348</v>
      </c>
      <c r="G2579" s="2">
        <v>19200761</v>
      </c>
      <c r="H2579" s="2">
        <v>262872</v>
      </c>
      <c r="I2579" s="2">
        <v>1752700</v>
      </c>
      <c r="J2579">
        <v>16</v>
      </c>
      <c r="K2579">
        <v>57</v>
      </c>
      <c r="L2579">
        <v>1</v>
      </c>
      <c r="M2579" t="str">
        <f t="shared" si="40"/>
        <v>After 2020</v>
      </c>
    </row>
    <row r="2580" spans="1:13" hidden="1">
      <c r="A2580" t="s">
        <v>3724</v>
      </c>
      <c r="B2580" t="s">
        <v>221</v>
      </c>
      <c r="C2580" s="1">
        <v>45449</v>
      </c>
      <c r="D2580" s="2">
        <v>5942861</v>
      </c>
      <c r="E2580">
        <v>766</v>
      </c>
      <c r="F2580">
        <v>71</v>
      </c>
      <c r="G2580" s="2">
        <v>417205</v>
      </c>
      <c r="H2580" s="2">
        <v>14380</v>
      </c>
      <c r="J2580">
        <v>24</v>
      </c>
      <c r="L2580">
        <v>0</v>
      </c>
      <c r="M2580" t="str">
        <f t="shared" si="40"/>
        <v>After 2020</v>
      </c>
    </row>
    <row r="2581" spans="1:13">
      <c r="A2581" t="s">
        <v>3725</v>
      </c>
      <c r="B2581" t="s">
        <v>3726</v>
      </c>
      <c r="C2581" s="1">
        <v>37432</v>
      </c>
      <c r="D2581" s="2">
        <v>859999247</v>
      </c>
      <c r="E2581" s="2">
        <v>170136</v>
      </c>
      <c r="F2581">
        <v>74</v>
      </c>
      <c r="G2581" s="2">
        <v>1639732381</v>
      </c>
      <c r="H2581" s="2">
        <v>8770296</v>
      </c>
      <c r="I2581" s="2">
        <v>368297203</v>
      </c>
      <c r="J2581">
        <v>116</v>
      </c>
      <c r="K2581">
        <v>86</v>
      </c>
      <c r="L2581">
        <v>1</v>
      </c>
      <c r="M2581" t="str">
        <f t="shared" si="40"/>
        <v>Before 2010</v>
      </c>
    </row>
    <row r="2582" spans="1:13" hidden="1">
      <c r="A2582" t="s">
        <v>3727</v>
      </c>
      <c r="B2582" t="s">
        <v>3728</v>
      </c>
      <c r="C2582" s="1">
        <v>44890</v>
      </c>
      <c r="D2582" s="2">
        <v>477396</v>
      </c>
      <c r="E2582">
        <v>29</v>
      </c>
      <c r="G2582" s="2">
        <v>388682045</v>
      </c>
      <c r="H2582" s="2">
        <v>2199489</v>
      </c>
      <c r="I2582" s="2">
        <v>52662</v>
      </c>
      <c r="L2582">
        <v>1</v>
      </c>
      <c r="M2582" t="str">
        <f t="shared" si="40"/>
        <v>After 2020</v>
      </c>
    </row>
    <row r="2583" spans="1:13">
      <c r="A2583" t="s">
        <v>3729</v>
      </c>
      <c r="B2583" t="s">
        <v>747</v>
      </c>
      <c r="C2583" s="1">
        <v>45072</v>
      </c>
      <c r="D2583" s="2">
        <v>83393310</v>
      </c>
      <c r="E2583" s="2">
        <v>32703</v>
      </c>
      <c r="F2583">
        <v>64</v>
      </c>
      <c r="G2583" s="2">
        <v>14159412</v>
      </c>
      <c r="H2583" s="2">
        <v>193138</v>
      </c>
      <c r="I2583" s="2">
        <v>9909365</v>
      </c>
      <c r="J2583">
        <v>10</v>
      </c>
      <c r="K2583">
        <v>57</v>
      </c>
      <c r="L2583">
        <v>1</v>
      </c>
      <c r="M2583" t="str">
        <f t="shared" si="40"/>
        <v>After 2020</v>
      </c>
    </row>
    <row r="2584" spans="1:13" hidden="1">
      <c r="A2584" t="s">
        <v>3730</v>
      </c>
      <c r="B2584" t="s">
        <v>3731</v>
      </c>
      <c r="C2584" s="1">
        <v>44795</v>
      </c>
      <c r="D2584" s="2">
        <v>282776356</v>
      </c>
      <c r="E2584" s="2">
        <v>45283</v>
      </c>
      <c r="F2584">
        <v>69</v>
      </c>
      <c r="G2584" s="2">
        <v>152603363</v>
      </c>
      <c r="H2584" s="2">
        <v>1541141</v>
      </c>
      <c r="I2584" s="2">
        <v>1672858</v>
      </c>
      <c r="J2584">
        <v>13</v>
      </c>
      <c r="L2584">
        <v>0</v>
      </c>
      <c r="M2584" t="str">
        <f t="shared" si="40"/>
        <v>After 2020</v>
      </c>
    </row>
    <row r="2585" spans="1:13" hidden="1">
      <c r="A2585" t="s">
        <v>3732</v>
      </c>
      <c r="B2585" t="s">
        <v>642</v>
      </c>
      <c r="C2585" s="1">
        <v>43238</v>
      </c>
      <c r="D2585" s="2">
        <v>867318774</v>
      </c>
      <c r="E2585" s="2">
        <v>122200</v>
      </c>
      <c r="F2585">
        <v>66</v>
      </c>
      <c r="G2585" s="2">
        <v>207699017</v>
      </c>
      <c r="H2585" s="2">
        <v>1553887</v>
      </c>
      <c r="I2585" s="2">
        <v>91008651</v>
      </c>
      <c r="J2585">
        <v>130</v>
      </c>
      <c r="L2585">
        <v>1</v>
      </c>
      <c r="M2585" t="str">
        <f t="shared" si="40"/>
        <v>2010-2020</v>
      </c>
    </row>
    <row r="2586" spans="1:13">
      <c r="A2586" t="s">
        <v>3733</v>
      </c>
      <c r="B2586" t="s">
        <v>3734</v>
      </c>
      <c r="C2586" s="1">
        <v>44673</v>
      </c>
      <c r="D2586" s="2">
        <v>383945607</v>
      </c>
      <c r="E2586" s="2">
        <v>58627</v>
      </c>
      <c r="F2586">
        <v>72</v>
      </c>
      <c r="G2586" s="2">
        <v>51670623</v>
      </c>
      <c r="H2586" s="2">
        <v>427016</v>
      </c>
      <c r="I2586" s="2">
        <v>159467861</v>
      </c>
      <c r="J2586">
        <v>83</v>
      </c>
      <c r="K2586">
        <v>409</v>
      </c>
      <c r="L2586">
        <v>0</v>
      </c>
      <c r="M2586" t="str">
        <f t="shared" si="40"/>
        <v>After 2020</v>
      </c>
    </row>
    <row r="2587" spans="1:13" hidden="1">
      <c r="A2587" t="s">
        <v>3735</v>
      </c>
      <c r="B2587" t="s">
        <v>3736</v>
      </c>
      <c r="C2587" s="1">
        <v>44868</v>
      </c>
      <c r="D2587" s="2">
        <v>343704935</v>
      </c>
      <c r="E2587" s="2">
        <v>21379</v>
      </c>
      <c r="F2587">
        <v>61</v>
      </c>
      <c r="G2587" s="2">
        <v>208025693</v>
      </c>
      <c r="H2587" s="2">
        <v>659040</v>
      </c>
      <c r="I2587" s="2">
        <v>153392985</v>
      </c>
      <c r="J2587">
        <v>22</v>
      </c>
      <c r="L2587">
        <v>0</v>
      </c>
      <c r="M2587" t="str">
        <f t="shared" si="40"/>
        <v>After 2020</v>
      </c>
    </row>
    <row r="2588" spans="1:13" hidden="1">
      <c r="A2588" t="s">
        <v>3737</v>
      </c>
      <c r="B2588" t="s">
        <v>3738</v>
      </c>
      <c r="C2588" s="1">
        <v>45358</v>
      </c>
      <c r="D2588" s="2">
        <v>27026914</v>
      </c>
      <c r="E2588" s="2">
        <v>2367</v>
      </c>
      <c r="F2588">
        <v>70</v>
      </c>
      <c r="G2588" s="2">
        <v>46888149</v>
      </c>
      <c r="H2588" s="2">
        <v>156738</v>
      </c>
      <c r="J2588">
        <v>2</v>
      </c>
      <c r="L2588">
        <v>0</v>
      </c>
      <c r="M2588" t="str">
        <f t="shared" si="40"/>
        <v>After 2020</v>
      </c>
    </row>
    <row r="2589" spans="1:13">
      <c r="A2589" t="s">
        <v>3739</v>
      </c>
      <c r="B2589" t="s">
        <v>1705</v>
      </c>
      <c r="C2589" s="1">
        <v>44713</v>
      </c>
      <c r="D2589" s="2">
        <v>168710415</v>
      </c>
      <c r="E2589" s="2">
        <v>16559</v>
      </c>
      <c r="F2589">
        <v>56</v>
      </c>
      <c r="G2589" s="2">
        <v>358805694</v>
      </c>
      <c r="H2589" s="2">
        <v>1890653</v>
      </c>
      <c r="I2589" s="2">
        <v>248098853</v>
      </c>
      <c r="J2589">
        <v>12</v>
      </c>
      <c r="K2589">
        <v>1</v>
      </c>
      <c r="L2589">
        <v>0</v>
      </c>
      <c r="M2589" t="str">
        <f t="shared" si="40"/>
        <v>After 2020</v>
      </c>
    </row>
    <row r="2590" spans="1:13">
      <c r="A2590" t="s">
        <v>3740</v>
      </c>
      <c r="B2590" t="s">
        <v>61</v>
      </c>
      <c r="C2590" s="1">
        <v>44855</v>
      </c>
      <c r="D2590" s="2">
        <v>536110386</v>
      </c>
      <c r="E2590" s="2">
        <v>32472</v>
      </c>
      <c r="F2590">
        <v>71</v>
      </c>
      <c r="G2590" s="2">
        <v>19011964</v>
      </c>
      <c r="H2590" s="2">
        <v>168023</v>
      </c>
      <c r="I2590" s="2">
        <v>1573795763</v>
      </c>
      <c r="J2590">
        <v>46</v>
      </c>
      <c r="K2590">
        <v>84</v>
      </c>
      <c r="L2590">
        <v>0</v>
      </c>
      <c r="M2590" t="str">
        <f t="shared" si="40"/>
        <v>After 2020</v>
      </c>
    </row>
    <row r="2591" spans="1:13" hidden="1">
      <c r="A2591" t="s">
        <v>29</v>
      </c>
      <c r="B2591" t="s">
        <v>30</v>
      </c>
      <c r="C2591" s="1">
        <v>45240</v>
      </c>
      <c r="D2591" s="2">
        <v>669206771</v>
      </c>
      <c r="E2591" s="2">
        <v>4166</v>
      </c>
      <c r="J2591">
        <v>59</v>
      </c>
      <c r="L2591">
        <v>0</v>
      </c>
      <c r="M2591" t="str">
        <f t="shared" si="40"/>
        <v>After 2020</v>
      </c>
    </row>
    <row r="2592" spans="1:13" hidden="1">
      <c r="A2592" t="s">
        <v>3741</v>
      </c>
      <c r="B2592" t="s">
        <v>1320</v>
      </c>
      <c r="C2592" s="1">
        <v>45184</v>
      </c>
      <c r="D2592" s="2">
        <v>93990459</v>
      </c>
      <c r="E2592" s="2">
        <v>8050</v>
      </c>
      <c r="G2592" s="2">
        <v>112494830</v>
      </c>
      <c r="H2592" s="2">
        <v>3245862</v>
      </c>
      <c r="I2592" s="2">
        <v>296861046</v>
      </c>
      <c r="J2592">
        <v>9</v>
      </c>
      <c r="K2592">
        <v>530</v>
      </c>
      <c r="L2592">
        <v>0</v>
      </c>
      <c r="M2592" t="str">
        <f t="shared" si="40"/>
        <v>After 2020</v>
      </c>
    </row>
    <row r="2593" spans="1:13">
      <c r="A2593" t="s">
        <v>2652</v>
      </c>
      <c r="B2593" t="s">
        <v>1373</v>
      </c>
      <c r="C2593" s="1">
        <v>43014</v>
      </c>
      <c r="D2593" s="2">
        <v>492361216</v>
      </c>
      <c r="E2593" s="2">
        <v>43773</v>
      </c>
      <c r="F2593">
        <v>66</v>
      </c>
      <c r="G2593" s="2">
        <v>697287853</v>
      </c>
      <c r="H2593" s="2">
        <v>3494761</v>
      </c>
      <c r="I2593" s="2">
        <v>74609105</v>
      </c>
      <c r="J2593">
        <v>46</v>
      </c>
      <c r="K2593">
        <v>35</v>
      </c>
      <c r="L2593">
        <v>0</v>
      </c>
      <c r="M2593" t="str">
        <f t="shared" si="40"/>
        <v>2010-2020</v>
      </c>
    </row>
    <row r="2594" spans="1:13" hidden="1">
      <c r="A2594" t="s">
        <v>2936</v>
      </c>
      <c r="B2594" t="s">
        <v>2937</v>
      </c>
      <c r="C2594" s="1">
        <v>42748</v>
      </c>
      <c r="D2594" s="2">
        <v>491358577</v>
      </c>
      <c r="E2594" s="2">
        <v>7067</v>
      </c>
      <c r="G2594" s="2">
        <v>1050086757</v>
      </c>
      <c r="H2594" s="2">
        <v>10196796</v>
      </c>
      <c r="L2594">
        <v>0</v>
      </c>
      <c r="M2594" t="str">
        <f t="shared" si="40"/>
        <v>2010-2020</v>
      </c>
    </row>
    <row r="2595" spans="1:13" hidden="1">
      <c r="A2595" t="s">
        <v>3742</v>
      </c>
      <c r="B2595" t="s">
        <v>3743</v>
      </c>
      <c r="C2595" s="1">
        <v>45436</v>
      </c>
      <c r="D2595" s="2">
        <v>4128853</v>
      </c>
      <c r="E2595">
        <v>234</v>
      </c>
      <c r="F2595">
        <v>62</v>
      </c>
      <c r="G2595" s="2">
        <v>11272889</v>
      </c>
      <c r="H2595" s="2">
        <v>177421</v>
      </c>
      <c r="J2595">
        <v>10</v>
      </c>
      <c r="L2595">
        <v>0</v>
      </c>
      <c r="M2595" t="str">
        <f t="shared" si="40"/>
        <v>After 2020</v>
      </c>
    </row>
    <row r="2596" spans="1:13">
      <c r="A2596" t="s">
        <v>3744</v>
      </c>
      <c r="B2596" t="s">
        <v>332</v>
      </c>
      <c r="C2596" s="1">
        <v>45163</v>
      </c>
      <c r="D2596" s="2">
        <v>106899723</v>
      </c>
      <c r="E2596" s="2">
        <v>23959</v>
      </c>
      <c r="F2596">
        <v>64</v>
      </c>
      <c r="G2596" s="2">
        <v>54351042</v>
      </c>
      <c r="H2596" s="2">
        <v>362313</v>
      </c>
      <c r="I2596" s="2">
        <v>44045683</v>
      </c>
      <c r="J2596">
        <v>15</v>
      </c>
      <c r="K2596">
        <v>24</v>
      </c>
      <c r="L2596">
        <v>0</v>
      </c>
      <c r="M2596" t="str">
        <f t="shared" si="40"/>
        <v>After 2020</v>
      </c>
    </row>
    <row r="2597" spans="1:13" hidden="1">
      <c r="A2597" t="s">
        <v>3745</v>
      </c>
      <c r="B2597" t="s">
        <v>1427</v>
      </c>
      <c r="C2597" s="1">
        <v>45183</v>
      </c>
      <c r="D2597" s="2">
        <v>5842217</v>
      </c>
      <c r="E2597">
        <v>191</v>
      </c>
      <c r="G2597" s="2">
        <v>180823113</v>
      </c>
      <c r="H2597" s="2">
        <v>1072157</v>
      </c>
      <c r="L2597">
        <v>0</v>
      </c>
      <c r="M2597" t="str">
        <f t="shared" si="40"/>
        <v>After 2020</v>
      </c>
    </row>
    <row r="2598" spans="1:13">
      <c r="A2598" t="s">
        <v>3746</v>
      </c>
      <c r="B2598" t="s">
        <v>1002</v>
      </c>
      <c r="C2598" s="1">
        <v>41275</v>
      </c>
      <c r="D2598" s="2">
        <v>1256488099</v>
      </c>
      <c r="E2598" s="2">
        <v>158078</v>
      </c>
      <c r="F2598">
        <v>80</v>
      </c>
      <c r="G2598" s="2">
        <v>721653474</v>
      </c>
      <c r="H2598" s="2">
        <v>5562953</v>
      </c>
      <c r="I2598" s="2">
        <v>881937736</v>
      </c>
      <c r="J2598">
        <v>85</v>
      </c>
      <c r="K2598">
        <v>38</v>
      </c>
      <c r="L2598">
        <v>0</v>
      </c>
      <c r="M2598" t="str">
        <f t="shared" si="40"/>
        <v>2010-2020</v>
      </c>
    </row>
    <row r="2599" spans="1:13">
      <c r="A2599" t="s">
        <v>3747</v>
      </c>
      <c r="B2599" t="s">
        <v>19</v>
      </c>
      <c r="C2599" s="1">
        <v>44694</v>
      </c>
      <c r="D2599" s="2">
        <v>246425341</v>
      </c>
      <c r="E2599" s="2">
        <v>81509</v>
      </c>
      <c r="F2599">
        <v>71</v>
      </c>
      <c r="G2599" s="2">
        <v>38465606</v>
      </c>
      <c r="H2599" s="2">
        <v>807082</v>
      </c>
      <c r="I2599" s="2">
        <v>342828836</v>
      </c>
      <c r="J2599">
        <v>5</v>
      </c>
      <c r="K2599">
        <v>11</v>
      </c>
      <c r="L2599">
        <v>1</v>
      </c>
      <c r="M2599" t="str">
        <f t="shared" si="40"/>
        <v>After 2020</v>
      </c>
    </row>
    <row r="2600" spans="1:13">
      <c r="A2600" t="s">
        <v>3748</v>
      </c>
      <c r="B2600" t="s">
        <v>72</v>
      </c>
      <c r="C2600" s="1">
        <v>41621</v>
      </c>
      <c r="D2600" s="2">
        <v>607315454</v>
      </c>
      <c r="E2600" s="2">
        <v>73281</v>
      </c>
      <c r="F2600">
        <v>67</v>
      </c>
      <c r="G2600" s="2">
        <v>827853706</v>
      </c>
      <c r="H2600" s="2">
        <v>3895677</v>
      </c>
      <c r="I2600" s="2">
        <v>200100315</v>
      </c>
      <c r="J2600">
        <v>129</v>
      </c>
      <c r="K2600">
        <v>83</v>
      </c>
      <c r="L2600">
        <v>1</v>
      </c>
      <c r="M2600" t="str">
        <f t="shared" si="40"/>
        <v>2010-2020</v>
      </c>
    </row>
    <row r="2601" spans="1:13" hidden="1">
      <c r="A2601" t="s">
        <v>3749</v>
      </c>
      <c r="B2601" t="s">
        <v>2594</v>
      </c>
      <c r="C2601" s="1">
        <v>45404</v>
      </c>
      <c r="D2601" s="2">
        <v>50171337</v>
      </c>
      <c r="E2601" s="2">
        <v>3367</v>
      </c>
      <c r="F2601">
        <v>74</v>
      </c>
      <c r="G2601" s="2">
        <v>9998588</v>
      </c>
      <c r="H2601" s="2">
        <v>151631</v>
      </c>
      <c r="J2601">
        <v>15</v>
      </c>
      <c r="L2601">
        <v>0</v>
      </c>
      <c r="M2601" t="str">
        <f t="shared" si="40"/>
        <v>After 2020</v>
      </c>
    </row>
    <row r="2602" spans="1:13">
      <c r="A2602" t="s">
        <v>3750</v>
      </c>
      <c r="B2602" t="s">
        <v>3751</v>
      </c>
      <c r="C2602" s="1">
        <v>45405</v>
      </c>
      <c r="D2602" s="2">
        <v>9956970</v>
      </c>
      <c r="E2602">
        <v>918</v>
      </c>
      <c r="F2602">
        <v>66</v>
      </c>
      <c r="G2602" s="2">
        <v>28265816</v>
      </c>
      <c r="H2602" s="2">
        <v>825743</v>
      </c>
      <c r="I2602" s="2">
        <v>16415876</v>
      </c>
      <c r="J2602">
        <v>6</v>
      </c>
      <c r="K2602">
        <v>8</v>
      </c>
      <c r="L2602">
        <v>0</v>
      </c>
      <c r="M2602" t="str">
        <f t="shared" si="40"/>
        <v>After 2020</v>
      </c>
    </row>
    <row r="2603" spans="1:13" hidden="1">
      <c r="A2603" t="s">
        <v>3752</v>
      </c>
      <c r="B2603" t="s">
        <v>3753</v>
      </c>
      <c r="C2603" s="1">
        <v>45329</v>
      </c>
      <c r="D2603" s="2">
        <v>55157600</v>
      </c>
      <c r="E2603" s="2">
        <v>3119</v>
      </c>
      <c r="F2603">
        <v>74</v>
      </c>
      <c r="G2603" s="2">
        <v>41112701</v>
      </c>
      <c r="H2603" s="2">
        <v>322239</v>
      </c>
      <c r="J2603">
        <v>19</v>
      </c>
      <c r="L2603">
        <v>0</v>
      </c>
      <c r="M2603" t="str">
        <f t="shared" si="40"/>
        <v>After 2020</v>
      </c>
    </row>
    <row r="2604" spans="1:13" hidden="1">
      <c r="A2604" t="s">
        <v>3754</v>
      </c>
      <c r="B2604" t="s">
        <v>3755</v>
      </c>
      <c r="C2604" s="1">
        <v>44107</v>
      </c>
      <c r="D2604" s="2">
        <v>404765225</v>
      </c>
      <c r="E2604" s="2">
        <v>64972</v>
      </c>
      <c r="F2604">
        <v>68</v>
      </c>
      <c r="G2604" s="2">
        <v>470390576</v>
      </c>
      <c r="H2604" s="2">
        <v>3380515</v>
      </c>
      <c r="I2604" s="2">
        <v>561999669</v>
      </c>
      <c r="J2604">
        <v>36</v>
      </c>
      <c r="L2604">
        <v>0</v>
      </c>
      <c r="M2604" t="str">
        <f t="shared" si="40"/>
        <v>2010-2020</v>
      </c>
    </row>
    <row r="2605" spans="1:13" hidden="1">
      <c r="A2605" t="s">
        <v>3756</v>
      </c>
      <c r="B2605" t="s">
        <v>3757</v>
      </c>
      <c r="C2605" s="1">
        <v>44218</v>
      </c>
      <c r="D2605" s="2">
        <v>246949197</v>
      </c>
      <c r="E2605" s="2">
        <v>80591</v>
      </c>
      <c r="F2605">
        <v>64</v>
      </c>
      <c r="G2605" s="2">
        <v>62144315</v>
      </c>
      <c r="H2605" s="2">
        <v>935278</v>
      </c>
      <c r="I2605" s="2">
        <v>4922539</v>
      </c>
      <c r="J2605">
        <v>19</v>
      </c>
      <c r="L2605">
        <v>1</v>
      </c>
      <c r="M2605" t="str">
        <f t="shared" si="40"/>
        <v>After 2020</v>
      </c>
    </row>
    <row r="2606" spans="1:13">
      <c r="A2606" t="s">
        <v>3758</v>
      </c>
      <c r="B2606" t="s">
        <v>496</v>
      </c>
      <c r="C2606" s="1">
        <v>43721</v>
      </c>
      <c r="D2606" s="2">
        <v>589145587</v>
      </c>
      <c r="E2606" s="2">
        <v>130464</v>
      </c>
      <c r="F2606">
        <v>71</v>
      </c>
      <c r="G2606" s="2">
        <v>235289339</v>
      </c>
      <c r="H2606" s="2">
        <v>3294641</v>
      </c>
      <c r="I2606" s="2">
        <v>569986027</v>
      </c>
      <c r="J2606">
        <v>38</v>
      </c>
      <c r="K2606">
        <v>19</v>
      </c>
      <c r="L2606">
        <v>0</v>
      </c>
      <c r="M2606" t="str">
        <f t="shared" si="40"/>
        <v>2010-2020</v>
      </c>
    </row>
    <row r="2607" spans="1:13" hidden="1">
      <c r="A2607" t="s">
        <v>3759</v>
      </c>
      <c r="B2607" t="s">
        <v>3760</v>
      </c>
      <c r="C2607" s="1">
        <v>42580</v>
      </c>
      <c r="D2607" s="2">
        <v>649191183</v>
      </c>
      <c r="E2607" s="2">
        <v>160382</v>
      </c>
      <c r="F2607">
        <v>68</v>
      </c>
      <c r="G2607" s="2">
        <v>645296970</v>
      </c>
      <c r="H2607" s="2">
        <v>8887252</v>
      </c>
      <c r="I2607" s="2">
        <v>1557145950</v>
      </c>
      <c r="J2607">
        <v>11</v>
      </c>
      <c r="L2607">
        <v>1</v>
      </c>
      <c r="M2607" t="str">
        <f t="shared" si="40"/>
        <v>2010-2020</v>
      </c>
    </row>
    <row r="2608" spans="1:13" hidden="1">
      <c r="A2608" t="s">
        <v>3761</v>
      </c>
      <c r="B2608" t="s">
        <v>1326</v>
      </c>
      <c r="C2608" s="1">
        <v>45387</v>
      </c>
      <c r="D2608" s="2">
        <v>37057985</v>
      </c>
      <c r="E2608" s="2">
        <v>5769</v>
      </c>
      <c r="G2608" s="2">
        <v>7966475</v>
      </c>
      <c r="H2608" s="2">
        <v>130502</v>
      </c>
      <c r="J2608">
        <v>12</v>
      </c>
      <c r="L2608">
        <v>1</v>
      </c>
      <c r="M2608" t="str">
        <f t="shared" si="40"/>
        <v>After 2020</v>
      </c>
    </row>
    <row r="2609" spans="1:13" hidden="1">
      <c r="A2609" t="s">
        <v>3762</v>
      </c>
      <c r="B2609" t="s">
        <v>1217</v>
      </c>
      <c r="C2609" s="1">
        <v>45328</v>
      </c>
      <c r="D2609" s="2">
        <v>37814314</v>
      </c>
      <c r="E2609" s="2">
        <v>2461</v>
      </c>
      <c r="G2609" s="2">
        <v>21688661</v>
      </c>
      <c r="H2609" s="2">
        <v>208161</v>
      </c>
      <c r="I2609" s="2">
        <v>336367149</v>
      </c>
      <c r="J2609">
        <v>11</v>
      </c>
      <c r="L2609">
        <v>0</v>
      </c>
      <c r="M2609" t="str">
        <f t="shared" si="40"/>
        <v>After 2020</v>
      </c>
    </row>
    <row r="2610" spans="1:13" hidden="1">
      <c r="A2610" t="s">
        <v>3763</v>
      </c>
      <c r="B2610" t="s">
        <v>1857</v>
      </c>
      <c r="C2610" s="1">
        <v>45331</v>
      </c>
      <c r="D2610" s="2">
        <v>77403728</v>
      </c>
      <c r="E2610" s="2">
        <v>13507</v>
      </c>
      <c r="G2610" s="2">
        <v>5768907</v>
      </c>
      <c r="H2610" s="2">
        <v>96404</v>
      </c>
      <c r="I2610" s="2">
        <v>1600000</v>
      </c>
      <c r="J2610">
        <v>10</v>
      </c>
      <c r="L2610">
        <v>1</v>
      </c>
      <c r="M2610" t="str">
        <f t="shared" si="40"/>
        <v>After 2020</v>
      </c>
    </row>
    <row r="2611" spans="1:13" hidden="1">
      <c r="A2611" t="s">
        <v>3764</v>
      </c>
      <c r="B2611" t="s">
        <v>1538</v>
      </c>
      <c r="C2611" s="1">
        <v>44869</v>
      </c>
      <c r="D2611" s="2">
        <v>172362945</v>
      </c>
      <c r="E2611" s="2">
        <v>25648</v>
      </c>
      <c r="F2611">
        <v>62</v>
      </c>
      <c r="G2611" s="2">
        <v>164304790</v>
      </c>
      <c r="H2611" s="2">
        <v>644688</v>
      </c>
      <c r="I2611" s="2">
        <v>428987615</v>
      </c>
      <c r="J2611">
        <v>13</v>
      </c>
      <c r="L2611">
        <v>0</v>
      </c>
      <c r="M2611" t="str">
        <f t="shared" si="40"/>
        <v>After 2020</v>
      </c>
    </row>
    <row r="2612" spans="1:13">
      <c r="A2612" t="s">
        <v>3765</v>
      </c>
      <c r="B2612" t="s">
        <v>3647</v>
      </c>
      <c r="C2612" s="1">
        <v>43245</v>
      </c>
      <c r="D2612" s="2">
        <v>872518334</v>
      </c>
      <c r="E2612" s="2">
        <v>93636</v>
      </c>
      <c r="F2612">
        <v>64</v>
      </c>
      <c r="G2612" s="2">
        <v>681562909</v>
      </c>
      <c r="H2612" s="2">
        <v>4154352</v>
      </c>
      <c r="I2612" s="2">
        <v>36403946</v>
      </c>
      <c r="J2612">
        <v>98</v>
      </c>
      <c r="K2612">
        <v>16</v>
      </c>
      <c r="L2612">
        <v>0</v>
      </c>
      <c r="M2612" t="str">
        <f t="shared" si="40"/>
        <v>2010-2020</v>
      </c>
    </row>
    <row r="2613" spans="1:13">
      <c r="A2613" t="s">
        <v>3766</v>
      </c>
      <c r="B2613" t="s">
        <v>1002</v>
      </c>
      <c r="C2613" s="1">
        <v>40544</v>
      </c>
      <c r="D2613" s="2">
        <v>1442872605</v>
      </c>
      <c r="E2613" s="2">
        <v>204954</v>
      </c>
      <c r="F2613">
        <v>79</v>
      </c>
      <c r="G2613" s="2">
        <v>572303765</v>
      </c>
      <c r="H2613" s="2">
        <v>6181000</v>
      </c>
      <c r="I2613" s="2">
        <v>1549975311</v>
      </c>
      <c r="J2613">
        <v>115</v>
      </c>
      <c r="K2613">
        <v>224</v>
      </c>
      <c r="L2613">
        <v>0</v>
      </c>
      <c r="M2613" t="str">
        <f t="shared" si="40"/>
        <v>2010-2020</v>
      </c>
    </row>
    <row r="2614" spans="1:13">
      <c r="A2614" s="4">
        <v>0.33333333333333331</v>
      </c>
      <c r="B2614" t="s">
        <v>3357</v>
      </c>
      <c r="C2614" s="1">
        <v>45063</v>
      </c>
      <c r="D2614" s="2">
        <v>135465283</v>
      </c>
      <c r="E2614" s="2">
        <v>20671</v>
      </c>
      <c r="F2614">
        <v>63</v>
      </c>
      <c r="G2614" s="2">
        <v>106663098</v>
      </c>
      <c r="H2614" s="2">
        <v>736558</v>
      </c>
      <c r="I2614" s="2">
        <v>500108092</v>
      </c>
      <c r="J2614">
        <v>20</v>
      </c>
      <c r="K2614">
        <v>5</v>
      </c>
      <c r="L2614">
        <v>1</v>
      </c>
      <c r="M2614" t="str">
        <f t="shared" si="40"/>
        <v>After 2020</v>
      </c>
    </row>
    <row r="2615" spans="1:13" hidden="1">
      <c r="A2615" t="s">
        <v>3767</v>
      </c>
      <c r="B2615" t="s">
        <v>3768</v>
      </c>
      <c r="C2615" s="1">
        <v>43028</v>
      </c>
      <c r="D2615" s="2">
        <v>577534277</v>
      </c>
      <c r="E2615" s="2">
        <v>47818</v>
      </c>
      <c r="F2615">
        <v>58</v>
      </c>
      <c r="J2615">
        <v>16</v>
      </c>
      <c r="L2615">
        <v>1</v>
      </c>
      <c r="M2615" t="str">
        <f t="shared" si="40"/>
        <v>2010-2020</v>
      </c>
    </row>
    <row r="2616" spans="1:13">
      <c r="A2616" t="s">
        <v>3769</v>
      </c>
      <c r="B2616" t="s">
        <v>127</v>
      </c>
      <c r="C2616" s="1">
        <v>45037</v>
      </c>
      <c r="D2616" s="2">
        <v>180940067</v>
      </c>
      <c r="E2616" s="2">
        <v>36631</v>
      </c>
      <c r="F2616">
        <v>66</v>
      </c>
      <c r="G2616" s="2">
        <v>51093878</v>
      </c>
      <c r="H2616" s="2">
        <v>753208</v>
      </c>
      <c r="I2616" s="2">
        <v>47997951</v>
      </c>
      <c r="J2616">
        <v>31</v>
      </c>
      <c r="K2616">
        <v>27</v>
      </c>
      <c r="L2616">
        <v>1</v>
      </c>
      <c r="M2616" t="str">
        <f t="shared" si="40"/>
        <v>After 2020</v>
      </c>
    </row>
    <row r="2617" spans="1:13" hidden="1">
      <c r="A2617" t="s">
        <v>1124</v>
      </c>
      <c r="B2617" t="s">
        <v>2998</v>
      </c>
      <c r="C2617" s="1">
        <v>45191</v>
      </c>
      <c r="D2617" s="2">
        <v>111266488</v>
      </c>
      <c r="E2617" s="2">
        <v>19017</v>
      </c>
      <c r="G2617" s="2">
        <v>10259020</v>
      </c>
      <c r="H2617" s="2">
        <v>89765</v>
      </c>
      <c r="I2617" s="2">
        <v>17703236</v>
      </c>
      <c r="J2617">
        <v>33</v>
      </c>
      <c r="K2617">
        <v>80</v>
      </c>
      <c r="L2617">
        <v>0</v>
      </c>
      <c r="M2617" t="str">
        <f t="shared" si="40"/>
        <v>After 2020</v>
      </c>
    </row>
    <row r="2618" spans="1:13">
      <c r="A2618" t="s">
        <v>3770</v>
      </c>
      <c r="B2618" t="s">
        <v>3771</v>
      </c>
      <c r="C2618" s="1">
        <v>45350</v>
      </c>
      <c r="D2618" s="2">
        <v>9215777</v>
      </c>
      <c r="E2618" s="2">
        <v>2816</v>
      </c>
      <c r="F2618">
        <v>28</v>
      </c>
      <c r="G2618" s="2">
        <v>12076033</v>
      </c>
      <c r="H2618" s="2">
        <v>245565</v>
      </c>
      <c r="I2618" s="2">
        <v>40589924</v>
      </c>
      <c r="J2618">
        <v>13</v>
      </c>
      <c r="K2618">
        <v>41</v>
      </c>
      <c r="L2618">
        <v>1</v>
      </c>
      <c r="M2618" t="str">
        <f t="shared" si="40"/>
        <v>After 2020</v>
      </c>
    </row>
    <row r="2619" spans="1:13" hidden="1">
      <c r="A2619" t="s">
        <v>3772</v>
      </c>
      <c r="B2619" t="s">
        <v>3773</v>
      </c>
      <c r="C2619" s="1">
        <v>44811</v>
      </c>
      <c r="D2619" s="2">
        <v>2248788</v>
      </c>
      <c r="E2619">
        <v>739</v>
      </c>
      <c r="F2619">
        <v>43</v>
      </c>
      <c r="G2619" s="2">
        <v>1577614</v>
      </c>
      <c r="H2619" s="2">
        <v>20317</v>
      </c>
      <c r="I2619" s="2">
        <v>1050704352</v>
      </c>
      <c r="L2619">
        <v>0</v>
      </c>
      <c r="M2619" t="str">
        <f t="shared" si="40"/>
        <v>After 2020</v>
      </c>
    </row>
    <row r="2620" spans="1:13">
      <c r="A2620" t="s">
        <v>3774</v>
      </c>
      <c r="B2620" t="s">
        <v>3775</v>
      </c>
      <c r="C2620" s="1">
        <v>44624</v>
      </c>
      <c r="D2620" s="2">
        <v>180186017</v>
      </c>
      <c r="E2620" s="2">
        <v>32769</v>
      </c>
      <c r="F2620">
        <v>66</v>
      </c>
      <c r="G2620" s="2">
        <v>36595510</v>
      </c>
      <c r="H2620" s="2">
        <v>280859</v>
      </c>
      <c r="I2620" s="2">
        <v>23448462</v>
      </c>
      <c r="J2620">
        <v>23</v>
      </c>
      <c r="K2620">
        <v>111</v>
      </c>
      <c r="L2620">
        <v>0</v>
      </c>
      <c r="M2620" t="str">
        <f t="shared" si="40"/>
        <v>After 2020</v>
      </c>
    </row>
    <row r="2621" spans="1:13" hidden="1">
      <c r="A2621" t="s">
        <v>3776</v>
      </c>
      <c r="B2621" t="s">
        <v>3777</v>
      </c>
      <c r="C2621" s="1">
        <v>43314</v>
      </c>
      <c r="D2621" s="2">
        <v>737482160</v>
      </c>
      <c r="E2621" s="2">
        <v>55335</v>
      </c>
      <c r="F2621">
        <v>66</v>
      </c>
      <c r="G2621" s="2">
        <v>419937796</v>
      </c>
      <c r="H2621" s="2">
        <v>4019192</v>
      </c>
      <c r="I2621" s="2">
        <v>2189766597</v>
      </c>
      <c r="J2621">
        <v>52</v>
      </c>
      <c r="L2621">
        <v>0</v>
      </c>
      <c r="M2621" t="str">
        <f t="shared" si="40"/>
        <v>2010-2020</v>
      </c>
    </row>
    <row r="2622" spans="1:13" hidden="1">
      <c r="A2622" t="s">
        <v>3778</v>
      </c>
      <c r="B2622" t="s">
        <v>2736</v>
      </c>
      <c r="C2622" s="1">
        <v>45189</v>
      </c>
      <c r="D2622" s="2">
        <v>126929488</v>
      </c>
      <c r="E2622" s="2">
        <v>23805</v>
      </c>
      <c r="G2622" s="2">
        <v>11445116</v>
      </c>
      <c r="H2622" s="2">
        <v>165135</v>
      </c>
      <c r="I2622" s="2">
        <v>59075543</v>
      </c>
      <c r="J2622">
        <v>24</v>
      </c>
      <c r="K2622">
        <v>7</v>
      </c>
      <c r="L2622">
        <v>0</v>
      </c>
      <c r="M2622" t="str">
        <f t="shared" si="40"/>
        <v>After 2020</v>
      </c>
    </row>
    <row r="2623" spans="1:13" hidden="1">
      <c r="A2623" t="s">
        <v>3779</v>
      </c>
      <c r="B2623" t="s">
        <v>1002</v>
      </c>
      <c r="C2623" s="1">
        <v>44685</v>
      </c>
      <c r="D2623" s="2">
        <v>68235585</v>
      </c>
      <c r="E2623" s="2">
        <v>10765</v>
      </c>
      <c r="F2623">
        <v>59</v>
      </c>
      <c r="G2623" s="2">
        <v>444569952</v>
      </c>
      <c r="H2623" s="2">
        <v>2796117</v>
      </c>
      <c r="I2623" s="2">
        <v>1468789</v>
      </c>
      <c r="J2623">
        <v>1</v>
      </c>
      <c r="L2623">
        <v>0</v>
      </c>
      <c r="M2623" t="str">
        <f t="shared" si="40"/>
        <v>After 2020</v>
      </c>
    </row>
    <row r="2624" spans="1:13">
      <c r="A2624" t="s">
        <v>3780</v>
      </c>
      <c r="B2624" t="s">
        <v>141</v>
      </c>
      <c r="C2624" s="1">
        <v>43875</v>
      </c>
      <c r="D2624" s="2">
        <v>671572185</v>
      </c>
      <c r="E2624" s="2">
        <v>88857</v>
      </c>
      <c r="F2624">
        <v>62</v>
      </c>
      <c r="G2624" s="2">
        <v>417964046</v>
      </c>
      <c r="H2624" s="2">
        <v>2807917</v>
      </c>
      <c r="I2624" s="2">
        <v>26125487</v>
      </c>
      <c r="J2624">
        <v>70</v>
      </c>
      <c r="K2624">
        <v>66</v>
      </c>
      <c r="L2624">
        <v>1</v>
      </c>
      <c r="M2624" t="str">
        <f t="shared" si="40"/>
        <v>2010-2020</v>
      </c>
    </row>
    <row r="2625" spans="1:13">
      <c r="A2625" t="s">
        <v>3781</v>
      </c>
      <c r="B2625" t="s">
        <v>81</v>
      </c>
      <c r="C2625" s="1">
        <v>41640</v>
      </c>
      <c r="D2625" s="2">
        <v>899830382</v>
      </c>
      <c r="E2625" s="2">
        <v>96199</v>
      </c>
      <c r="F2625">
        <v>70</v>
      </c>
      <c r="G2625" s="2">
        <v>1288704058</v>
      </c>
      <c r="H2625" s="2">
        <v>6983846</v>
      </c>
      <c r="I2625" s="2">
        <v>371404445</v>
      </c>
      <c r="J2625">
        <v>123</v>
      </c>
      <c r="K2625">
        <v>204</v>
      </c>
      <c r="L2625">
        <v>0</v>
      </c>
      <c r="M2625" t="str">
        <f t="shared" si="40"/>
        <v>2010-2020</v>
      </c>
    </row>
    <row r="2626" spans="1:13" hidden="1">
      <c r="A2626" t="s">
        <v>3782</v>
      </c>
      <c r="B2626" t="s">
        <v>1741</v>
      </c>
      <c r="C2626" s="1">
        <v>45413</v>
      </c>
      <c r="D2626" s="2">
        <v>41114784</v>
      </c>
      <c r="E2626" s="2">
        <v>2686</v>
      </c>
      <c r="F2626">
        <v>78</v>
      </c>
      <c r="G2626" s="2">
        <v>3726904</v>
      </c>
      <c r="H2626" s="2">
        <v>134081</v>
      </c>
      <c r="J2626">
        <v>41</v>
      </c>
      <c r="K2626">
        <v>4</v>
      </c>
      <c r="L2626">
        <v>0</v>
      </c>
      <c r="M2626" t="str">
        <f t="shared" si="40"/>
        <v>After 2020</v>
      </c>
    </row>
    <row r="2627" spans="1:13">
      <c r="A2627" t="s">
        <v>3783</v>
      </c>
      <c r="B2627" t="s">
        <v>157</v>
      </c>
      <c r="C2627" s="1">
        <v>44162</v>
      </c>
      <c r="D2627" s="2">
        <v>286381494</v>
      </c>
      <c r="E2627" s="2">
        <v>54422</v>
      </c>
      <c r="F2627">
        <v>61</v>
      </c>
      <c r="G2627" s="2">
        <v>445932496</v>
      </c>
      <c r="H2627" s="2">
        <v>5316366</v>
      </c>
      <c r="I2627" s="2">
        <v>1257208158</v>
      </c>
      <c r="J2627">
        <v>37</v>
      </c>
      <c r="K2627">
        <v>52</v>
      </c>
      <c r="L2627">
        <v>0</v>
      </c>
      <c r="M2627" t="str">
        <f t="shared" ref="M2627:M2690" si="41">IF(YEAR(C2627)&lt;2010,"Before 2010",IF(YEAR(C2627)&lt;=2020,"2010-2020","After 2020"))</f>
        <v>2010-2020</v>
      </c>
    </row>
    <row r="2628" spans="1:13" hidden="1">
      <c r="A2628" t="s">
        <v>3784</v>
      </c>
      <c r="B2628" t="s">
        <v>1890</v>
      </c>
      <c r="C2628" s="1">
        <v>45188</v>
      </c>
      <c r="D2628" s="2">
        <v>54763093</v>
      </c>
      <c r="E2628" s="2">
        <v>15316</v>
      </c>
      <c r="G2628" s="2">
        <v>14737929</v>
      </c>
      <c r="H2628" s="2">
        <v>247838</v>
      </c>
      <c r="I2628" s="2">
        <v>72141490</v>
      </c>
      <c r="J2628">
        <v>16</v>
      </c>
      <c r="K2628">
        <v>29</v>
      </c>
      <c r="L2628">
        <v>1</v>
      </c>
      <c r="M2628" t="str">
        <f t="shared" si="41"/>
        <v>After 2020</v>
      </c>
    </row>
    <row r="2629" spans="1:13">
      <c r="A2629" t="s">
        <v>3785</v>
      </c>
      <c r="B2629" t="s">
        <v>1011</v>
      </c>
      <c r="C2629" s="1">
        <v>44442</v>
      </c>
      <c r="D2629" s="2">
        <v>442260324</v>
      </c>
      <c r="E2629" s="2">
        <v>67318</v>
      </c>
      <c r="F2629">
        <v>65</v>
      </c>
      <c r="G2629" s="2">
        <v>83588626</v>
      </c>
      <c r="H2629" s="2">
        <v>799248</v>
      </c>
      <c r="I2629" s="2">
        <v>310298540</v>
      </c>
      <c r="J2629">
        <v>65</v>
      </c>
      <c r="K2629">
        <v>160</v>
      </c>
      <c r="L2629">
        <v>0</v>
      </c>
      <c r="M2629" t="str">
        <f t="shared" si="41"/>
        <v>After 2020</v>
      </c>
    </row>
    <row r="2630" spans="1:13">
      <c r="A2630" t="s">
        <v>3786</v>
      </c>
      <c r="B2630" t="s">
        <v>32</v>
      </c>
      <c r="C2630" s="1">
        <v>44484</v>
      </c>
      <c r="D2630" s="2">
        <v>382177076</v>
      </c>
      <c r="E2630" s="2">
        <v>65369</v>
      </c>
      <c r="F2630">
        <v>66</v>
      </c>
      <c r="G2630" s="2">
        <v>78537068</v>
      </c>
      <c r="H2630" s="2">
        <v>806081</v>
      </c>
      <c r="I2630" s="2">
        <v>629205287</v>
      </c>
      <c r="J2630">
        <v>46</v>
      </c>
      <c r="K2630">
        <v>115</v>
      </c>
      <c r="L2630">
        <v>0</v>
      </c>
      <c r="M2630" t="str">
        <f t="shared" si="41"/>
        <v>After 2020</v>
      </c>
    </row>
    <row r="2631" spans="1:13" hidden="1">
      <c r="A2631" t="s">
        <v>3787</v>
      </c>
      <c r="B2631" t="s">
        <v>3788</v>
      </c>
      <c r="C2631" s="1">
        <v>44058</v>
      </c>
      <c r="D2631" s="2">
        <v>267241905</v>
      </c>
      <c r="E2631" s="2">
        <v>62950</v>
      </c>
      <c r="F2631">
        <v>63</v>
      </c>
      <c r="G2631" s="2">
        <v>515808378</v>
      </c>
      <c r="H2631" s="2">
        <v>2686256</v>
      </c>
      <c r="I2631" s="2">
        <v>12209681</v>
      </c>
      <c r="J2631">
        <v>51</v>
      </c>
      <c r="L2631">
        <v>1</v>
      </c>
      <c r="M2631" t="str">
        <f t="shared" si="41"/>
        <v>2010-2020</v>
      </c>
    </row>
    <row r="2632" spans="1:13">
      <c r="A2632" t="s">
        <v>3789</v>
      </c>
      <c r="B2632" t="s">
        <v>1235</v>
      </c>
      <c r="C2632" s="1">
        <v>43623</v>
      </c>
      <c r="D2632" s="2">
        <v>508463163</v>
      </c>
      <c r="E2632" s="2">
        <v>58919</v>
      </c>
      <c r="F2632">
        <v>65</v>
      </c>
      <c r="G2632" s="2">
        <v>136979542</v>
      </c>
      <c r="H2632" s="2">
        <v>1457926</v>
      </c>
      <c r="I2632" s="2">
        <v>45970559</v>
      </c>
      <c r="J2632">
        <v>66</v>
      </c>
      <c r="K2632">
        <v>362</v>
      </c>
      <c r="L2632">
        <v>0</v>
      </c>
      <c r="M2632" t="str">
        <f t="shared" si="41"/>
        <v>2010-2020</v>
      </c>
    </row>
    <row r="2633" spans="1:13" hidden="1">
      <c r="A2633" t="s">
        <v>3790</v>
      </c>
      <c r="B2633" t="s">
        <v>1286</v>
      </c>
      <c r="C2633" s="1">
        <v>42307</v>
      </c>
      <c r="D2633" s="2">
        <v>1435372572</v>
      </c>
      <c r="E2633" s="2">
        <v>239555</v>
      </c>
      <c r="F2633">
        <v>80</v>
      </c>
      <c r="G2633" s="2">
        <v>450121249</v>
      </c>
      <c r="H2633" s="2">
        <v>5511534</v>
      </c>
      <c r="I2633" s="2">
        <v>1122697302</v>
      </c>
      <c r="J2633">
        <v>47</v>
      </c>
      <c r="L2633">
        <v>0</v>
      </c>
      <c r="M2633" t="str">
        <f t="shared" si="41"/>
        <v>2010-2020</v>
      </c>
    </row>
    <row r="2634" spans="1:13" hidden="1">
      <c r="A2634" t="s">
        <v>3791</v>
      </c>
      <c r="B2634" t="s">
        <v>3792</v>
      </c>
      <c r="C2634" s="1">
        <v>44943</v>
      </c>
      <c r="D2634" s="2">
        <v>143311775</v>
      </c>
      <c r="E2634" s="2">
        <v>42463</v>
      </c>
      <c r="F2634">
        <v>66</v>
      </c>
      <c r="G2634" s="2">
        <v>85239745</v>
      </c>
      <c r="H2634" s="2">
        <v>891585</v>
      </c>
      <c r="I2634" s="2">
        <v>304146444</v>
      </c>
      <c r="J2634">
        <v>29</v>
      </c>
      <c r="L2634">
        <v>0</v>
      </c>
      <c r="M2634" t="str">
        <f t="shared" si="41"/>
        <v>After 2020</v>
      </c>
    </row>
    <row r="2635" spans="1:13" hidden="1">
      <c r="A2635" t="s">
        <v>3793</v>
      </c>
      <c r="B2635" t="s">
        <v>3794</v>
      </c>
      <c r="C2635" s="1">
        <v>45091</v>
      </c>
      <c r="D2635" s="2">
        <v>136169854</v>
      </c>
      <c r="E2635" s="2">
        <v>11506</v>
      </c>
      <c r="F2635">
        <v>63</v>
      </c>
      <c r="G2635" s="2">
        <v>117339013</v>
      </c>
      <c r="H2635" s="2">
        <v>473732</v>
      </c>
      <c r="I2635" s="2">
        <v>567845644</v>
      </c>
      <c r="J2635">
        <v>4</v>
      </c>
      <c r="L2635">
        <v>0</v>
      </c>
      <c r="M2635" t="str">
        <f t="shared" si="41"/>
        <v>After 2020</v>
      </c>
    </row>
    <row r="2636" spans="1:13" hidden="1">
      <c r="A2636" t="s">
        <v>3795</v>
      </c>
      <c r="B2636" t="s">
        <v>502</v>
      </c>
      <c r="C2636" s="1">
        <v>45238</v>
      </c>
      <c r="D2636" s="2">
        <v>83966111</v>
      </c>
      <c r="E2636" s="2">
        <v>12847</v>
      </c>
      <c r="F2636">
        <v>73</v>
      </c>
      <c r="G2636" s="2">
        <v>51878795</v>
      </c>
      <c r="H2636" s="2">
        <v>239672</v>
      </c>
      <c r="I2636" s="2">
        <v>21053</v>
      </c>
      <c r="J2636">
        <v>8</v>
      </c>
      <c r="L2636">
        <v>1</v>
      </c>
      <c r="M2636" t="str">
        <f t="shared" si="41"/>
        <v>After 2020</v>
      </c>
    </row>
    <row r="2637" spans="1:13" hidden="1">
      <c r="A2637" t="s">
        <v>3796</v>
      </c>
      <c r="B2637" t="s">
        <v>330</v>
      </c>
      <c r="C2637" s="1">
        <v>45422</v>
      </c>
      <c r="D2637" s="2">
        <v>14234598</v>
      </c>
      <c r="E2637" s="2">
        <v>1591</v>
      </c>
      <c r="G2637" s="2">
        <v>6333352</v>
      </c>
      <c r="H2637" s="2">
        <v>231932</v>
      </c>
      <c r="J2637">
        <v>31</v>
      </c>
      <c r="K2637">
        <v>22</v>
      </c>
      <c r="L2637">
        <v>1</v>
      </c>
      <c r="M2637" t="str">
        <f t="shared" si="41"/>
        <v>After 2020</v>
      </c>
    </row>
    <row r="2638" spans="1:13">
      <c r="A2638" t="s">
        <v>3797</v>
      </c>
      <c r="B2638" t="s">
        <v>631</v>
      </c>
      <c r="C2638" s="1">
        <v>42902</v>
      </c>
      <c r="D2638" s="2">
        <v>1120187276</v>
      </c>
      <c r="E2638" s="2">
        <v>153725</v>
      </c>
      <c r="F2638">
        <v>70</v>
      </c>
      <c r="G2638" s="2">
        <v>80920611</v>
      </c>
      <c r="H2638" s="2">
        <v>707090</v>
      </c>
      <c r="I2638" s="2">
        <v>2745676769</v>
      </c>
      <c r="J2638">
        <v>236</v>
      </c>
      <c r="K2638">
        <v>2</v>
      </c>
      <c r="L2638">
        <v>1</v>
      </c>
      <c r="M2638" t="str">
        <f t="shared" si="41"/>
        <v>2010-2020</v>
      </c>
    </row>
    <row r="2639" spans="1:13" hidden="1">
      <c r="A2639" t="s">
        <v>3798</v>
      </c>
      <c r="B2639" t="s">
        <v>3799</v>
      </c>
      <c r="C2639" s="1">
        <v>43607</v>
      </c>
      <c r="D2639" s="2">
        <v>532262</v>
      </c>
      <c r="E2639">
        <v>481</v>
      </c>
      <c r="F2639">
        <v>13</v>
      </c>
      <c r="I2639" s="2">
        <v>2218181933</v>
      </c>
      <c r="L2639">
        <v>0</v>
      </c>
      <c r="M2639" t="str">
        <f t="shared" si="41"/>
        <v>2010-2020</v>
      </c>
    </row>
    <row r="2640" spans="1:13" hidden="1">
      <c r="A2640" t="s">
        <v>3800</v>
      </c>
      <c r="B2640" t="s">
        <v>2736</v>
      </c>
      <c r="C2640" s="1">
        <v>44694</v>
      </c>
      <c r="D2640" s="2">
        <v>141141890</v>
      </c>
      <c r="E2640" s="2">
        <v>32658</v>
      </c>
      <c r="F2640">
        <v>67</v>
      </c>
      <c r="G2640" s="2">
        <v>26048435</v>
      </c>
      <c r="H2640" s="2">
        <v>224730</v>
      </c>
      <c r="I2640" s="2">
        <v>8556410580</v>
      </c>
      <c r="J2640">
        <v>20</v>
      </c>
      <c r="L2640">
        <v>0</v>
      </c>
      <c r="M2640" t="str">
        <f t="shared" si="41"/>
        <v>After 2020</v>
      </c>
    </row>
    <row r="2641" spans="1:13" hidden="1">
      <c r="A2641" t="s">
        <v>3801</v>
      </c>
      <c r="B2641" t="s">
        <v>853</v>
      </c>
      <c r="C2641" s="1">
        <v>44329</v>
      </c>
      <c r="D2641" s="2">
        <v>224820131</v>
      </c>
      <c r="E2641" s="2">
        <v>81921</v>
      </c>
      <c r="G2641" s="2">
        <v>49154791</v>
      </c>
      <c r="H2641" s="2">
        <v>830423</v>
      </c>
      <c r="I2641" s="2">
        <v>1272691476</v>
      </c>
      <c r="J2641">
        <v>66</v>
      </c>
      <c r="L2641">
        <v>1</v>
      </c>
      <c r="M2641" t="str">
        <f t="shared" si="41"/>
        <v>After 2020</v>
      </c>
    </row>
    <row r="2642" spans="1:13" hidden="1">
      <c r="A2642" t="s">
        <v>3802</v>
      </c>
      <c r="B2642" t="s">
        <v>1006</v>
      </c>
      <c r="C2642" s="1">
        <v>44095</v>
      </c>
      <c r="D2642" s="2">
        <v>410639967</v>
      </c>
      <c r="E2642" s="2">
        <v>33664</v>
      </c>
      <c r="F2642">
        <v>69</v>
      </c>
      <c r="G2642" s="2">
        <v>619113386</v>
      </c>
      <c r="H2642" s="2">
        <v>7584160</v>
      </c>
      <c r="I2642" s="2">
        <v>61728216</v>
      </c>
      <c r="J2642">
        <v>9</v>
      </c>
      <c r="L2642">
        <v>0</v>
      </c>
      <c r="M2642" t="str">
        <f t="shared" si="41"/>
        <v>2010-2020</v>
      </c>
    </row>
    <row r="2643" spans="1:13" hidden="1">
      <c r="A2643" t="s">
        <v>3803</v>
      </c>
      <c r="B2643" t="s">
        <v>53</v>
      </c>
      <c r="C2643" s="1">
        <v>45394</v>
      </c>
      <c r="D2643" s="2">
        <v>22715763</v>
      </c>
      <c r="E2643" s="2">
        <v>6606</v>
      </c>
      <c r="G2643" s="2">
        <v>3791463</v>
      </c>
      <c r="H2643" s="2">
        <v>74013</v>
      </c>
      <c r="J2643">
        <v>4</v>
      </c>
      <c r="L2643">
        <v>1</v>
      </c>
      <c r="M2643" t="str">
        <f t="shared" si="41"/>
        <v>After 2020</v>
      </c>
    </row>
    <row r="2644" spans="1:13">
      <c r="A2644" t="s">
        <v>3804</v>
      </c>
      <c r="B2644" t="s">
        <v>1109</v>
      </c>
      <c r="C2644" s="1">
        <v>38616</v>
      </c>
      <c r="D2644" s="2">
        <v>2102223775</v>
      </c>
      <c r="E2644" s="2">
        <v>335772</v>
      </c>
      <c r="F2644">
        <v>80</v>
      </c>
      <c r="G2644" s="2">
        <v>1412127488</v>
      </c>
      <c r="H2644" s="2">
        <v>8707376</v>
      </c>
      <c r="I2644" s="2">
        <v>2264301241</v>
      </c>
      <c r="J2644">
        <v>93</v>
      </c>
      <c r="K2644">
        <v>208</v>
      </c>
      <c r="L2644">
        <v>0</v>
      </c>
      <c r="M2644" t="str">
        <f t="shared" si="41"/>
        <v>Before 2010</v>
      </c>
    </row>
    <row r="2645" spans="1:13" hidden="1">
      <c r="A2645" t="s">
        <v>3805</v>
      </c>
      <c r="B2645" t="s">
        <v>233</v>
      </c>
      <c r="C2645" s="1">
        <v>45436</v>
      </c>
      <c r="D2645" s="2">
        <v>15062636</v>
      </c>
      <c r="E2645" s="2">
        <v>1446</v>
      </c>
      <c r="F2645">
        <v>75</v>
      </c>
      <c r="G2645" s="2">
        <v>4507011</v>
      </c>
      <c r="H2645" s="2">
        <v>112133</v>
      </c>
      <c r="I2645" s="2">
        <v>6372350</v>
      </c>
      <c r="J2645">
        <v>40</v>
      </c>
      <c r="L2645">
        <v>0</v>
      </c>
      <c r="M2645" t="str">
        <f t="shared" si="41"/>
        <v>After 2020</v>
      </c>
    </row>
    <row r="2646" spans="1:13">
      <c r="A2646" t="s">
        <v>3806</v>
      </c>
      <c r="B2646" t="s">
        <v>3807</v>
      </c>
      <c r="C2646" s="1">
        <v>43552</v>
      </c>
      <c r="D2646" s="2">
        <v>550967367</v>
      </c>
      <c r="E2646" s="2">
        <v>65928</v>
      </c>
      <c r="F2646">
        <v>64</v>
      </c>
      <c r="G2646" s="2">
        <v>728468384</v>
      </c>
      <c r="H2646" s="2">
        <v>3473098</v>
      </c>
      <c r="I2646" s="2">
        <v>20847094</v>
      </c>
      <c r="J2646">
        <v>35</v>
      </c>
      <c r="K2646">
        <v>17</v>
      </c>
      <c r="L2646">
        <v>0</v>
      </c>
      <c r="M2646" t="str">
        <f t="shared" si="41"/>
        <v>2010-2020</v>
      </c>
    </row>
    <row r="2647" spans="1:13">
      <c r="A2647" t="s">
        <v>3808</v>
      </c>
      <c r="B2647" t="s">
        <v>3809</v>
      </c>
      <c r="C2647" s="1">
        <v>42602</v>
      </c>
      <c r="D2647" s="2">
        <v>1299650856</v>
      </c>
      <c r="E2647" s="2">
        <v>228950</v>
      </c>
      <c r="F2647">
        <v>83</v>
      </c>
      <c r="G2647" s="2">
        <v>158016588</v>
      </c>
      <c r="H2647" s="2">
        <v>1286636</v>
      </c>
      <c r="I2647" s="2">
        <v>442090971</v>
      </c>
      <c r="J2647">
        <v>163</v>
      </c>
      <c r="K2647">
        <v>221</v>
      </c>
      <c r="L2647">
        <v>0</v>
      </c>
      <c r="M2647" t="str">
        <f t="shared" si="41"/>
        <v>2010-2020</v>
      </c>
    </row>
    <row r="2648" spans="1:13">
      <c r="A2648" t="s">
        <v>3810</v>
      </c>
      <c r="B2648" t="s">
        <v>260</v>
      </c>
      <c r="C2648" s="1">
        <v>44989</v>
      </c>
      <c r="D2648" s="2">
        <v>79738242</v>
      </c>
      <c r="E2648" s="2">
        <v>12390</v>
      </c>
      <c r="F2648">
        <v>57</v>
      </c>
      <c r="G2648" s="2">
        <v>51124809</v>
      </c>
      <c r="H2648" s="2">
        <v>845191</v>
      </c>
      <c r="I2648" s="2">
        <v>2678819017</v>
      </c>
      <c r="J2648">
        <v>15</v>
      </c>
      <c r="K2648" s="2">
        <v>1088</v>
      </c>
      <c r="L2648">
        <v>1</v>
      </c>
      <c r="M2648" t="str">
        <f t="shared" si="41"/>
        <v>After 2020</v>
      </c>
    </row>
    <row r="2649" spans="1:13" hidden="1">
      <c r="A2649" t="s">
        <v>3811</v>
      </c>
      <c r="B2649" t="s">
        <v>3812</v>
      </c>
      <c r="C2649" s="1">
        <v>45184</v>
      </c>
      <c r="D2649" s="2">
        <v>88014813</v>
      </c>
      <c r="E2649" s="2">
        <v>16418</v>
      </c>
      <c r="F2649">
        <v>66</v>
      </c>
      <c r="G2649" s="2">
        <v>53097639</v>
      </c>
      <c r="H2649" s="2">
        <v>393538</v>
      </c>
      <c r="I2649" s="2">
        <v>26517142</v>
      </c>
      <c r="J2649">
        <v>10</v>
      </c>
      <c r="L2649">
        <v>1</v>
      </c>
      <c r="M2649" t="str">
        <f t="shared" si="41"/>
        <v>After 2020</v>
      </c>
    </row>
    <row r="2650" spans="1:13">
      <c r="A2650" t="s">
        <v>3813</v>
      </c>
      <c r="B2650" t="s">
        <v>3814</v>
      </c>
      <c r="C2650" s="1">
        <v>42237</v>
      </c>
      <c r="D2650" s="2">
        <v>1099069598</v>
      </c>
      <c r="E2650" s="2">
        <v>261122</v>
      </c>
      <c r="F2650">
        <v>73</v>
      </c>
      <c r="G2650" s="2">
        <v>127534602</v>
      </c>
      <c r="H2650" s="2">
        <v>1660824</v>
      </c>
      <c r="I2650" s="2">
        <v>2588157478</v>
      </c>
      <c r="J2650">
        <v>88</v>
      </c>
      <c r="K2650">
        <v>9</v>
      </c>
      <c r="L2650">
        <v>0</v>
      </c>
      <c r="M2650" t="str">
        <f t="shared" si="41"/>
        <v>2010-2020</v>
      </c>
    </row>
    <row r="2651" spans="1:13" hidden="1">
      <c r="A2651" t="s">
        <v>3815</v>
      </c>
      <c r="B2651" t="s">
        <v>3816</v>
      </c>
      <c r="C2651" s="1">
        <v>45406</v>
      </c>
      <c r="D2651" s="2">
        <v>16446111</v>
      </c>
      <c r="E2651" s="2">
        <v>1966</v>
      </c>
      <c r="F2651">
        <v>65</v>
      </c>
      <c r="G2651" s="2">
        <v>5578963</v>
      </c>
      <c r="H2651" s="2">
        <v>138920</v>
      </c>
      <c r="J2651">
        <v>33</v>
      </c>
      <c r="K2651">
        <v>29</v>
      </c>
      <c r="L2651">
        <v>1</v>
      </c>
      <c r="M2651" t="str">
        <f t="shared" si="41"/>
        <v>After 2020</v>
      </c>
    </row>
    <row r="2652" spans="1:13" hidden="1">
      <c r="A2652" t="s">
        <v>3817</v>
      </c>
      <c r="B2652" t="s">
        <v>3818</v>
      </c>
      <c r="C2652" s="1">
        <v>41478</v>
      </c>
      <c r="E2652" s="2">
        <v>1472</v>
      </c>
      <c r="G2652" s="2">
        <v>2541095833</v>
      </c>
      <c r="H2652" s="2">
        <v>12472238</v>
      </c>
      <c r="L2652">
        <v>0</v>
      </c>
      <c r="M2652" t="str">
        <f t="shared" si="41"/>
        <v>2010-2020</v>
      </c>
    </row>
    <row r="2653" spans="1:13">
      <c r="A2653" t="s">
        <v>3819</v>
      </c>
      <c r="B2653" t="s">
        <v>3820</v>
      </c>
      <c r="C2653" s="1">
        <v>42370</v>
      </c>
      <c r="D2653" s="2">
        <v>843861768</v>
      </c>
      <c r="E2653" s="2">
        <v>155472</v>
      </c>
      <c r="F2653">
        <v>70</v>
      </c>
      <c r="G2653" s="2">
        <v>278120145</v>
      </c>
      <c r="H2653" s="2">
        <v>2625552</v>
      </c>
      <c r="I2653" s="2">
        <v>16756000</v>
      </c>
      <c r="J2653">
        <v>30</v>
      </c>
      <c r="K2653">
        <v>49</v>
      </c>
      <c r="L2653">
        <v>1</v>
      </c>
      <c r="M2653" t="str">
        <f t="shared" si="41"/>
        <v>2010-2020</v>
      </c>
    </row>
    <row r="2654" spans="1:13">
      <c r="A2654" t="s">
        <v>3821</v>
      </c>
      <c r="B2654" t="s">
        <v>631</v>
      </c>
      <c r="C2654" s="1">
        <v>42629</v>
      </c>
      <c r="D2654" s="2">
        <v>1014534913</v>
      </c>
      <c r="E2654" s="2">
        <v>132592</v>
      </c>
      <c r="F2654">
        <v>73</v>
      </c>
      <c r="G2654" s="2">
        <v>615907345</v>
      </c>
      <c r="H2654" s="2">
        <v>3461084</v>
      </c>
      <c r="I2654" s="2">
        <v>56011096</v>
      </c>
      <c r="J2654">
        <v>146</v>
      </c>
      <c r="K2654">
        <v>10</v>
      </c>
      <c r="L2654">
        <v>0</v>
      </c>
      <c r="M2654" t="str">
        <f t="shared" si="41"/>
        <v>2010-2020</v>
      </c>
    </row>
    <row r="2655" spans="1:13" hidden="1">
      <c r="A2655" t="s">
        <v>3822</v>
      </c>
      <c r="B2655" t="s">
        <v>2134</v>
      </c>
      <c r="C2655" s="1">
        <v>44728</v>
      </c>
      <c r="D2655" s="2">
        <v>181323700</v>
      </c>
      <c r="E2655" s="2">
        <v>71547</v>
      </c>
      <c r="F2655">
        <v>65</v>
      </c>
      <c r="G2655" s="2">
        <v>17510125</v>
      </c>
      <c r="H2655" s="2">
        <v>116193</v>
      </c>
      <c r="I2655" s="2">
        <v>160730392</v>
      </c>
      <c r="J2655">
        <v>23</v>
      </c>
      <c r="L2655">
        <v>0</v>
      </c>
      <c r="M2655" t="str">
        <f t="shared" si="41"/>
        <v>After 2020</v>
      </c>
    </row>
    <row r="2656" spans="1:13" hidden="1">
      <c r="A2656" t="s">
        <v>3823</v>
      </c>
      <c r="B2656" t="s">
        <v>3824</v>
      </c>
      <c r="C2656" s="1">
        <v>44701</v>
      </c>
      <c r="G2656" s="2">
        <v>511029390</v>
      </c>
      <c r="H2656" s="2">
        <v>1611310</v>
      </c>
      <c r="L2656">
        <v>0</v>
      </c>
      <c r="M2656" t="str">
        <f t="shared" si="41"/>
        <v>After 2020</v>
      </c>
    </row>
    <row r="2657" spans="1:13" hidden="1">
      <c r="A2657" t="s">
        <v>3825</v>
      </c>
      <c r="B2657" t="s">
        <v>997</v>
      </c>
      <c r="C2657" s="1">
        <v>45312</v>
      </c>
      <c r="D2657" s="2">
        <v>58909647</v>
      </c>
      <c r="E2657" s="2">
        <v>3850</v>
      </c>
      <c r="G2657" s="2">
        <v>65760732</v>
      </c>
      <c r="H2657" s="2">
        <v>1341331</v>
      </c>
      <c r="J2657">
        <v>3</v>
      </c>
      <c r="L2657">
        <v>0</v>
      </c>
      <c r="M2657" t="str">
        <f t="shared" si="41"/>
        <v>After 2020</v>
      </c>
    </row>
    <row r="2658" spans="1:13">
      <c r="A2658" t="s">
        <v>3826</v>
      </c>
      <c r="B2658" t="s">
        <v>28</v>
      </c>
      <c r="C2658" s="1">
        <v>37402</v>
      </c>
      <c r="D2658" s="2">
        <v>1958809069</v>
      </c>
      <c r="E2658" s="2">
        <v>282888</v>
      </c>
      <c r="F2658">
        <v>79</v>
      </c>
      <c r="G2658" s="2">
        <v>1463549979</v>
      </c>
      <c r="H2658" s="2">
        <v>10918289</v>
      </c>
      <c r="I2658" s="2">
        <v>54356279</v>
      </c>
      <c r="J2658">
        <v>83</v>
      </c>
      <c r="K2658">
        <v>25</v>
      </c>
      <c r="L2658">
        <v>1</v>
      </c>
      <c r="M2658" t="str">
        <f t="shared" si="41"/>
        <v>Before 2010</v>
      </c>
    </row>
    <row r="2659" spans="1:13">
      <c r="A2659" t="s">
        <v>3827</v>
      </c>
      <c r="B2659" t="s">
        <v>3828</v>
      </c>
      <c r="C2659" s="1">
        <v>40427</v>
      </c>
      <c r="D2659" s="2">
        <v>662257934</v>
      </c>
      <c r="E2659" s="2">
        <v>113043</v>
      </c>
      <c r="F2659">
        <v>71</v>
      </c>
      <c r="G2659" s="2">
        <v>464462597</v>
      </c>
      <c r="H2659" s="2">
        <v>3215886</v>
      </c>
      <c r="I2659" s="2">
        <v>1511650572</v>
      </c>
      <c r="J2659">
        <v>58</v>
      </c>
      <c r="K2659">
        <v>20</v>
      </c>
      <c r="L2659">
        <v>1</v>
      </c>
      <c r="M2659" t="str">
        <f t="shared" si="41"/>
        <v>2010-2020</v>
      </c>
    </row>
    <row r="2660" spans="1:13" hidden="1">
      <c r="A2660" t="s">
        <v>3829</v>
      </c>
      <c r="B2660" t="s">
        <v>295</v>
      </c>
      <c r="C2660" s="1">
        <v>44869</v>
      </c>
      <c r="D2660" s="2">
        <v>126296463</v>
      </c>
      <c r="E2660" s="2">
        <v>44782</v>
      </c>
      <c r="F2660">
        <v>62</v>
      </c>
      <c r="G2660" s="2">
        <v>37702345</v>
      </c>
      <c r="H2660" s="2">
        <v>528716</v>
      </c>
      <c r="I2660" s="2">
        <v>70817893</v>
      </c>
      <c r="J2660">
        <v>22</v>
      </c>
      <c r="L2660">
        <v>1</v>
      </c>
      <c r="M2660" t="str">
        <f t="shared" si="41"/>
        <v>After 2020</v>
      </c>
    </row>
    <row r="2661" spans="1:13" hidden="1">
      <c r="A2661" t="s">
        <v>3830</v>
      </c>
      <c r="B2661" t="s">
        <v>281</v>
      </c>
      <c r="C2661" s="1">
        <v>44112</v>
      </c>
      <c r="D2661" s="2">
        <v>560949285</v>
      </c>
      <c r="E2661" s="2">
        <v>80872</v>
      </c>
      <c r="F2661">
        <v>64</v>
      </c>
      <c r="G2661" s="2">
        <v>298415218</v>
      </c>
      <c r="H2661" s="2">
        <v>1583803</v>
      </c>
      <c r="I2661" s="2">
        <v>576560432</v>
      </c>
      <c r="J2661">
        <v>124</v>
      </c>
      <c r="L2661">
        <v>0</v>
      </c>
      <c r="M2661" t="str">
        <f t="shared" si="41"/>
        <v>2010-2020</v>
      </c>
    </row>
    <row r="2662" spans="1:13">
      <c r="A2662" t="s">
        <v>3831</v>
      </c>
      <c r="B2662" t="s">
        <v>1368</v>
      </c>
      <c r="C2662" s="1">
        <v>43630</v>
      </c>
      <c r="D2662" s="2">
        <v>346860422</v>
      </c>
      <c r="E2662" s="2">
        <v>29735</v>
      </c>
      <c r="F2662">
        <v>65</v>
      </c>
      <c r="G2662" s="2">
        <v>888138257</v>
      </c>
      <c r="H2662" s="2">
        <v>2432863</v>
      </c>
      <c r="I2662" s="2">
        <v>73588039</v>
      </c>
      <c r="J2662">
        <v>32</v>
      </c>
      <c r="K2662">
        <v>47</v>
      </c>
      <c r="L2662">
        <v>0</v>
      </c>
      <c r="M2662" t="str">
        <f t="shared" si="41"/>
        <v>2010-2020</v>
      </c>
    </row>
    <row r="2663" spans="1:13" hidden="1">
      <c r="A2663" t="s">
        <v>3832</v>
      </c>
      <c r="B2663" t="s">
        <v>352</v>
      </c>
      <c r="C2663" s="1">
        <v>45245</v>
      </c>
      <c r="D2663" s="2">
        <v>95747052</v>
      </c>
      <c r="E2663" s="2">
        <v>18521</v>
      </c>
      <c r="G2663" s="2">
        <v>13990236</v>
      </c>
      <c r="H2663" s="2">
        <v>198993</v>
      </c>
      <c r="I2663" s="2">
        <v>9054387</v>
      </c>
      <c r="J2663">
        <v>29</v>
      </c>
      <c r="L2663">
        <v>0</v>
      </c>
      <c r="M2663" t="str">
        <f t="shared" si="41"/>
        <v>After 2020</v>
      </c>
    </row>
    <row r="2664" spans="1:13">
      <c r="A2664" t="s">
        <v>3833</v>
      </c>
      <c r="B2664" t="s">
        <v>637</v>
      </c>
      <c r="C2664" s="1">
        <v>45047</v>
      </c>
      <c r="D2664" s="2">
        <v>223652808</v>
      </c>
      <c r="E2664" s="2">
        <v>18262</v>
      </c>
      <c r="F2664">
        <v>70</v>
      </c>
      <c r="G2664" s="2">
        <v>129099788</v>
      </c>
      <c r="H2664" s="2">
        <v>2078161</v>
      </c>
      <c r="I2664" s="2">
        <v>705088821</v>
      </c>
      <c r="J2664">
        <v>29</v>
      </c>
      <c r="K2664">
        <v>32</v>
      </c>
      <c r="L2664">
        <v>0</v>
      </c>
      <c r="M2664" t="str">
        <f t="shared" si="41"/>
        <v>After 2020</v>
      </c>
    </row>
    <row r="2665" spans="1:13" hidden="1">
      <c r="A2665" t="s">
        <v>3834</v>
      </c>
      <c r="B2665" t="s">
        <v>3835</v>
      </c>
      <c r="C2665" s="1">
        <v>45000</v>
      </c>
      <c r="D2665" s="2">
        <v>478756</v>
      </c>
      <c r="E2665">
        <v>207</v>
      </c>
      <c r="F2665">
        <v>21</v>
      </c>
      <c r="G2665" s="2">
        <v>5028021</v>
      </c>
      <c r="H2665" s="2">
        <v>4866</v>
      </c>
      <c r="I2665" s="2">
        <v>193347455</v>
      </c>
      <c r="L2665">
        <v>0</v>
      </c>
      <c r="M2665" t="str">
        <f t="shared" si="41"/>
        <v>After 2020</v>
      </c>
    </row>
    <row r="2666" spans="1:13" hidden="1">
      <c r="A2666" t="s">
        <v>3836</v>
      </c>
      <c r="B2666" t="s">
        <v>3837</v>
      </c>
      <c r="C2666" s="1">
        <v>45427</v>
      </c>
      <c r="D2666" s="2">
        <v>15352061</v>
      </c>
      <c r="E2666">
        <v>639</v>
      </c>
      <c r="F2666">
        <v>72</v>
      </c>
      <c r="G2666" s="2">
        <v>11854252</v>
      </c>
      <c r="H2666" s="2">
        <v>76636</v>
      </c>
      <c r="J2666">
        <v>12</v>
      </c>
      <c r="L2666">
        <v>0</v>
      </c>
      <c r="M2666" t="str">
        <f t="shared" si="41"/>
        <v>After 2020</v>
      </c>
    </row>
    <row r="2667" spans="1:13" hidden="1">
      <c r="A2667" t="s">
        <v>3838</v>
      </c>
      <c r="B2667" t="s">
        <v>3839</v>
      </c>
      <c r="C2667" s="1">
        <v>40358</v>
      </c>
      <c r="D2667" s="2">
        <v>5283089</v>
      </c>
      <c r="E2667">
        <v>920</v>
      </c>
      <c r="F2667">
        <v>30</v>
      </c>
      <c r="G2667" s="2">
        <v>7187358</v>
      </c>
      <c r="H2667" s="2">
        <v>56665</v>
      </c>
      <c r="I2667" s="2">
        <v>482153</v>
      </c>
      <c r="J2667">
        <v>2</v>
      </c>
      <c r="L2667">
        <v>0</v>
      </c>
      <c r="M2667" t="str">
        <f t="shared" si="41"/>
        <v>2010-2020</v>
      </c>
    </row>
    <row r="2668" spans="1:13">
      <c r="A2668" t="s">
        <v>3840</v>
      </c>
      <c r="B2668" t="s">
        <v>332</v>
      </c>
      <c r="C2668" s="1">
        <v>43812</v>
      </c>
      <c r="D2668" s="2">
        <v>396184710</v>
      </c>
      <c r="E2668" s="2">
        <v>62515</v>
      </c>
      <c r="F2668">
        <v>65</v>
      </c>
      <c r="G2668" s="2">
        <v>656159660</v>
      </c>
      <c r="H2668" s="2">
        <v>2808401</v>
      </c>
      <c r="I2668" s="2">
        <v>1796651</v>
      </c>
      <c r="J2668">
        <v>43</v>
      </c>
      <c r="K2668">
        <v>9</v>
      </c>
      <c r="L2668">
        <v>0</v>
      </c>
      <c r="M2668" t="str">
        <f t="shared" si="41"/>
        <v>2010-2020</v>
      </c>
    </row>
    <row r="2669" spans="1:13">
      <c r="A2669" t="s">
        <v>3841</v>
      </c>
      <c r="B2669" t="s">
        <v>99</v>
      </c>
      <c r="C2669" s="1">
        <v>44568</v>
      </c>
      <c r="D2669" s="2">
        <v>307122295</v>
      </c>
      <c r="E2669" s="2">
        <v>91786</v>
      </c>
      <c r="F2669">
        <v>69</v>
      </c>
      <c r="G2669" s="2">
        <v>31666337</v>
      </c>
      <c r="H2669" s="2">
        <v>395808</v>
      </c>
      <c r="I2669" s="2">
        <v>327835388</v>
      </c>
      <c r="J2669">
        <v>19</v>
      </c>
      <c r="K2669">
        <v>154</v>
      </c>
      <c r="L2669">
        <v>1</v>
      </c>
      <c r="M2669" t="str">
        <f t="shared" si="41"/>
        <v>After 2020</v>
      </c>
    </row>
    <row r="2670" spans="1:13">
      <c r="A2670" t="s">
        <v>3842</v>
      </c>
      <c r="B2670" t="s">
        <v>61</v>
      </c>
      <c r="C2670" s="1">
        <v>45114</v>
      </c>
      <c r="D2670" s="2">
        <v>247056218</v>
      </c>
      <c r="E2670" s="2">
        <v>19231</v>
      </c>
      <c r="F2670">
        <v>69</v>
      </c>
      <c r="G2670" s="2">
        <v>41065721</v>
      </c>
      <c r="H2670" s="2">
        <v>1260603</v>
      </c>
      <c r="I2670" s="2">
        <v>386594049</v>
      </c>
      <c r="J2670">
        <v>30</v>
      </c>
      <c r="K2670">
        <v>3</v>
      </c>
      <c r="L2670">
        <v>0</v>
      </c>
      <c r="M2670" t="str">
        <f t="shared" si="41"/>
        <v>After 2020</v>
      </c>
    </row>
    <row r="2671" spans="1:13" hidden="1">
      <c r="A2671" t="s">
        <v>3843</v>
      </c>
      <c r="B2671" t="s">
        <v>3844</v>
      </c>
      <c r="C2671" s="1">
        <v>41591</v>
      </c>
      <c r="D2671" s="2">
        <v>410783411</v>
      </c>
      <c r="E2671" s="2">
        <v>84509</v>
      </c>
      <c r="F2671">
        <v>72</v>
      </c>
      <c r="G2671" s="2">
        <v>1717040143</v>
      </c>
      <c r="H2671" s="2">
        <v>17082350</v>
      </c>
      <c r="I2671" s="2">
        <v>1251931456</v>
      </c>
      <c r="J2671">
        <v>18</v>
      </c>
      <c r="L2671">
        <v>0</v>
      </c>
      <c r="M2671" t="str">
        <f t="shared" si="41"/>
        <v>2010-2020</v>
      </c>
    </row>
    <row r="2672" spans="1:13" hidden="1">
      <c r="A2672" t="s">
        <v>3845</v>
      </c>
      <c r="B2672" t="s">
        <v>203</v>
      </c>
      <c r="C2672" s="1">
        <v>45177</v>
      </c>
      <c r="D2672" s="2">
        <v>47098121</v>
      </c>
      <c r="E2672" s="2">
        <v>16949</v>
      </c>
      <c r="J2672">
        <v>4</v>
      </c>
      <c r="L2672">
        <v>1</v>
      </c>
      <c r="M2672" t="str">
        <f t="shared" si="41"/>
        <v>After 2020</v>
      </c>
    </row>
    <row r="2673" spans="1:13" hidden="1">
      <c r="A2673" t="s">
        <v>3846</v>
      </c>
      <c r="B2673" t="s">
        <v>3847</v>
      </c>
      <c r="C2673" s="1">
        <v>44797</v>
      </c>
      <c r="D2673" s="2">
        <v>67852</v>
      </c>
      <c r="E2673">
        <v>531</v>
      </c>
      <c r="F2673">
        <v>10</v>
      </c>
      <c r="G2673" s="2">
        <v>421207701</v>
      </c>
      <c r="H2673" s="2">
        <v>529059</v>
      </c>
      <c r="J2673">
        <v>1</v>
      </c>
      <c r="L2673">
        <v>0</v>
      </c>
      <c r="M2673" t="str">
        <f t="shared" si="41"/>
        <v>After 2020</v>
      </c>
    </row>
    <row r="2674" spans="1:13">
      <c r="A2674" t="s">
        <v>3848</v>
      </c>
      <c r="B2674" t="s">
        <v>3849</v>
      </c>
      <c r="C2674" s="1">
        <v>41975</v>
      </c>
      <c r="D2674" s="2">
        <v>897794289</v>
      </c>
      <c r="E2674" s="2">
        <v>92326</v>
      </c>
      <c r="F2674">
        <v>69</v>
      </c>
      <c r="G2674" s="2">
        <v>101998780</v>
      </c>
      <c r="H2674" s="2">
        <v>1084274</v>
      </c>
      <c r="I2674" s="2">
        <v>1021462418</v>
      </c>
      <c r="J2674">
        <v>2</v>
      </c>
      <c r="K2674">
        <v>507</v>
      </c>
      <c r="L2674">
        <v>0</v>
      </c>
      <c r="M2674" t="str">
        <f t="shared" si="41"/>
        <v>2010-2020</v>
      </c>
    </row>
    <row r="2675" spans="1:13" hidden="1">
      <c r="A2675" t="s">
        <v>172</v>
      </c>
      <c r="B2675" t="s">
        <v>173</v>
      </c>
      <c r="C2675" s="1">
        <v>44793</v>
      </c>
      <c r="D2675" s="2">
        <v>1490710634</v>
      </c>
      <c r="E2675">
        <v>11</v>
      </c>
      <c r="J2675">
        <v>1</v>
      </c>
      <c r="L2675">
        <v>0</v>
      </c>
      <c r="M2675" t="str">
        <f t="shared" si="41"/>
        <v>After 2020</v>
      </c>
    </row>
    <row r="2676" spans="1:13" hidden="1">
      <c r="A2676" t="s">
        <v>3702</v>
      </c>
      <c r="B2676" t="s">
        <v>592</v>
      </c>
      <c r="C2676" s="1">
        <v>44898</v>
      </c>
      <c r="D2676" s="2">
        <v>3451208</v>
      </c>
      <c r="E2676">
        <v>248</v>
      </c>
      <c r="F2676">
        <v>37</v>
      </c>
      <c r="G2676" s="2">
        <v>10165956</v>
      </c>
      <c r="H2676" s="2">
        <v>42703</v>
      </c>
      <c r="I2676" s="2">
        <v>319066421</v>
      </c>
      <c r="L2676">
        <v>0</v>
      </c>
      <c r="M2676" t="str">
        <f t="shared" si="41"/>
        <v>After 2020</v>
      </c>
    </row>
    <row r="2677" spans="1:13">
      <c r="A2677" t="s">
        <v>3850</v>
      </c>
      <c r="B2677" t="s">
        <v>123</v>
      </c>
      <c r="C2677" s="1">
        <v>43657</v>
      </c>
      <c r="D2677" s="2">
        <v>765374782</v>
      </c>
      <c r="E2677" s="2">
        <v>69032</v>
      </c>
      <c r="F2677">
        <v>67</v>
      </c>
      <c r="G2677" s="2">
        <v>419150011</v>
      </c>
      <c r="H2677" s="2">
        <v>3838603</v>
      </c>
      <c r="I2677" s="2">
        <v>43199667</v>
      </c>
      <c r="J2677">
        <v>109</v>
      </c>
      <c r="K2677">
        <v>43</v>
      </c>
      <c r="L2677">
        <v>0</v>
      </c>
      <c r="M2677" t="str">
        <f t="shared" si="41"/>
        <v>2010-2020</v>
      </c>
    </row>
    <row r="2678" spans="1:13">
      <c r="A2678" t="s">
        <v>3851</v>
      </c>
      <c r="B2678" t="s">
        <v>3325</v>
      </c>
      <c r="C2678" s="1">
        <v>43294</v>
      </c>
      <c r="D2678" s="2">
        <v>523954769</v>
      </c>
      <c r="E2678" s="2">
        <v>213614</v>
      </c>
      <c r="F2678">
        <v>67</v>
      </c>
      <c r="G2678" s="2">
        <v>96992359</v>
      </c>
      <c r="H2678" s="2">
        <v>915175</v>
      </c>
      <c r="I2678" s="2">
        <v>313069043</v>
      </c>
      <c r="J2678">
        <v>102</v>
      </c>
      <c r="K2678">
        <v>100</v>
      </c>
      <c r="L2678">
        <v>0</v>
      </c>
      <c r="M2678" t="str">
        <f t="shared" si="41"/>
        <v>2010-2020</v>
      </c>
    </row>
    <row r="2679" spans="1:13">
      <c r="A2679" t="s">
        <v>3852</v>
      </c>
      <c r="B2679" t="s">
        <v>932</v>
      </c>
      <c r="C2679" s="1">
        <v>45051</v>
      </c>
      <c r="D2679" s="2">
        <v>165642949</v>
      </c>
      <c r="E2679" s="2">
        <v>39238</v>
      </c>
      <c r="F2679">
        <v>62</v>
      </c>
      <c r="G2679" s="2">
        <v>13111498</v>
      </c>
      <c r="H2679" s="2">
        <v>338766</v>
      </c>
      <c r="I2679" s="2">
        <v>709390008</v>
      </c>
      <c r="J2679">
        <v>3</v>
      </c>
      <c r="K2679">
        <v>555</v>
      </c>
      <c r="L2679">
        <v>1</v>
      </c>
      <c r="M2679" t="str">
        <f t="shared" si="41"/>
        <v>After 2020</v>
      </c>
    </row>
    <row r="2680" spans="1:13">
      <c r="A2680" t="s">
        <v>3853</v>
      </c>
      <c r="B2680" t="s">
        <v>1440</v>
      </c>
      <c r="C2680" s="1">
        <v>43455</v>
      </c>
      <c r="D2680" s="2">
        <v>815243082</v>
      </c>
      <c r="E2680" s="2">
        <v>140617</v>
      </c>
      <c r="F2680">
        <v>66</v>
      </c>
      <c r="G2680" s="2">
        <v>258514568</v>
      </c>
      <c r="H2680" s="2">
        <v>1970363</v>
      </c>
      <c r="I2680" s="2">
        <v>649866119</v>
      </c>
      <c r="J2680">
        <v>43</v>
      </c>
      <c r="K2680">
        <v>47</v>
      </c>
      <c r="L2680">
        <v>1</v>
      </c>
      <c r="M2680" t="str">
        <f t="shared" si="41"/>
        <v>2010-2020</v>
      </c>
    </row>
    <row r="2681" spans="1:13" hidden="1">
      <c r="A2681" t="s">
        <v>3854</v>
      </c>
      <c r="B2681" t="s">
        <v>3855</v>
      </c>
      <c r="C2681" s="1">
        <v>44309</v>
      </c>
      <c r="D2681" s="2">
        <v>247462687</v>
      </c>
      <c r="E2681" s="2">
        <v>55580</v>
      </c>
      <c r="F2681">
        <v>61</v>
      </c>
      <c r="G2681" s="2">
        <v>76319678</v>
      </c>
      <c r="H2681" s="2">
        <v>1242250</v>
      </c>
      <c r="I2681" s="2">
        <v>1691904373</v>
      </c>
      <c r="J2681">
        <v>26</v>
      </c>
      <c r="L2681">
        <v>1</v>
      </c>
      <c r="M2681" t="str">
        <f t="shared" si="41"/>
        <v>After 2020</v>
      </c>
    </row>
    <row r="2682" spans="1:13" hidden="1">
      <c r="A2682" t="s">
        <v>3856</v>
      </c>
      <c r="B2682" t="s">
        <v>3647</v>
      </c>
      <c r="C2682" s="1">
        <v>42524</v>
      </c>
      <c r="D2682" s="2">
        <v>1050246077</v>
      </c>
      <c r="E2682" s="2">
        <v>113716</v>
      </c>
      <c r="F2682">
        <v>69</v>
      </c>
      <c r="G2682" s="2">
        <v>917728451</v>
      </c>
      <c r="H2682" s="2">
        <v>4676705</v>
      </c>
      <c r="I2682" s="2">
        <v>62167288</v>
      </c>
      <c r="J2682">
        <v>95</v>
      </c>
      <c r="L2682">
        <v>0</v>
      </c>
      <c r="M2682" t="str">
        <f t="shared" si="41"/>
        <v>2010-2020</v>
      </c>
    </row>
    <row r="2683" spans="1:13">
      <c r="A2683" t="s">
        <v>3857</v>
      </c>
      <c r="B2683" t="s">
        <v>723</v>
      </c>
      <c r="C2683" s="1">
        <v>41275</v>
      </c>
      <c r="D2683" s="2">
        <v>1007623089</v>
      </c>
      <c r="E2683" s="2">
        <v>168666</v>
      </c>
      <c r="F2683">
        <v>72</v>
      </c>
      <c r="G2683" s="2">
        <v>936816983</v>
      </c>
      <c r="H2683" s="2">
        <v>7135806</v>
      </c>
      <c r="I2683" s="2">
        <v>160676196</v>
      </c>
      <c r="J2683">
        <v>57</v>
      </c>
      <c r="K2683">
        <v>28</v>
      </c>
      <c r="L2683">
        <v>0</v>
      </c>
      <c r="M2683" t="str">
        <f t="shared" si="41"/>
        <v>2010-2020</v>
      </c>
    </row>
    <row r="2684" spans="1:13">
      <c r="A2684" t="s">
        <v>3858</v>
      </c>
      <c r="B2684" t="s">
        <v>1368</v>
      </c>
      <c r="C2684" s="1">
        <v>44511</v>
      </c>
      <c r="D2684" s="2">
        <v>238849559</v>
      </c>
      <c r="E2684" s="2">
        <v>26517</v>
      </c>
      <c r="F2684">
        <v>64</v>
      </c>
      <c r="G2684" s="2">
        <v>401770615</v>
      </c>
      <c r="H2684" s="2">
        <v>1536208</v>
      </c>
      <c r="I2684" s="2">
        <v>16815994</v>
      </c>
      <c r="J2684">
        <v>12</v>
      </c>
      <c r="K2684">
        <v>211</v>
      </c>
      <c r="L2684">
        <v>0</v>
      </c>
      <c r="M2684" t="str">
        <f t="shared" si="41"/>
        <v>After 2020</v>
      </c>
    </row>
    <row r="2685" spans="1:13">
      <c r="A2685" t="s">
        <v>3859</v>
      </c>
      <c r="B2685" t="s">
        <v>252</v>
      </c>
      <c r="C2685" s="1">
        <v>44722</v>
      </c>
      <c r="D2685" s="2">
        <v>344744597</v>
      </c>
      <c r="E2685" s="2">
        <v>16095</v>
      </c>
      <c r="F2685">
        <v>64</v>
      </c>
      <c r="G2685" s="2">
        <v>264915434</v>
      </c>
      <c r="H2685" s="2">
        <v>15060408</v>
      </c>
      <c r="I2685" s="2">
        <v>973086190</v>
      </c>
      <c r="J2685">
        <v>28</v>
      </c>
      <c r="K2685">
        <v>77</v>
      </c>
      <c r="L2685">
        <v>0</v>
      </c>
      <c r="M2685" t="str">
        <f t="shared" si="41"/>
        <v>After 2020</v>
      </c>
    </row>
    <row r="2686" spans="1:13">
      <c r="A2686" t="s">
        <v>3860</v>
      </c>
      <c r="B2686" t="s">
        <v>3734</v>
      </c>
      <c r="C2686" s="1">
        <v>44559</v>
      </c>
      <c r="D2686" s="2">
        <v>279996207</v>
      </c>
      <c r="E2686" s="2">
        <v>36648</v>
      </c>
      <c r="F2686">
        <v>64</v>
      </c>
      <c r="G2686" s="2">
        <v>42705657</v>
      </c>
      <c r="H2686" s="2">
        <v>691402</v>
      </c>
      <c r="I2686" s="2">
        <v>19367991</v>
      </c>
      <c r="J2686">
        <v>71</v>
      </c>
      <c r="K2686">
        <v>901</v>
      </c>
      <c r="L2686">
        <v>0</v>
      </c>
      <c r="M2686" t="str">
        <f t="shared" si="41"/>
        <v>After 2020</v>
      </c>
    </row>
    <row r="2687" spans="1:13">
      <c r="A2687" t="s">
        <v>3861</v>
      </c>
      <c r="B2687" t="s">
        <v>2258</v>
      </c>
      <c r="C2687" s="1">
        <v>44729</v>
      </c>
      <c r="D2687" s="2">
        <v>56670689</v>
      </c>
      <c r="E2687" s="2">
        <v>18344</v>
      </c>
      <c r="F2687">
        <v>16</v>
      </c>
      <c r="G2687" s="2">
        <v>126849797</v>
      </c>
      <c r="H2687" s="2">
        <v>654337</v>
      </c>
      <c r="I2687" s="2">
        <v>344920965</v>
      </c>
      <c r="J2687">
        <v>31</v>
      </c>
      <c r="K2687">
        <v>1</v>
      </c>
      <c r="L2687">
        <v>1</v>
      </c>
      <c r="M2687" t="str">
        <f t="shared" si="41"/>
        <v>After 2020</v>
      </c>
    </row>
    <row r="2688" spans="1:13" hidden="1">
      <c r="A2688" t="s">
        <v>3862</v>
      </c>
      <c r="B2688" t="s">
        <v>170</v>
      </c>
      <c r="C2688" s="1">
        <v>45078</v>
      </c>
      <c r="D2688" s="2">
        <v>100094720</v>
      </c>
      <c r="E2688" s="2">
        <v>10333</v>
      </c>
      <c r="F2688">
        <v>62</v>
      </c>
      <c r="G2688" s="2">
        <v>114762460</v>
      </c>
      <c r="H2688" s="2">
        <v>834616</v>
      </c>
      <c r="I2688" s="2">
        <v>686876114</v>
      </c>
      <c r="K2688">
        <v>183</v>
      </c>
      <c r="L2688">
        <v>0</v>
      </c>
      <c r="M2688" t="str">
        <f t="shared" si="41"/>
        <v>After 2020</v>
      </c>
    </row>
    <row r="2689" spans="1:13" hidden="1">
      <c r="A2689">
        <v>911</v>
      </c>
      <c r="B2689" t="s">
        <v>522</v>
      </c>
      <c r="C2689" s="1">
        <v>44895</v>
      </c>
      <c r="D2689" s="2">
        <v>181695722</v>
      </c>
      <c r="E2689" s="2">
        <v>14262</v>
      </c>
      <c r="F2689">
        <v>68</v>
      </c>
      <c r="G2689" s="2">
        <v>188904937</v>
      </c>
      <c r="H2689" s="2">
        <v>781510</v>
      </c>
      <c r="I2689" s="2">
        <v>1079156243</v>
      </c>
      <c r="J2689">
        <v>8</v>
      </c>
      <c r="L2689">
        <v>0</v>
      </c>
      <c r="M2689" t="str">
        <f t="shared" si="41"/>
        <v>After 2020</v>
      </c>
    </row>
    <row r="2690" spans="1:13">
      <c r="A2690" t="s">
        <v>3863</v>
      </c>
      <c r="B2690" t="s">
        <v>2291</v>
      </c>
      <c r="C2690" s="1">
        <v>45023</v>
      </c>
      <c r="D2690" s="2">
        <v>281707091</v>
      </c>
      <c r="E2690" s="2">
        <v>40049</v>
      </c>
      <c r="F2690">
        <v>74</v>
      </c>
      <c r="G2690" s="2">
        <v>23447030</v>
      </c>
      <c r="H2690" s="2">
        <v>216253</v>
      </c>
      <c r="I2690" s="2">
        <v>236748049</v>
      </c>
      <c r="J2690">
        <v>13</v>
      </c>
      <c r="K2690">
        <v>26</v>
      </c>
      <c r="L2690">
        <v>1</v>
      </c>
      <c r="M2690" t="str">
        <f t="shared" si="41"/>
        <v>After 2020</v>
      </c>
    </row>
    <row r="2691" spans="1:13" hidden="1">
      <c r="A2691" t="s">
        <v>3864</v>
      </c>
      <c r="B2691" t="s">
        <v>3865</v>
      </c>
      <c r="C2691" s="1">
        <v>43616</v>
      </c>
      <c r="D2691" s="2">
        <v>675984633</v>
      </c>
      <c r="E2691" s="2">
        <v>147651</v>
      </c>
      <c r="F2691">
        <v>75</v>
      </c>
      <c r="G2691" s="2">
        <v>118564792</v>
      </c>
      <c r="H2691" s="2">
        <v>1898029</v>
      </c>
      <c r="I2691" s="2">
        <v>882048158</v>
      </c>
      <c r="J2691">
        <v>8</v>
      </c>
      <c r="L2691">
        <v>0</v>
      </c>
      <c r="M2691" t="str">
        <f t="shared" ref="M2691:M2754" si="42">IF(YEAR(C2691)&lt;2010,"Before 2010",IF(YEAR(C2691)&lt;=2020,"2010-2020","After 2020"))</f>
        <v>2010-2020</v>
      </c>
    </row>
    <row r="2692" spans="1:13">
      <c r="A2692" t="s">
        <v>3866</v>
      </c>
      <c r="B2692" t="s">
        <v>3867</v>
      </c>
      <c r="C2692" s="1">
        <v>44125</v>
      </c>
      <c r="D2692" s="2">
        <v>108241832</v>
      </c>
      <c r="E2692" s="2">
        <v>24791</v>
      </c>
      <c r="F2692">
        <v>53</v>
      </c>
      <c r="G2692" s="2">
        <v>206773555</v>
      </c>
      <c r="H2692" s="2">
        <v>1296813</v>
      </c>
      <c r="I2692" s="2">
        <v>122657966</v>
      </c>
      <c r="J2692">
        <v>82</v>
      </c>
      <c r="K2692">
        <v>378</v>
      </c>
      <c r="L2692">
        <v>0</v>
      </c>
      <c r="M2692" t="str">
        <f t="shared" si="42"/>
        <v>2010-2020</v>
      </c>
    </row>
    <row r="2693" spans="1:13">
      <c r="A2693" t="s">
        <v>3868</v>
      </c>
      <c r="B2693" t="s">
        <v>1534</v>
      </c>
      <c r="C2693" s="1">
        <v>44050</v>
      </c>
      <c r="D2693" s="2">
        <v>227802182</v>
      </c>
      <c r="E2693" s="2">
        <v>65190</v>
      </c>
      <c r="F2693">
        <v>61</v>
      </c>
      <c r="G2693" s="2">
        <v>69718488</v>
      </c>
      <c r="H2693" s="2">
        <v>722875</v>
      </c>
      <c r="I2693" s="2">
        <v>749906169</v>
      </c>
      <c r="J2693">
        <v>14</v>
      </c>
      <c r="K2693">
        <v>101</v>
      </c>
      <c r="L2693">
        <v>1</v>
      </c>
      <c r="M2693" t="str">
        <f t="shared" si="42"/>
        <v>2010-2020</v>
      </c>
    </row>
    <row r="2694" spans="1:13">
      <c r="A2694" t="s">
        <v>3869</v>
      </c>
      <c r="B2694" t="s">
        <v>51</v>
      </c>
      <c r="C2694" s="1">
        <v>42790</v>
      </c>
      <c r="D2694" s="2">
        <v>965899534</v>
      </c>
      <c r="E2694" s="2">
        <v>101445</v>
      </c>
      <c r="F2694">
        <v>73</v>
      </c>
      <c r="G2694" s="2">
        <v>834705559</v>
      </c>
      <c r="H2694" s="2">
        <v>10523313</v>
      </c>
      <c r="I2694" s="2">
        <v>287094813</v>
      </c>
      <c r="J2694">
        <v>76</v>
      </c>
      <c r="K2694">
        <v>61</v>
      </c>
      <c r="L2694">
        <v>0</v>
      </c>
      <c r="M2694" t="str">
        <f t="shared" si="42"/>
        <v>2010-2020</v>
      </c>
    </row>
    <row r="2695" spans="1:13">
      <c r="A2695" t="s">
        <v>3870</v>
      </c>
      <c r="B2695" t="s">
        <v>3871</v>
      </c>
      <c r="C2695" s="1">
        <v>44379</v>
      </c>
      <c r="D2695" s="2">
        <v>154010050</v>
      </c>
      <c r="E2695" s="2">
        <v>66808</v>
      </c>
      <c r="F2695">
        <v>63</v>
      </c>
      <c r="G2695" s="2">
        <v>234249323</v>
      </c>
      <c r="H2695" s="2">
        <v>1315242</v>
      </c>
      <c r="I2695" s="2">
        <v>729439284</v>
      </c>
      <c r="J2695">
        <v>38</v>
      </c>
      <c r="K2695">
        <v>129</v>
      </c>
      <c r="L2695">
        <v>0</v>
      </c>
      <c r="M2695" t="str">
        <f t="shared" si="42"/>
        <v>After 2020</v>
      </c>
    </row>
    <row r="2696" spans="1:13" hidden="1">
      <c r="A2696" t="s">
        <v>3872</v>
      </c>
      <c r="B2696" t="s">
        <v>3873</v>
      </c>
      <c r="C2696" s="1">
        <v>42015</v>
      </c>
      <c r="D2696" s="2">
        <v>1081039358</v>
      </c>
      <c r="E2696" s="2">
        <v>220073</v>
      </c>
      <c r="F2696">
        <v>73</v>
      </c>
      <c r="G2696" s="2">
        <v>422709495</v>
      </c>
      <c r="H2696" s="2">
        <v>5234949</v>
      </c>
      <c r="I2696" s="2">
        <v>2051079047</v>
      </c>
      <c r="J2696">
        <v>65</v>
      </c>
      <c r="L2696">
        <v>0</v>
      </c>
      <c r="M2696" t="str">
        <f t="shared" si="42"/>
        <v>2010-2020</v>
      </c>
    </row>
    <row r="2697" spans="1:13" hidden="1">
      <c r="A2697" t="s">
        <v>3874</v>
      </c>
      <c r="B2697" t="s">
        <v>3875</v>
      </c>
      <c r="C2697" s="1">
        <v>44963</v>
      </c>
      <c r="D2697" s="2">
        <v>423395</v>
      </c>
      <c r="E2697">
        <v>229</v>
      </c>
      <c r="F2697">
        <v>29</v>
      </c>
      <c r="G2697" s="2">
        <v>316523235</v>
      </c>
      <c r="H2697" s="2">
        <v>1071321</v>
      </c>
      <c r="I2697" s="2">
        <v>14242780</v>
      </c>
      <c r="L2697">
        <v>0</v>
      </c>
      <c r="M2697" t="str">
        <f t="shared" si="42"/>
        <v>After 2020</v>
      </c>
    </row>
    <row r="2698" spans="1:13" hidden="1">
      <c r="A2698" t="s">
        <v>3876</v>
      </c>
      <c r="B2698" t="s">
        <v>3877</v>
      </c>
      <c r="C2698" s="1">
        <v>44691</v>
      </c>
      <c r="D2698" s="2">
        <v>58989412</v>
      </c>
      <c r="E2698" s="2">
        <v>4708</v>
      </c>
      <c r="F2698">
        <v>3</v>
      </c>
      <c r="G2698" s="2">
        <v>457435947</v>
      </c>
      <c r="H2698" s="2">
        <v>2665092</v>
      </c>
      <c r="I2698" s="2">
        <v>756707</v>
      </c>
      <c r="L2698">
        <v>0</v>
      </c>
      <c r="M2698" t="str">
        <f t="shared" si="42"/>
        <v>After 2020</v>
      </c>
    </row>
    <row r="2699" spans="1:13">
      <c r="A2699" t="s">
        <v>3878</v>
      </c>
      <c r="B2699" t="s">
        <v>3879</v>
      </c>
      <c r="C2699" s="1">
        <v>44715</v>
      </c>
      <c r="D2699" s="2">
        <v>370988405</v>
      </c>
      <c r="E2699" s="2">
        <v>33800</v>
      </c>
      <c r="F2699">
        <v>68</v>
      </c>
      <c r="G2699" s="2">
        <v>69184223</v>
      </c>
      <c r="H2699" s="2">
        <v>532555</v>
      </c>
      <c r="I2699" s="2">
        <v>1614554007</v>
      </c>
      <c r="J2699">
        <v>23</v>
      </c>
      <c r="K2699">
        <v>392</v>
      </c>
      <c r="L2699">
        <v>0</v>
      </c>
      <c r="M2699" t="str">
        <f t="shared" si="42"/>
        <v>After 2020</v>
      </c>
    </row>
    <row r="2700" spans="1:13" hidden="1">
      <c r="A2700" t="s">
        <v>3880</v>
      </c>
      <c r="B2700" t="s">
        <v>3881</v>
      </c>
      <c r="C2700" s="1">
        <v>44498</v>
      </c>
      <c r="D2700" s="2">
        <v>272051636</v>
      </c>
      <c r="E2700" s="2">
        <v>64633</v>
      </c>
      <c r="F2700">
        <v>72</v>
      </c>
      <c r="G2700" s="2">
        <v>39751949</v>
      </c>
      <c r="H2700" s="2">
        <v>818015</v>
      </c>
      <c r="I2700" s="2">
        <v>1314232560</v>
      </c>
      <c r="J2700">
        <v>3</v>
      </c>
      <c r="L2700">
        <v>1</v>
      </c>
      <c r="M2700" t="str">
        <f t="shared" si="42"/>
        <v>After 2020</v>
      </c>
    </row>
    <row r="2701" spans="1:13">
      <c r="A2701">
        <v>512</v>
      </c>
      <c r="B2701" t="s">
        <v>1641</v>
      </c>
      <c r="C2701" s="1">
        <v>44232</v>
      </c>
      <c r="D2701" s="2">
        <v>475820416</v>
      </c>
      <c r="E2701" s="2">
        <v>85784</v>
      </c>
      <c r="F2701">
        <v>70</v>
      </c>
      <c r="G2701" s="2">
        <v>270122797</v>
      </c>
      <c r="H2701" s="2">
        <v>1714650</v>
      </c>
      <c r="I2701" s="2">
        <v>369308687</v>
      </c>
      <c r="J2701">
        <v>30</v>
      </c>
      <c r="K2701">
        <v>76</v>
      </c>
      <c r="L2701">
        <v>1</v>
      </c>
      <c r="M2701" t="str">
        <f t="shared" si="42"/>
        <v>After 2020</v>
      </c>
    </row>
    <row r="2702" spans="1:13" hidden="1">
      <c r="A2702" t="s">
        <v>3882</v>
      </c>
      <c r="B2702" t="s">
        <v>3883</v>
      </c>
      <c r="C2702" s="1">
        <v>44778</v>
      </c>
      <c r="E2702" s="2">
        <v>6258</v>
      </c>
      <c r="I2702" s="2">
        <v>1396251598</v>
      </c>
      <c r="L2702">
        <v>1</v>
      </c>
      <c r="M2702" t="str">
        <f t="shared" si="42"/>
        <v>After 2020</v>
      </c>
    </row>
    <row r="2703" spans="1:13" hidden="1">
      <c r="A2703" t="s">
        <v>3884</v>
      </c>
      <c r="B2703" t="s">
        <v>3885</v>
      </c>
      <c r="C2703" s="1">
        <v>45107</v>
      </c>
      <c r="D2703" s="2">
        <v>123627077</v>
      </c>
      <c r="E2703" s="2">
        <v>39465</v>
      </c>
      <c r="F2703">
        <v>71</v>
      </c>
      <c r="I2703" s="2">
        <v>19231842</v>
      </c>
      <c r="J2703">
        <v>13</v>
      </c>
      <c r="L2703">
        <v>0</v>
      </c>
      <c r="M2703" t="str">
        <f t="shared" si="42"/>
        <v>After 2020</v>
      </c>
    </row>
    <row r="2704" spans="1:13" hidden="1">
      <c r="A2704" t="s">
        <v>3886</v>
      </c>
      <c r="B2704" t="s">
        <v>3887</v>
      </c>
      <c r="C2704" s="1">
        <v>45408</v>
      </c>
      <c r="D2704" s="2">
        <v>8040021</v>
      </c>
      <c r="E2704" s="2">
        <v>1100</v>
      </c>
      <c r="G2704" s="2">
        <v>4152404</v>
      </c>
      <c r="H2704" s="2">
        <v>115149</v>
      </c>
      <c r="J2704">
        <v>13</v>
      </c>
      <c r="K2704">
        <v>37</v>
      </c>
      <c r="L2704">
        <v>1</v>
      </c>
      <c r="M2704" t="str">
        <f t="shared" si="42"/>
        <v>After 2020</v>
      </c>
    </row>
    <row r="2705" spans="1:13" hidden="1">
      <c r="A2705" t="s">
        <v>3888</v>
      </c>
      <c r="B2705" t="s">
        <v>619</v>
      </c>
      <c r="C2705" s="1">
        <v>42972</v>
      </c>
      <c r="D2705" s="2">
        <v>544755640</v>
      </c>
      <c r="E2705" s="2">
        <v>58066</v>
      </c>
      <c r="F2705">
        <v>66</v>
      </c>
      <c r="G2705" s="2">
        <v>1070075376</v>
      </c>
      <c r="H2705" s="2">
        <v>4032330</v>
      </c>
      <c r="I2705" s="2">
        <v>174267433</v>
      </c>
      <c r="J2705">
        <v>27</v>
      </c>
      <c r="L2705">
        <v>0</v>
      </c>
      <c r="M2705" t="str">
        <f t="shared" si="42"/>
        <v>2010-2020</v>
      </c>
    </row>
    <row r="2706" spans="1:13">
      <c r="A2706" t="s">
        <v>3889</v>
      </c>
      <c r="B2706" t="s">
        <v>576</v>
      </c>
      <c r="C2706" s="1">
        <v>44995</v>
      </c>
      <c r="D2706" s="2">
        <v>161172707</v>
      </c>
      <c r="E2706" s="2">
        <v>23604</v>
      </c>
      <c r="F2706">
        <v>66</v>
      </c>
      <c r="G2706" s="2">
        <v>52352229</v>
      </c>
      <c r="H2706" s="2">
        <v>353891</v>
      </c>
      <c r="I2706" s="2">
        <v>140240096</v>
      </c>
      <c r="J2706">
        <v>48</v>
      </c>
      <c r="K2706">
        <v>534</v>
      </c>
      <c r="L2706">
        <v>0</v>
      </c>
      <c r="M2706" t="str">
        <f t="shared" si="42"/>
        <v>After 2020</v>
      </c>
    </row>
    <row r="2707" spans="1:13" hidden="1">
      <c r="A2707" t="s">
        <v>3890</v>
      </c>
      <c r="B2707" t="s">
        <v>3891</v>
      </c>
      <c r="C2707" s="1">
        <v>44519</v>
      </c>
      <c r="D2707" s="2">
        <v>217919853</v>
      </c>
      <c r="E2707" s="2">
        <v>22687</v>
      </c>
      <c r="F2707">
        <v>63</v>
      </c>
      <c r="G2707" s="2">
        <v>351386257</v>
      </c>
      <c r="H2707" s="2">
        <v>1758940</v>
      </c>
      <c r="I2707" s="2">
        <v>1067404078</v>
      </c>
      <c r="J2707">
        <v>19</v>
      </c>
      <c r="L2707">
        <v>0</v>
      </c>
      <c r="M2707" t="str">
        <f t="shared" si="42"/>
        <v>After 2020</v>
      </c>
    </row>
    <row r="2708" spans="1:13" hidden="1">
      <c r="A2708" t="s">
        <v>3892</v>
      </c>
      <c r="B2708" t="s">
        <v>3893</v>
      </c>
      <c r="C2708" s="1">
        <v>43672</v>
      </c>
      <c r="D2708" s="2">
        <v>380367132</v>
      </c>
      <c r="E2708" s="2">
        <v>62939</v>
      </c>
      <c r="F2708">
        <v>64</v>
      </c>
      <c r="G2708" s="2">
        <v>663705750</v>
      </c>
      <c r="H2708" s="2">
        <v>3083081</v>
      </c>
      <c r="I2708" s="2">
        <v>495501340</v>
      </c>
      <c r="J2708">
        <v>27</v>
      </c>
      <c r="L2708">
        <v>0</v>
      </c>
      <c r="M2708" t="str">
        <f t="shared" si="42"/>
        <v>2010-2020</v>
      </c>
    </row>
    <row r="2709" spans="1:13">
      <c r="A2709" t="s">
        <v>3894</v>
      </c>
      <c r="B2709" t="s">
        <v>747</v>
      </c>
      <c r="C2709" s="1">
        <v>44813</v>
      </c>
      <c r="D2709" s="2">
        <v>233573513</v>
      </c>
      <c r="E2709" s="2">
        <v>67981</v>
      </c>
      <c r="F2709">
        <v>69</v>
      </c>
      <c r="G2709" s="2">
        <v>39331190</v>
      </c>
      <c r="H2709" s="2">
        <v>479798</v>
      </c>
      <c r="I2709" s="2">
        <v>122612542</v>
      </c>
      <c r="J2709">
        <v>12</v>
      </c>
      <c r="K2709">
        <v>72</v>
      </c>
      <c r="L2709">
        <v>1</v>
      </c>
      <c r="M2709" t="str">
        <f t="shared" si="42"/>
        <v>After 2020</v>
      </c>
    </row>
    <row r="2710" spans="1:13" hidden="1">
      <c r="A2710" t="s">
        <v>3895</v>
      </c>
      <c r="B2710" t="s">
        <v>3896</v>
      </c>
      <c r="C2710" s="1">
        <v>45285</v>
      </c>
      <c r="E2710">
        <v>121</v>
      </c>
      <c r="I2710" s="2">
        <v>94798200</v>
      </c>
      <c r="L2710">
        <v>1</v>
      </c>
      <c r="M2710" t="str">
        <f t="shared" si="42"/>
        <v>After 2020</v>
      </c>
    </row>
    <row r="2711" spans="1:13" hidden="1">
      <c r="A2711" t="s">
        <v>3897</v>
      </c>
      <c r="B2711" t="s">
        <v>479</v>
      </c>
      <c r="C2711" s="1">
        <v>42853</v>
      </c>
      <c r="D2711" s="2">
        <v>280898252</v>
      </c>
      <c r="E2711" s="2">
        <v>32458</v>
      </c>
      <c r="F2711">
        <v>60</v>
      </c>
      <c r="G2711" s="2">
        <v>1396756746</v>
      </c>
      <c r="H2711" s="2">
        <v>8674599</v>
      </c>
      <c r="I2711" s="2">
        <v>137526328</v>
      </c>
      <c r="J2711">
        <v>47</v>
      </c>
      <c r="L2711">
        <v>0</v>
      </c>
      <c r="M2711" t="str">
        <f t="shared" si="42"/>
        <v>2010-2020</v>
      </c>
    </row>
    <row r="2712" spans="1:13">
      <c r="A2712" t="s">
        <v>3898</v>
      </c>
      <c r="B2712" t="s">
        <v>1913</v>
      </c>
      <c r="C2712" s="1">
        <v>42736</v>
      </c>
      <c r="D2712" s="2">
        <v>1257029279</v>
      </c>
      <c r="E2712" s="2">
        <v>122763</v>
      </c>
      <c r="F2712">
        <v>67</v>
      </c>
      <c r="G2712" s="2">
        <v>77475141</v>
      </c>
      <c r="H2712" s="2">
        <v>982093</v>
      </c>
      <c r="I2712" s="2">
        <v>134170742</v>
      </c>
      <c r="J2712">
        <v>143</v>
      </c>
      <c r="K2712">
        <v>28</v>
      </c>
      <c r="L2712">
        <v>1</v>
      </c>
      <c r="M2712" t="str">
        <f t="shared" si="42"/>
        <v>2010-2020</v>
      </c>
    </row>
    <row r="2713" spans="1:13" hidden="1">
      <c r="A2713" t="s">
        <v>3152</v>
      </c>
      <c r="B2713" t="s">
        <v>3899</v>
      </c>
      <c r="C2713" s="1">
        <v>44042</v>
      </c>
      <c r="D2713" s="2">
        <v>398942581</v>
      </c>
      <c r="E2713" s="2">
        <v>99939</v>
      </c>
      <c r="F2713">
        <v>68</v>
      </c>
      <c r="G2713" s="2">
        <v>231553878</v>
      </c>
      <c r="H2713" s="2">
        <v>3275110</v>
      </c>
      <c r="I2713" s="2">
        <v>1054813567</v>
      </c>
      <c r="J2713">
        <v>3</v>
      </c>
      <c r="L2713">
        <v>1</v>
      </c>
      <c r="M2713" t="str">
        <f t="shared" si="42"/>
        <v>2010-2020</v>
      </c>
    </row>
    <row r="2714" spans="1:13">
      <c r="A2714" t="s">
        <v>3900</v>
      </c>
      <c r="B2714" t="s">
        <v>391</v>
      </c>
      <c r="C2714" s="1">
        <v>44820</v>
      </c>
      <c r="D2714" s="2">
        <v>357054107</v>
      </c>
      <c r="E2714" s="2">
        <v>20864</v>
      </c>
      <c r="F2714">
        <v>66</v>
      </c>
      <c r="G2714" s="2">
        <v>199710937</v>
      </c>
      <c r="H2714" s="2">
        <v>2549362</v>
      </c>
      <c r="I2714" s="2">
        <v>790229870</v>
      </c>
      <c r="J2714">
        <v>5</v>
      </c>
      <c r="K2714">
        <v>14</v>
      </c>
      <c r="L2714">
        <v>1</v>
      </c>
      <c r="M2714" t="str">
        <f t="shared" si="42"/>
        <v>After 2020</v>
      </c>
    </row>
    <row r="2715" spans="1:13" hidden="1">
      <c r="A2715" t="s">
        <v>3901</v>
      </c>
      <c r="B2715" t="s">
        <v>574</v>
      </c>
      <c r="C2715" s="1">
        <v>43782</v>
      </c>
      <c r="D2715" s="2">
        <v>417311779</v>
      </c>
      <c r="E2715" s="2">
        <v>106485</v>
      </c>
      <c r="F2715">
        <v>61</v>
      </c>
      <c r="G2715" s="2">
        <v>325105642</v>
      </c>
      <c r="H2715" s="2">
        <v>5043313</v>
      </c>
      <c r="I2715" s="2">
        <v>1001763796</v>
      </c>
      <c r="J2715">
        <v>59</v>
      </c>
      <c r="L2715">
        <v>1</v>
      </c>
      <c r="M2715" t="str">
        <f t="shared" si="42"/>
        <v>2010-2020</v>
      </c>
    </row>
    <row r="2716" spans="1:13" hidden="1">
      <c r="A2716" t="s">
        <v>3902</v>
      </c>
      <c r="B2716" t="s">
        <v>1396</v>
      </c>
      <c r="C2716" s="1">
        <v>45002</v>
      </c>
      <c r="D2716" s="2">
        <v>149455007</v>
      </c>
      <c r="E2716" s="2">
        <v>13028</v>
      </c>
      <c r="F2716">
        <v>17</v>
      </c>
      <c r="G2716" s="2">
        <v>185077693</v>
      </c>
      <c r="H2716" s="2">
        <v>990325</v>
      </c>
      <c r="I2716" s="2">
        <v>272723903</v>
      </c>
      <c r="J2716">
        <v>2</v>
      </c>
      <c r="L2716">
        <v>1</v>
      </c>
      <c r="M2716" t="str">
        <f t="shared" si="42"/>
        <v>After 2020</v>
      </c>
    </row>
    <row r="2717" spans="1:13" hidden="1">
      <c r="A2717" t="s">
        <v>3903</v>
      </c>
      <c r="B2717" t="s">
        <v>291</v>
      </c>
      <c r="C2717" s="1">
        <v>45352</v>
      </c>
      <c r="D2717" s="2">
        <v>23475715</v>
      </c>
      <c r="E2717" s="2">
        <v>2809</v>
      </c>
      <c r="G2717" s="2">
        <v>21710598</v>
      </c>
      <c r="H2717" s="2">
        <v>476670</v>
      </c>
      <c r="I2717" s="2">
        <v>27373700</v>
      </c>
      <c r="J2717">
        <v>21</v>
      </c>
      <c r="K2717">
        <v>120</v>
      </c>
      <c r="L2717">
        <v>1</v>
      </c>
      <c r="M2717" t="str">
        <f t="shared" si="42"/>
        <v>After 2020</v>
      </c>
    </row>
    <row r="2718" spans="1:13">
      <c r="A2718" t="s">
        <v>3904</v>
      </c>
      <c r="B2718" t="s">
        <v>24</v>
      </c>
      <c r="C2718" s="1">
        <v>39814</v>
      </c>
      <c r="D2718" s="2">
        <v>1587114096</v>
      </c>
      <c r="E2718" s="2">
        <v>210519</v>
      </c>
      <c r="F2718">
        <v>76</v>
      </c>
      <c r="G2718" s="2">
        <v>993529828</v>
      </c>
      <c r="H2718" s="2">
        <v>4526606</v>
      </c>
      <c r="I2718" s="2">
        <v>338781002</v>
      </c>
      <c r="J2718">
        <v>185</v>
      </c>
      <c r="K2718">
        <v>578</v>
      </c>
      <c r="L2718">
        <v>0</v>
      </c>
      <c r="M2718" t="str">
        <f t="shared" si="42"/>
        <v>Before 2010</v>
      </c>
    </row>
    <row r="2719" spans="1:13">
      <c r="A2719" t="s">
        <v>3905</v>
      </c>
      <c r="B2719" t="s">
        <v>1326</v>
      </c>
      <c r="C2719" s="1">
        <v>41982</v>
      </c>
      <c r="D2719" s="2">
        <v>1244864869</v>
      </c>
      <c r="E2719" s="2">
        <v>247570</v>
      </c>
      <c r="F2719">
        <v>76</v>
      </c>
      <c r="G2719" s="2">
        <v>280151086</v>
      </c>
      <c r="H2719" s="2">
        <v>2326991</v>
      </c>
      <c r="I2719" s="2">
        <v>49460597</v>
      </c>
      <c r="J2719">
        <v>18</v>
      </c>
      <c r="K2719">
        <v>29</v>
      </c>
      <c r="L2719">
        <v>1</v>
      </c>
      <c r="M2719" t="str">
        <f t="shared" si="42"/>
        <v>2010-2020</v>
      </c>
    </row>
    <row r="2720" spans="1:13" hidden="1">
      <c r="A2720" t="s">
        <v>3906</v>
      </c>
      <c r="B2720" t="s">
        <v>1427</v>
      </c>
      <c r="C2720" s="1">
        <v>44957</v>
      </c>
      <c r="D2720" s="2">
        <v>1332230</v>
      </c>
      <c r="E2720">
        <v>592</v>
      </c>
      <c r="G2720" s="2">
        <v>307838128</v>
      </c>
      <c r="H2720" s="2">
        <v>1528273</v>
      </c>
      <c r="I2720" s="2">
        <v>2278729</v>
      </c>
      <c r="L2720">
        <v>0</v>
      </c>
      <c r="M2720" t="str">
        <f t="shared" si="42"/>
        <v>After 2020</v>
      </c>
    </row>
    <row r="2721" spans="1:13">
      <c r="A2721" t="s">
        <v>3907</v>
      </c>
      <c r="B2721" t="s">
        <v>139</v>
      </c>
      <c r="C2721" s="1">
        <v>44333</v>
      </c>
      <c r="D2721" s="2">
        <v>245384123</v>
      </c>
      <c r="E2721" s="2">
        <v>26925</v>
      </c>
      <c r="F2721">
        <v>68</v>
      </c>
      <c r="G2721" s="2">
        <v>514192282</v>
      </c>
      <c r="H2721" s="2">
        <v>6129641</v>
      </c>
      <c r="I2721" s="2">
        <v>693149332</v>
      </c>
      <c r="J2721">
        <v>41</v>
      </c>
      <c r="K2721">
        <v>43</v>
      </c>
      <c r="L2721">
        <v>0</v>
      </c>
      <c r="M2721" t="str">
        <f t="shared" si="42"/>
        <v>After 2020</v>
      </c>
    </row>
    <row r="2722" spans="1:13">
      <c r="A2722" t="s">
        <v>3908</v>
      </c>
      <c r="B2722" t="s">
        <v>301</v>
      </c>
      <c r="C2722" s="1">
        <v>42580</v>
      </c>
      <c r="D2722" s="2">
        <v>806728296</v>
      </c>
      <c r="E2722" s="2">
        <v>86002</v>
      </c>
      <c r="F2722">
        <v>75</v>
      </c>
      <c r="G2722" s="2">
        <v>429423484</v>
      </c>
      <c r="H2722" s="2">
        <v>1944017</v>
      </c>
      <c r="I2722" s="2">
        <v>74890093</v>
      </c>
      <c r="J2722">
        <v>39</v>
      </c>
      <c r="K2722">
        <v>8</v>
      </c>
      <c r="L2722">
        <v>0</v>
      </c>
      <c r="M2722" t="str">
        <f t="shared" si="42"/>
        <v>2010-2020</v>
      </c>
    </row>
    <row r="2723" spans="1:13" hidden="1">
      <c r="A2723" t="s">
        <v>3909</v>
      </c>
      <c r="B2723" t="s">
        <v>3910</v>
      </c>
      <c r="C2723" s="1">
        <v>45405</v>
      </c>
      <c r="D2723" s="2">
        <v>901007</v>
      </c>
      <c r="E2723">
        <v>18</v>
      </c>
      <c r="G2723" s="2">
        <v>31008582</v>
      </c>
      <c r="H2723" s="2">
        <v>437421</v>
      </c>
      <c r="L2723">
        <v>0</v>
      </c>
      <c r="M2723" t="str">
        <f t="shared" si="42"/>
        <v>After 2020</v>
      </c>
    </row>
    <row r="2724" spans="1:13" hidden="1">
      <c r="A2724" t="s">
        <v>3911</v>
      </c>
      <c r="B2724" t="s">
        <v>520</v>
      </c>
      <c r="C2724" s="1">
        <v>45029</v>
      </c>
      <c r="D2724" s="2">
        <v>94359848</v>
      </c>
      <c r="E2724" s="2">
        <v>23027</v>
      </c>
      <c r="F2724">
        <v>61</v>
      </c>
      <c r="G2724" s="2">
        <v>66093104</v>
      </c>
      <c r="H2724" s="2">
        <v>558819</v>
      </c>
      <c r="I2724" s="2">
        <v>13515544</v>
      </c>
      <c r="J2724">
        <v>37</v>
      </c>
      <c r="L2724">
        <v>0</v>
      </c>
      <c r="M2724" t="str">
        <f t="shared" si="42"/>
        <v>After 2020</v>
      </c>
    </row>
    <row r="2725" spans="1:13" hidden="1">
      <c r="A2725" t="s">
        <v>3912</v>
      </c>
      <c r="B2725" t="s">
        <v>1728</v>
      </c>
      <c r="C2725" s="1">
        <v>42985</v>
      </c>
      <c r="D2725" s="2">
        <v>1687683940</v>
      </c>
      <c r="E2725" s="2">
        <v>177653</v>
      </c>
      <c r="F2725">
        <v>75</v>
      </c>
      <c r="G2725" s="2">
        <v>2784613</v>
      </c>
      <c r="H2725" s="2">
        <v>49443</v>
      </c>
      <c r="J2725">
        <v>117</v>
      </c>
      <c r="L2725">
        <v>0</v>
      </c>
      <c r="M2725" t="str">
        <f t="shared" si="42"/>
        <v>2010-2020</v>
      </c>
    </row>
    <row r="2726" spans="1:13" hidden="1">
      <c r="A2726" t="s">
        <v>3913</v>
      </c>
      <c r="B2726" t="s">
        <v>2377</v>
      </c>
      <c r="C2726" s="1">
        <v>43636</v>
      </c>
      <c r="D2726" s="2">
        <v>496344788</v>
      </c>
      <c r="E2726" s="2">
        <v>114433</v>
      </c>
      <c r="F2726">
        <v>21</v>
      </c>
      <c r="G2726" s="2">
        <v>476656319</v>
      </c>
      <c r="H2726" s="2">
        <v>5123098</v>
      </c>
      <c r="I2726" s="2">
        <v>31236119</v>
      </c>
      <c r="J2726">
        <v>5</v>
      </c>
      <c r="L2726">
        <v>1</v>
      </c>
      <c r="M2726" t="str">
        <f t="shared" si="42"/>
        <v>2010-2020</v>
      </c>
    </row>
    <row r="2727" spans="1:13" hidden="1">
      <c r="A2727" t="s">
        <v>3914</v>
      </c>
      <c r="B2727" t="s">
        <v>3915</v>
      </c>
      <c r="C2727" s="1">
        <v>44896</v>
      </c>
      <c r="D2727" s="2">
        <v>152546936</v>
      </c>
      <c r="E2727" s="2">
        <v>33014</v>
      </c>
      <c r="F2727">
        <v>68</v>
      </c>
      <c r="G2727" s="2">
        <v>129655800</v>
      </c>
      <c r="H2727" s="2">
        <v>510676</v>
      </c>
      <c r="I2727" s="2">
        <v>54647905</v>
      </c>
      <c r="J2727">
        <v>32</v>
      </c>
      <c r="L2727">
        <v>1</v>
      </c>
      <c r="M2727" t="str">
        <f t="shared" si="42"/>
        <v>After 2020</v>
      </c>
    </row>
    <row r="2728" spans="1:13">
      <c r="A2728" t="s">
        <v>3916</v>
      </c>
      <c r="B2728" t="s">
        <v>602</v>
      </c>
      <c r="C2728" s="1">
        <v>43823</v>
      </c>
      <c r="D2728" s="2">
        <v>413743535</v>
      </c>
      <c r="E2728" s="2">
        <v>39980</v>
      </c>
      <c r="F2728">
        <v>73</v>
      </c>
      <c r="G2728" s="2">
        <v>420669522</v>
      </c>
      <c r="H2728" s="2">
        <v>2712590</v>
      </c>
      <c r="I2728" s="2">
        <v>152431204</v>
      </c>
      <c r="J2728">
        <v>19</v>
      </c>
      <c r="K2728">
        <v>42</v>
      </c>
      <c r="L2728">
        <v>0</v>
      </c>
      <c r="M2728" t="str">
        <f t="shared" si="42"/>
        <v>2010-2020</v>
      </c>
    </row>
    <row r="2729" spans="1:13">
      <c r="A2729" t="s">
        <v>3917</v>
      </c>
      <c r="B2729" t="s">
        <v>3918</v>
      </c>
      <c r="C2729" s="1">
        <v>44804</v>
      </c>
      <c r="D2729" s="2">
        <v>155399041</v>
      </c>
      <c r="E2729" s="2">
        <v>62013</v>
      </c>
      <c r="F2729">
        <v>60</v>
      </c>
      <c r="G2729" s="2">
        <v>32481842</v>
      </c>
      <c r="H2729" s="2">
        <v>684033</v>
      </c>
      <c r="I2729" s="2">
        <v>135832597</v>
      </c>
      <c r="J2729">
        <v>26</v>
      </c>
      <c r="K2729">
        <v>44</v>
      </c>
      <c r="L2729">
        <v>1</v>
      </c>
      <c r="M2729" t="str">
        <f t="shared" si="42"/>
        <v>After 2020</v>
      </c>
    </row>
    <row r="2730" spans="1:13" hidden="1">
      <c r="A2730" t="s">
        <v>3161</v>
      </c>
      <c r="B2730" t="s">
        <v>3919</v>
      </c>
      <c r="C2730" s="1">
        <v>45232</v>
      </c>
      <c r="D2730" s="2">
        <v>77590300</v>
      </c>
      <c r="E2730" s="2">
        <v>6575</v>
      </c>
      <c r="G2730" s="2">
        <v>94172195</v>
      </c>
      <c r="H2730" s="2">
        <v>738147</v>
      </c>
      <c r="I2730" s="2">
        <v>170046435</v>
      </c>
      <c r="J2730">
        <v>7</v>
      </c>
      <c r="L2730">
        <v>0</v>
      </c>
      <c r="M2730" t="str">
        <f t="shared" si="42"/>
        <v>After 2020</v>
      </c>
    </row>
    <row r="2731" spans="1:13" hidden="1">
      <c r="A2731" t="s">
        <v>3920</v>
      </c>
      <c r="B2731" t="s">
        <v>3921</v>
      </c>
      <c r="C2731" s="1">
        <v>42370</v>
      </c>
      <c r="D2731" s="2">
        <v>416147244</v>
      </c>
      <c r="E2731" s="2">
        <v>59100</v>
      </c>
      <c r="F2731">
        <v>59</v>
      </c>
      <c r="G2731" s="2">
        <v>179143462</v>
      </c>
      <c r="H2731" s="2">
        <v>1567574</v>
      </c>
      <c r="I2731" s="2">
        <v>188910778</v>
      </c>
      <c r="J2731">
        <v>72</v>
      </c>
      <c r="L2731">
        <v>1</v>
      </c>
      <c r="M2731" t="str">
        <f t="shared" si="42"/>
        <v>2010-2020</v>
      </c>
    </row>
    <row r="2732" spans="1:13">
      <c r="A2732" t="s">
        <v>3922</v>
      </c>
      <c r="B2732" t="s">
        <v>459</v>
      </c>
      <c r="C2732" s="1">
        <v>45184</v>
      </c>
      <c r="D2732" s="2">
        <v>38622215</v>
      </c>
      <c r="E2732" s="2">
        <v>13808</v>
      </c>
      <c r="F2732">
        <v>4</v>
      </c>
      <c r="G2732" s="2">
        <v>16445144</v>
      </c>
      <c r="H2732" s="2">
        <v>247700</v>
      </c>
      <c r="I2732" s="2">
        <v>59118842</v>
      </c>
      <c r="J2732">
        <v>29</v>
      </c>
      <c r="K2732">
        <v>685</v>
      </c>
      <c r="L2732">
        <v>1</v>
      </c>
      <c r="M2732" t="str">
        <f t="shared" si="42"/>
        <v>After 2020</v>
      </c>
    </row>
    <row r="2733" spans="1:13">
      <c r="A2733" t="s">
        <v>3923</v>
      </c>
      <c r="B2733" t="s">
        <v>3924</v>
      </c>
      <c r="C2733" s="1">
        <v>43140</v>
      </c>
      <c r="D2733" s="2">
        <v>982424606</v>
      </c>
      <c r="E2733" s="2">
        <v>140455</v>
      </c>
      <c r="F2733">
        <v>63</v>
      </c>
      <c r="G2733" s="2">
        <v>123104265</v>
      </c>
      <c r="H2733" s="2">
        <v>916112</v>
      </c>
      <c r="I2733" s="2">
        <v>172191863</v>
      </c>
      <c r="J2733">
        <v>24</v>
      </c>
      <c r="K2733">
        <v>421</v>
      </c>
      <c r="L2733">
        <v>1</v>
      </c>
      <c r="M2733" t="str">
        <f t="shared" si="42"/>
        <v>2010-2020</v>
      </c>
    </row>
    <row r="2734" spans="1:13" hidden="1">
      <c r="A2734" t="s">
        <v>3925</v>
      </c>
      <c r="B2734" t="s">
        <v>2400</v>
      </c>
      <c r="C2734" s="1">
        <v>45450</v>
      </c>
      <c r="D2734" s="2">
        <v>2886460</v>
      </c>
      <c r="E2734">
        <v>470</v>
      </c>
      <c r="G2734" s="2">
        <v>329080</v>
      </c>
      <c r="H2734" s="2">
        <v>29751</v>
      </c>
      <c r="L2734">
        <v>1</v>
      </c>
      <c r="M2734" t="str">
        <f t="shared" si="42"/>
        <v>After 2020</v>
      </c>
    </row>
    <row r="2735" spans="1:13">
      <c r="A2735" t="s">
        <v>3926</v>
      </c>
      <c r="B2735" t="s">
        <v>61</v>
      </c>
      <c r="C2735" s="1">
        <v>44855</v>
      </c>
      <c r="D2735" s="2">
        <v>658208129</v>
      </c>
      <c r="E2735" s="2">
        <v>36730</v>
      </c>
      <c r="F2735">
        <v>72</v>
      </c>
      <c r="G2735" s="2">
        <v>83795730</v>
      </c>
      <c r="H2735" s="2">
        <v>757210</v>
      </c>
      <c r="I2735" s="2">
        <v>256300464</v>
      </c>
      <c r="J2735">
        <v>26</v>
      </c>
      <c r="K2735">
        <v>9</v>
      </c>
      <c r="L2735">
        <v>0</v>
      </c>
      <c r="M2735" t="str">
        <f t="shared" si="42"/>
        <v>After 2020</v>
      </c>
    </row>
    <row r="2736" spans="1:13" hidden="1">
      <c r="A2736" t="s">
        <v>3927</v>
      </c>
      <c r="B2736" t="s">
        <v>2928</v>
      </c>
      <c r="C2736" s="1">
        <v>43845</v>
      </c>
      <c r="D2736" s="2">
        <v>112851903</v>
      </c>
      <c r="E2736" s="2">
        <v>8311</v>
      </c>
      <c r="F2736">
        <v>61</v>
      </c>
      <c r="G2736" s="2">
        <v>540940484</v>
      </c>
      <c r="H2736" s="2">
        <v>2901887</v>
      </c>
      <c r="I2736" s="2">
        <v>295549159</v>
      </c>
      <c r="J2736">
        <v>7</v>
      </c>
      <c r="L2736">
        <v>0</v>
      </c>
      <c r="M2736" t="str">
        <f t="shared" si="42"/>
        <v>2010-2020</v>
      </c>
    </row>
    <row r="2737" spans="1:13" hidden="1">
      <c r="A2737" t="s">
        <v>3928</v>
      </c>
      <c r="B2737" t="s">
        <v>2590</v>
      </c>
      <c r="C2737" s="1">
        <v>43385</v>
      </c>
      <c r="D2737" s="2">
        <v>79783827</v>
      </c>
      <c r="E2737" s="2">
        <v>9749</v>
      </c>
      <c r="F2737">
        <v>53</v>
      </c>
      <c r="G2737" s="2">
        <v>606083529</v>
      </c>
      <c r="H2737" s="2">
        <v>3884982</v>
      </c>
      <c r="J2737">
        <v>21</v>
      </c>
      <c r="L2737">
        <v>0</v>
      </c>
      <c r="M2737" t="str">
        <f t="shared" si="42"/>
        <v>2010-2020</v>
      </c>
    </row>
    <row r="2738" spans="1:13" hidden="1">
      <c r="A2738" t="s">
        <v>3929</v>
      </c>
      <c r="B2738" t="s">
        <v>2594</v>
      </c>
      <c r="C2738" s="1">
        <v>43517</v>
      </c>
      <c r="D2738" s="2">
        <v>631152992</v>
      </c>
      <c r="E2738" s="2">
        <v>82632</v>
      </c>
      <c r="F2738">
        <v>76</v>
      </c>
      <c r="G2738" s="2">
        <v>655475553</v>
      </c>
      <c r="H2738" s="2">
        <v>3056895</v>
      </c>
      <c r="I2738" s="2">
        <v>353157722</v>
      </c>
      <c r="J2738">
        <v>16</v>
      </c>
      <c r="L2738">
        <v>0</v>
      </c>
      <c r="M2738" t="str">
        <f t="shared" si="42"/>
        <v>2010-2020</v>
      </c>
    </row>
    <row r="2739" spans="1:13" hidden="1">
      <c r="A2739" t="s">
        <v>3930</v>
      </c>
      <c r="B2739" t="s">
        <v>3931</v>
      </c>
      <c r="C2739" s="1">
        <v>43823</v>
      </c>
      <c r="D2739" s="2">
        <v>92120986</v>
      </c>
      <c r="E2739" s="2">
        <v>8924</v>
      </c>
      <c r="F2739">
        <v>56</v>
      </c>
      <c r="G2739" s="2">
        <v>981723299</v>
      </c>
      <c r="H2739" s="2">
        <v>6195434</v>
      </c>
      <c r="I2739" s="2">
        <v>219466261</v>
      </c>
      <c r="J2739">
        <v>8</v>
      </c>
      <c r="L2739">
        <v>0</v>
      </c>
      <c r="M2739" t="str">
        <f t="shared" si="42"/>
        <v>2010-2020</v>
      </c>
    </row>
    <row r="2740" spans="1:13">
      <c r="A2740" t="s">
        <v>3932</v>
      </c>
      <c r="B2740" t="s">
        <v>3933</v>
      </c>
      <c r="C2740" s="1">
        <v>45058</v>
      </c>
      <c r="D2740" s="2">
        <v>42332727</v>
      </c>
      <c r="E2740" s="2">
        <v>7018</v>
      </c>
      <c r="F2740">
        <v>65</v>
      </c>
      <c r="G2740" s="2">
        <v>23741737</v>
      </c>
      <c r="H2740" s="2">
        <v>116972</v>
      </c>
      <c r="I2740" s="2">
        <v>14014956</v>
      </c>
      <c r="J2740">
        <v>22</v>
      </c>
      <c r="K2740">
        <v>5</v>
      </c>
      <c r="L2740">
        <v>0</v>
      </c>
      <c r="M2740" t="str">
        <f t="shared" si="42"/>
        <v>After 2020</v>
      </c>
    </row>
    <row r="2741" spans="1:13" hidden="1">
      <c r="A2741" t="s">
        <v>3934</v>
      </c>
      <c r="B2741" t="s">
        <v>3935</v>
      </c>
      <c r="C2741" s="1">
        <v>45072</v>
      </c>
      <c r="D2741" s="2">
        <v>65670361</v>
      </c>
      <c r="E2741" s="2">
        <v>8193</v>
      </c>
      <c r="F2741">
        <v>66</v>
      </c>
      <c r="G2741" s="2">
        <v>96035934</v>
      </c>
      <c r="H2741" s="2">
        <v>736076</v>
      </c>
      <c r="I2741" s="2">
        <v>493111688</v>
      </c>
      <c r="J2741">
        <v>2</v>
      </c>
      <c r="L2741">
        <v>0</v>
      </c>
      <c r="M2741" t="str">
        <f t="shared" si="42"/>
        <v>After 2020</v>
      </c>
    </row>
    <row r="2742" spans="1:13">
      <c r="A2742" t="s">
        <v>3936</v>
      </c>
      <c r="B2742" t="s">
        <v>3937</v>
      </c>
      <c r="C2742" s="1">
        <v>44057</v>
      </c>
      <c r="D2742" s="2">
        <v>55312275</v>
      </c>
      <c r="E2742" s="2">
        <v>16559</v>
      </c>
      <c r="F2742">
        <v>45</v>
      </c>
      <c r="G2742" s="2">
        <v>39808873</v>
      </c>
      <c r="H2742" s="2">
        <v>574179</v>
      </c>
      <c r="I2742" s="2">
        <v>2188871458</v>
      </c>
      <c r="J2742">
        <v>19</v>
      </c>
      <c r="K2742">
        <v>186</v>
      </c>
      <c r="L2742">
        <v>1</v>
      </c>
      <c r="M2742" t="str">
        <f t="shared" si="42"/>
        <v>2010-2020</v>
      </c>
    </row>
    <row r="2743" spans="1:13">
      <c r="A2743" t="s">
        <v>2241</v>
      </c>
      <c r="B2743" t="s">
        <v>1857</v>
      </c>
      <c r="C2743" s="1">
        <v>39448</v>
      </c>
      <c r="D2743" s="2">
        <v>1315577954</v>
      </c>
      <c r="E2743" s="2">
        <v>261770</v>
      </c>
      <c r="F2743">
        <v>79</v>
      </c>
      <c r="G2743" s="2">
        <v>366241783</v>
      </c>
      <c r="H2743" s="2">
        <v>2719377</v>
      </c>
      <c r="I2743" s="2">
        <v>250337316</v>
      </c>
      <c r="J2743">
        <v>96</v>
      </c>
      <c r="K2743">
        <v>67</v>
      </c>
      <c r="L2743">
        <v>0</v>
      </c>
      <c r="M2743" t="str">
        <f t="shared" si="42"/>
        <v>Before 2010</v>
      </c>
    </row>
    <row r="2744" spans="1:13" hidden="1">
      <c r="A2744" t="s">
        <v>3938</v>
      </c>
      <c r="B2744" t="s">
        <v>3939</v>
      </c>
      <c r="C2744" s="1">
        <v>45296</v>
      </c>
      <c r="D2744" s="2">
        <v>20710234</v>
      </c>
      <c r="E2744" s="2">
        <v>1513</v>
      </c>
      <c r="F2744">
        <v>61</v>
      </c>
      <c r="G2744" s="2">
        <v>89001571</v>
      </c>
      <c r="H2744" s="2">
        <v>370896</v>
      </c>
      <c r="J2744">
        <v>7</v>
      </c>
      <c r="L2744">
        <v>0</v>
      </c>
      <c r="M2744" t="str">
        <f t="shared" si="42"/>
        <v>After 2020</v>
      </c>
    </row>
    <row r="2745" spans="1:13">
      <c r="A2745" t="s">
        <v>3940</v>
      </c>
      <c r="B2745" t="s">
        <v>305</v>
      </c>
      <c r="C2745" s="1">
        <v>44407</v>
      </c>
      <c r="D2745" s="2">
        <v>248947222</v>
      </c>
      <c r="E2745" s="2">
        <v>70726</v>
      </c>
      <c r="F2745">
        <v>63</v>
      </c>
      <c r="G2745" s="2">
        <v>129102965</v>
      </c>
      <c r="H2745" s="2">
        <v>1676120</v>
      </c>
      <c r="I2745" s="2">
        <v>5258682</v>
      </c>
      <c r="J2745">
        <v>95</v>
      </c>
      <c r="K2745">
        <v>20</v>
      </c>
      <c r="L2745">
        <v>0</v>
      </c>
      <c r="M2745" t="str">
        <f t="shared" si="42"/>
        <v>After 2020</v>
      </c>
    </row>
    <row r="2746" spans="1:13">
      <c r="A2746" t="s">
        <v>3941</v>
      </c>
      <c r="B2746" t="s">
        <v>311</v>
      </c>
      <c r="C2746" s="1">
        <v>42600</v>
      </c>
      <c r="D2746" s="2">
        <v>1351515181</v>
      </c>
      <c r="E2746" s="2">
        <v>114379</v>
      </c>
      <c r="F2746">
        <v>74</v>
      </c>
      <c r="G2746" s="2">
        <v>602907962</v>
      </c>
      <c r="H2746" s="2">
        <v>5996722</v>
      </c>
      <c r="I2746" s="2">
        <v>169125285</v>
      </c>
      <c r="J2746">
        <v>14</v>
      </c>
      <c r="K2746">
        <v>245</v>
      </c>
      <c r="L2746">
        <v>0</v>
      </c>
      <c r="M2746" t="str">
        <f t="shared" si="42"/>
        <v>2010-2020</v>
      </c>
    </row>
    <row r="2747" spans="1:13">
      <c r="A2747" t="s">
        <v>3942</v>
      </c>
      <c r="B2747" t="s">
        <v>509</v>
      </c>
      <c r="C2747" s="1">
        <v>43205</v>
      </c>
      <c r="D2747" s="2">
        <v>47325533</v>
      </c>
      <c r="E2747" s="2">
        <v>11423</v>
      </c>
      <c r="F2747">
        <v>54</v>
      </c>
      <c r="G2747" s="2">
        <v>585319992</v>
      </c>
      <c r="H2747" s="2">
        <v>2136542</v>
      </c>
      <c r="I2747" s="2">
        <v>6695334604</v>
      </c>
      <c r="J2747">
        <v>3</v>
      </c>
      <c r="K2747">
        <v>13</v>
      </c>
      <c r="L2747">
        <v>0</v>
      </c>
      <c r="M2747" t="str">
        <f t="shared" si="42"/>
        <v>2010-2020</v>
      </c>
    </row>
    <row r="2748" spans="1:13" hidden="1">
      <c r="A2748" t="s">
        <v>3943</v>
      </c>
      <c r="B2748" t="s">
        <v>233</v>
      </c>
      <c r="C2748" s="1">
        <v>44496</v>
      </c>
      <c r="D2748" s="2">
        <v>313209345</v>
      </c>
      <c r="E2748" s="2">
        <v>57092</v>
      </c>
      <c r="F2748">
        <v>65</v>
      </c>
      <c r="I2748" s="2">
        <v>145431218</v>
      </c>
      <c r="J2748">
        <v>6</v>
      </c>
      <c r="L2748">
        <v>0</v>
      </c>
      <c r="M2748" t="str">
        <f t="shared" si="42"/>
        <v>After 2020</v>
      </c>
    </row>
    <row r="2749" spans="1:13" hidden="1">
      <c r="A2749" t="s">
        <v>3944</v>
      </c>
      <c r="B2749" t="s">
        <v>3945</v>
      </c>
      <c r="C2749" s="1">
        <v>45016</v>
      </c>
      <c r="D2749" s="2">
        <v>271785</v>
      </c>
      <c r="E2749">
        <v>152</v>
      </c>
      <c r="F2749">
        <v>21</v>
      </c>
      <c r="G2749" s="2">
        <v>281209604</v>
      </c>
      <c r="H2749" s="2">
        <v>1652039</v>
      </c>
      <c r="L2749">
        <v>0</v>
      </c>
      <c r="M2749" t="str">
        <f t="shared" si="42"/>
        <v>After 2020</v>
      </c>
    </row>
    <row r="2750" spans="1:13">
      <c r="A2750" t="s">
        <v>3946</v>
      </c>
      <c r="B2750" t="s">
        <v>1949</v>
      </c>
      <c r="C2750" s="1">
        <v>43637</v>
      </c>
      <c r="D2750" s="2">
        <v>612159812</v>
      </c>
      <c r="E2750" s="2">
        <v>128472</v>
      </c>
      <c r="F2750">
        <v>72</v>
      </c>
      <c r="G2750" s="2">
        <v>218832200</v>
      </c>
      <c r="H2750" s="2">
        <v>3089060</v>
      </c>
      <c r="I2750" s="2">
        <v>3490816416</v>
      </c>
      <c r="J2750">
        <v>32</v>
      </c>
      <c r="K2750">
        <v>301</v>
      </c>
      <c r="L2750">
        <v>1</v>
      </c>
      <c r="M2750" t="str">
        <f t="shared" si="42"/>
        <v>2010-2020</v>
      </c>
    </row>
    <row r="2751" spans="1:13">
      <c r="A2751" t="s">
        <v>3947</v>
      </c>
      <c r="B2751" t="s">
        <v>2331</v>
      </c>
      <c r="C2751" s="1">
        <v>45163</v>
      </c>
      <c r="D2751" s="2">
        <v>63748913</v>
      </c>
      <c r="E2751" s="2">
        <v>11841</v>
      </c>
      <c r="F2751">
        <v>60</v>
      </c>
      <c r="G2751" s="2">
        <v>109386782</v>
      </c>
      <c r="H2751" s="2">
        <v>532629</v>
      </c>
      <c r="I2751" s="2">
        <v>4695060</v>
      </c>
      <c r="J2751">
        <v>4</v>
      </c>
      <c r="K2751">
        <v>113</v>
      </c>
      <c r="L2751">
        <v>1</v>
      </c>
      <c r="M2751" t="str">
        <f t="shared" si="42"/>
        <v>After 2020</v>
      </c>
    </row>
    <row r="2752" spans="1:13" hidden="1">
      <c r="A2752" t="s">
        <v>3948</v>
      </c>
      <c r="B2752" t="s">
        <v>3155</v>
      </c>
      <c r="C2752" s="1">
        <v>45177</v>
      </c>
      <c r="D2752" s="2">
        <v>76805130</v>
      </c>
      <c r="E2752" s="2">
        <v>12362</v>
      </c>
      <c r="G2752" s="2">
        <v>62061765</v>
      </c>
      <c r="H2752" s="2">
        <v>290394</v>
      </c>
      <c r="I2752" s="2">
        <v>261958744</v>
      </c>
      <c r="J2752">
        <v>7</v>
      </c>
      <c r="L2752">
        <v>1</v>
      </c>
      <c r="M2752" t="str">
        <f t="shared" si="42"/>
        <v>After 2020</v>
      </c>
    </row>
    <row r="2753" spans="1:13" hidden="1">
      <c r="A2753" t="s">
        <v>3949</v>
      </c>
      <c r="B2753" t="s">
        <v>3950</v>
      </c>
      <c r="C2753" s="1">
        <v>45212</v>
      </c>
      <c r="D2753" s="2">
        <v>72773866</v>
      </c>
      <c r="E2753" s="2">
        <v>23003</v>
      </c>
      <c r="F2753">
        <v>71</v>
      </c>
      <c r="G2753" s="2">
        <v>5868964</v>
      </c>
      <c r="H2753" s="2">
        <v>68984</v>
      </c>
      <c r="J2753">
        <v>15</v>
      </c>
      <c r="L2753">
        <v>0</v>
      </c>
      <c r="M2753" t="str">
        <f t="shared" si="42"/>
        <v>After 2020</v>
      </c>
    </row>
    <row r="2754" spans="1:13" hidden="1">
      <c r="A2754" t="s">
        <v>3951</v>
      </c>
      <c r="B2754" t="s">
        <v>3952</v>
      </c>
      <c r="C2754" s="1">
        <v>43672</v>
      </c>
      <c r="D2754" s="2">
        <v>402771910</v>
      </c>
      <c r="E2754" s="2">
        <v>128641</v>
      </c>
      <c r="F2754">
        <v>73</v>
      </c>
      <c r="G2754" s="2">
        <v>131360082</v>
      </c>
      <c r="H2754" s="2">
        <v>1357948</v>
      </c>
      <c r="I2754" s="2">
        <v>1028129238</v>
      </c>
      <c r="J2754">
        <v>76</v>
      </c>
      <c r="L2754">
        <v>0</v>
      </c>
      <c r="M2754" t="str">
        <f t="shared" si="42"/>
        <v>2010-2020</v>
      </c>
    </row>
    <row r="2755" spans="1:13" hidden="1">
      <c r="A2755" t="s">
        <v>3953</v>
      </c>
      <c r="B2755" t="s">
        <v>2162</v>
      </c>
      <c r="C2755" s="1">
        <v>43588</v>
      </c>
      <c r="D2755" s="2">
        <v>526019789</v>
      </c>
      <c r="E2755" s="2">
        <v>102549</v>
      </c>
      <c r="F2755">
        <v>64</v>
      </c>
      <c r="G2755" s="2">
        <v>272873622</v>
      </c>
      <c r="H2755" s="2">
        <v>4245401</v>
      </c>
      <c r="I2755" s="2">
        <v>21779736</v>
      </c>
      <c r="J2755">
        <v>16</v>
      </c>
      <c r="L2755">
        <v>1</v>
      </c>
      <c r="M2755" t="str">
        <f t="shared" ref="M2755:M2818" si="43">IF(YEAR(C2755)&lt;2010,"Before 2010",IF(YEAR(C2755)&lt;=2020,"2010-2020","After 2020"))</f>
        <v>2010-2020</v>
      </c>
    </row>
    <row r="2756" spans="1:13">
      <c r="A2756" t="s">
        <v>3954</v>
      </c>
      <c r="B2756" t="s">
        <v>301</v>
      </c>
      <c r="C2756" s="1">
        <v>43938</v>
      </c>
      <c r="D2756" s="2">
        <v>503296417</v>
      </c>
      <c r="E2756" s="2">
        <v>55067</v>
      </c>
      <c r="F2756">
        <v>74</v>
      </c>
      <c r="G2756" s="2">
        <v>198319407</v>
      </c>
      <c r="H2756" s="2">
        <v>665110</v>
      </c>
      <c r="I2756" s="2">
        <v>124574139</v>
      </c>
      <c r="J2756">
        <v>27</v>
      </c>
      <c r="K2756">
        <v>31</v>
      </c>
      <c r="L2756">
        <v>0</v>
      </c>
      <c r="M2756" t="str">
        <f t="shared" si="43"/>
        <v>2010-2020</v>
      </c>
    </row>
    <row r="2757" spans="1:13">
      <c r="A2757" t="s">
        <v>3955</v>
      </c>
      <c r="B2757" t="s">
        <v>1326</v>
      </c>
      <c r="C2757" s="1">
        <v>40728</v>
      </c>
      <c r="D2757" s="2">
        <v>955547971</v>
      </c>
      <c r="E2757" s="2">
        <v>199078</v>
      </c>
      <c r="F2757">
        <v>76</v>
      </c>
      <c r="G2757" s="2">
        <v>310902280</v>
      </c>
      <c r="H2757" s="2">
        <v>2357811</v>
      </c>
      <c r="I2757" s="2">
        <v>130023976</v>
      </c>
      <c r="J2757">
        <v>42</v>
      </c>
      <c r="K2757">
        <v>92</v>
      </c>
      <c r="L2757">
        <v>1</v>
      </c>
      <c r="M2757" t="str">
        <f t="shared" si="43"/>
        <v>2010-2020</v>
      </c>
    </row>
    <row r="2758" spans="1:13" hidden="1">
      <c r="A2758" t="s">
        <v>3956</v>
      </c>
      <c r="B2758" t="s">
        <v>3957</v>
      </c>
      <c r="C2758" s="1">
        <v>43763</v>
      </c>
      <c r="D2758" s="2">
        <v>170646969</v>
      </c>
      <c r="E2758" s="2">
        <v>5488</v>
      </c>
      <c r="F2758">
        <v>47</v>
      </c>
      <c r="G2758" s="2">
        <v>990507015</v>
      </c>
      <c r="H2758" s="2">
        <v>5312366</v>
      </c>
      <c r="J2758">
        <v>5</v>
      </c>
      <c r="K2758">
        <v>2</v>
      </c>
      <c r="L2758">
        <v>0</v>
      </c>
      <c r="M2758" t="str">
        <f t="shared" si="43"/>
        <v>2010-2020</v>
      </c>
    </row>
    <row r="2759" spans="1:13">
      <c r="A2759" t="s">
        <v>3958</v>
      </c>
      <c r="B2759" t="s">
        <v>3959</v>
      </c>
      <c r="C2759" s="1">
        <v>44694</v>
      </c>
      <c r="D2759" s="2">
        <v>250626750</v>
      </c>
      <c r="E2759" s="2">
        <v>28158</v>
      </c>
      <c r="F2759">
        <v>66</v>
      </c>
      <c r="G2759" s="2">
        <v>42387613</v>
      </c>
      <c r="H2759" s="2">
        <v>401947</v>
      </c>
      <c r="I2759" s="2">
        <v>1888735985</v>
      </c>
      <c r="J2759">
        <v>17</v>
      </c>
      <c r="K2759">
        <v>7</v>
      </c>
      <c r="L2759">
        <v>0</v>
      </c>
      <c r="M2759" t="str">
        <f t="shared" si="43"/>
        <v>After 2020</v>
      </c>
    </row>
    <row r="2760" spans="1:13" hidden="1">
      <c r="A2760" t="s">
        <v>3960</v>
      </c>
      <c r="B2760" t="s">
        <v>1326</v>
      </c>
      <c r="C2760" s="1">
        <v>45387</v>
      </c>
      <c r="D2760" s="2">
        <v>36972292</v>
      </c>
      <c r="E2760" s="2">
        <v>5914</v>
      </c>
      <c r="G2760" s="2">
        <v>7753794</v>
      </c>
      <c r="H2760" s="2">
        <v>139155</v>
      </c>
      <c r="J2760">
        <v>3</v>
      </c>
      <c r="L2760">
        <v>1</v>
      </c>
      <c r="M2760" t="str">
        <f t="shared" si="43"/>
        <v>After 2020</v>
      </c>
    </row>
    <row r="2761" spans="1:13">
      <c r="A2761" t="s">
        <v>3961</v>
      </c>
      <c r="B2761" t="s">
        <v>3962</v>
      </c>
      <c r="C2761" s="1">
        <v>42951</v>
      </c>
      <c r="D2761" s="2">
        <v>733772721</v>
      </c>
      <c r="E2761" s="2">
        <v>146447</v>
      </c>
      <c r="F2761">
        <v>65</v>
      </c>
      <c r="G2761" s="2">
        <v>251008598</v>
      </c>
      <c r="H2761" s="2">
        <v>3281866</v>
      </c>
      <c r="I2761" s="2">
        <v>707393379</v>
      </c>
      <c r="J2761">
        <v>104</v>
      </c>
      <c r="K2761">
        <v>28</v>
      </c>
      <c r="L2761">
        <v>1</v>
      </c>
      <c r="M2761" t="str">
        <f t="shared" si="43"/>
        <v>2010-2020</v>
      </c>
    </row>
    <row r="2762" spans="1:13">
      <c r="A2762" t="s">
        <v>3963</v>
      </c>
      <c r="B2762" t="s">
        <v>1480</v>
      </c>
      <c r="C2762" s="1">
        <v>43662</v>
      </c>
      <c r="D2762" s="2">
        <v>676690653</v>
      </c>
      <c r="E2762" s="2">
        <v>183862</v>
      </c>
      <c r="F2762">
        <v>73</v>
      </c>
      <c r="G2762" s="2">
        <v>69181584</v>
      </c>
      <c r="H2762" s="2">
        <v>992247</v>
      </c>
      <c r="I2762" s="2">
        <v>203414980</v>
      </c>
      <c r="J2762">
        <v>34</v>
      </c>
      <c r="K2762">
        <v>3</v>
      </c>
      <c r="L2762">
        <v>1</v>
      </c>
      <c r="M2762" t="str">
        <f t="shared" si="43"/>
        <v>2010-2020</v>
      </c>
    </row>
    <row r="2763" spans="1:13">
      <c r="A2763" t="s">
        <v>3964</v>
      </c>
      <c r="B2763" t="s">
        <v>3965</v>
      </c>
      <c r="C2763" s="1">
        <v>44275</v>
      </c>
      <c r="D2763" s="2">
        <v>21634137</v>
      </c>
      <c r="E2763" s="2">
        <v>6881</v>
      </c>
      <c r="F2763">
        <v>40</v>
      </c>
      <c r="G2763" s="2">
        <v>1198045</v>
      </c>
      <c r="H2763" s="2">
        <v>19492</v>
      </c>
      <c r="I2763" s="2">
        <v>1553141547</v>
      </c>
      <c r="J2763">
        <v>10</v>
      </c>
      <c r="K2763">
        <v>11</v>
      </c>
      <c r="L2763">
        <v>1</v>
      </c>
      <c r="M2763" t="str">
        <f t="shared" si="43"/>
        <v>After 2020</v>
      </c>
    </row>
    <row r="2764" spans="1:13">
      <c r="A2764" t="s">
        <v>3966</v>
      </c>
      <c r="B2764" t="s">
        <v>288</v>
      </c>
      <c r="C2764" s="1">
        <v>43945</v>
      </c>
      <c r="D2764" s="2">
        <v>553627198</v>
      </c>
      <c r="E2764" s="2">
        <v>108088</v>
      </c>
      <c r="F2764">
        <v>64</v>
      </c>
      <c r="G2764" s="2">
        <v>293505196</v>
      </c>
      <c r="H2764" s="2">
        <v>3213599</v>
      </c>
      <c r="I2764" s="2">
        <v>43552260</v>
      </c>
      <c r="J2764">
        <v>32</v>
      </c>
      <c r="K2764">
        <v>31</v>
      </c>
      <c r="L2764">
        <v>1</v>
      </c>
      <c r="M2764" t="str">
        <f t="shared" si="43"/>
        <v>2010-2020</v>
      </c>
    </row>
    <row r="2765" spans="1:13">
      <c r="A2765" t="s">
        <v>863</v>
      </c>
      <c r="B2765" t="s">
        <v>619</v>
      </c>
      <c r="C2765" s="1">
        <v>42972</v>
      </c>
      <c r="D2765" s="2">
        <v>500508660</v>
      </c>
      <c r="E2765" s="2">
        <v>31360</v>
      </c>
      <c r="F2765">
        <v>68</v>
      </c>
      <c r="G2765" s="2">
        <v>978838486</v>
      </c>
      <c r="H2765" s="2">
        <v>4506721</v>
      </c>
      <c r="I2765" s="2">
        <v>136354987</v>
      </c>
      <c r="J2765">
        <v>12</v>
      </c>
      <c r="K2765">
        <v>65</v>
      </c>
      <c r="L2765">
        <v>0</v>
      </c>
      <c r="M2765" t="str">
        <f t="shared" si="43"/>
        <v>2010-2020</v>
      </c>
    </row>
    <row r="2766" spans="1:13" hidden="1">
      <c r="A2766" t="s">
        <v>3967</v>
      </c>
      <c r="B2766" t="s">
        <v>3968</v>
      </c>
      <c r="C2766" s="1">
        <v>44743</v>
      </c>
      <c r="D2766" s="2">
        <v>255564797</v>
      </c>
      <c r="E2766" s="2">
        <v>31242</v>
      </c>
      <c r="F2766">
        <v>63</v>
      </c>
      <c r="G2766" s="2">
        <v>264486017</v>
      </c>
      <c r="H2766" s="2">
        <v>1523924</v>
      </c>
      <c r="I2766" s="2">
        <v>183685728</v>
      </c>
      <c r="L2766">
        <v>1</v>
      </c>
      <c r="M2766" t="str">
        <f t="shared" si="43"/>
        <v>After 2020</v>
      </c>
    </row>
    <row r="2767" spans="1:13" hidden="1">
      <c r="A2767" t="s">
        <v>3969</v>
      </c>
      <c r="B2767" t="s">
        <v>3970</v>
      </c>
      <c r="C2767" s="1">
        <v>44980</v>
      </c>
      <c r="D2767" s="2">
        <v>157826873</v>
      </c>
      <c r="E2767" s="2">
        <v>34124</v>
      </c>
      <c r="F2767">
        <v>4</v>
      </c>
      <c r="G2767" s="2">
        <v>33874675</v>
      </c>
      <c r="H2767" s="2">
        <v>706576</v>
      </c>
      <c r="I2767" s="2">
        <v>587731</v>
      </c>
      <c r="J2767">
        <v>5</v>
      </c>
      <c r="L2767">
        <v>1</v>
      </c>
      <c r="M2767" t="str">
        <f t="shared" si="43"/>
        <v>After 2020</v>
      </c>
    </row>
    <row r="2768" spans="1:13" hidden="1">
      <c r="A2768" t="s">
        <v>3971</v>
      </c>
      <c r="B2768" t="s">
        <v>391</v>
      </c>
      <c r="C2768" s="1">
        <v>43707</v>
      </c>
      <c r="D2768" s="2">
        <v>6197708</v>
      </c>
      <c r="E2768">
        <v>428</v>
      </c>
      <c r="F2768">
        <v>26</v>
      </c>
      <c r="G2768" s="2">
        <v>1100441738</v>
      </c>
      <c r="H2768" s="2">
        <v>18179095</v>
      </c>
      <c r="I2768" s="2">
        <v>421369</v>
      </c>
      <c r="L2768">
        <v>0</v>
      </c>
      <c r="M2768" t="str">
        <f t="shared" si="43"/>
        <v>2010-2020</v>
      </c>
    </row>
    <row r="2769" spans="1:13">
      <c r="A2769" t="s">
        <v>3972</v>
      </c>
      <c r="B2769" t="s">
        <v>3973</v>
      </c>
      <c r="C2769" s="1">
        <v>43356</v>
      </c>
      <c r="D2769" s="2">
        <v>492873992</v>
      </c>
      <c r="E2769" s="2">
        <v>86600</v>
      </c>
      <c r="F2769">
        <v>58</v>
      </c>
      <c r="G2769" s="2">
        <v>319720084</v>
      </c>
      <c r="H2769" s="2">
        <v>2660740</v>
      </c>
      <c r="I2769" s="2">
        <v>1010801789</v>
      </c>
      <c r="J2769">
        <v>23</v>
      </c>
      <c r="K2769">
        <v>106</v>
      </c>
      <c r="L2769">
        <v>1</v>
      </c>
      <c r="M2769" t="str">
        <f t="shared" si="43"/>
        <v>2010-2020</v>
      </c>
    </row>
    <row r="2770" spans="1:13" hidden="1">
      <c r="A2770" t="s">
        <v>3974</v>
      </c>
      <c r="B2770" t="s">
        <v>3975</v>
      </c>
      <c r="C2770" s="1">
        <v>45267</v>
      </c>
      <c r="D2770" s="2">
        <v>117285775</v>
      </c>
      <c r="E2770" s="2">
        <v>5157</v>
      </c>
      <c r="G2770" s="2">
        <v>74303022</v>
      </c>
      <c r="H2770" s="2">
        <v>525485</v>
      </c>
      <c r="J2770">
        <v>16</v>
      </c>
      <c r="L2770">
        <v>0</v>
      </c>
      <c r="M2770" t="str">
        <f t="shared" si="43"/>
        <v>After 2020</v>
      </c>
    </row>
    <row r="2771" spans="1:13" hidden="1">
      <c r="A2771" t="s">
        <v>3976</v>
      </c>
      <c r="B2771" t="s">
        <v>3977</v>
      </c>
      <c r="C2771" s="1">
        <v>45359</v>
      </c>
      <c r="D2771" s="2">
        <v>11315262</v>
      </c>
      <c r="E2771">
        <v>557</v>
      </c>
      <c r="G2771" s="2">
        <v>53172804</v>
      </c>
      <c r="H2771" s="2">
        <v>172426</v>
      </c>
      <c r="J2771">
        <v>2</v>
      </c>
      <c r="L2771">
        <v>0</v>
      </c>
      <c r="M2771" t="str">
        <f t="shared" si="43"/>
        <v>After 2020</v>
      </c>
    </row>
    <row r="2772" spans="1:13" hidden="1">
      <c r="A2772" t="s">
        <v>3978</v>
      </c>
      <c r="B2772" t="s">
        <v>3979</v>
      </c>
      <c r="C2772" s="1">
        <v>44701</v>
      </c>
      <c r="D2772" s="2">
        <v>317919778</v>
      </c>
      <c r="E2772" s="2">
        <v>77387</v>
      </c>
      <c r="F2772">
        <v>68</v>
      </c>
      <c r="G2772" s="2">
        <v>51618223</v>
      </c>
      <c r="H2772" s="2">
        <v>617981</v>
      </c>
      <c r="I2772" s="2">
        <v>60936894</v>
      </c>
      <c r="J2772">
        <v>17</v>
      </c>
      <c r="L2772">
        <v>1</v>
      </c>
      <c r="M2772" t="str">
        <f t="shared" si="43"/>
        <v>After 2020</v>
      </c>
    </row>
    <row r="2773" spans="1:13" hidden="1">
      <c r="A2773" t="s">
        <v>3980</v>
      </c>
      <c r="B2773" t="s">
        <v>974</v>
      </c>
      <c r="C2773" s="1">
        <v>45141</v>
      </c>
      <c r="D2773" s="2">
        <v>112629182</v>
      </c>
      <c r="E2773" s="2">
        <v>13995</v>
      </c>
      <c r="F2773">
        <v>68</v>
      </c>
      <c r="G2773" s="2">
        <v>45525215</v>
      </c>
      <c r="H2773" s="2">
        <v>604580</v>
      </c>
      <c r="I2773" s="2">
        <v>569736479</v>
      </c>
      <c r="J2773">
        <v>16</v>
      </c>
      <c r="L2773">
        <v>0</v>
      </c>
      <c r="M2773" t="str">
        <f t="shared" si="43"/>
        <v>After 2020</v>
      </c>
    </row>
    <row r="2774" spans="1:13">
      <c r="A2774" t="s">
        <v>3981</v>
      </c>
      <c r="B2774" t="s">
        <v>3982</v>
      </c>
      <c r="C2774" s="1">
        <v>44875</v>
      </c>
      <c r="D2774" s="2">
        <v>185042019</v>
      </c>
      <c r="E2774" s="2">
        <v>41058</v>
      </c>
      <c r="F2774">
        <v>62</v>
      </c>
      <c r="G2774" s="2">
        <v>35977202</v>
      </c>
      <c r="H2774" s="2">
        <v>482490</v>
      </c>
      <c r="I2774" s="2">
        <v>68670799</v>
      </c>
      <c r="J2774">
        <v>35</v>
      </c>
      <c r="K2774">
        <v>189</v>
      </c>
      <c r="L2774">
        <v>0</v>
      </c>
      <c r="M2774" t="str">
        <f t="shared" si="43"/>
        <v>After 2020</v>
      </c>
    </row>
    <row r="2775" spans="1:13" hidden="1">
      <c r="A2775" t="s">
        <v>3983</v>
      </c>
      <c r="B2775" t="s">
        <v>1430</v>
      </c>
      <c r="C2775" s="1">
        <v>45139</v>
      </c>
      <c r="D2775" s="2">
        <v>97989585</v>
      </c>
      <c r="E2775" s="2">
        <v>11146</v>
      </c>
      <c r="F2775">
        <v>63</v>
      </c>
      <c r="G2775" s="2">
        <v>102363097</v>
      </c>
      <c r="H2775" s="2">
        <v>1045313</v>
      </c>
      <c r="J2775">
        <v>16</v>
      </c>
      <c r="L2775">
        <v>0</v>
      </c>
      <c r="M2775" t="str">
        <f t="shared" si="43"/>
        <v>After 2020</v>
      </c>
    </row>
    <row r="2776" spans="1:13" hidden="1">
      <c r="A2776" t="s">
        <v>3984</v>
      </c>
      <c r="B2776" t="s">
        <v>3985</v>
      </c>
      <c r="C2776" s="1">
        <v>45020</v>
      </c>
      <c r="D2776" s="2">
        <v>32244050</v>
      </c>
      <c r="E2776" s="2">
        <v>12908</v>
      </c>
      <c r="F2776">
        <v>58</v>
      </c>
      <c r="G2776" s="2">
        <v>103148536</v>
      </c>
      <c r="H2776" s="2">
        <v>1493640</v>
      </c>
      <c r="I2776" s="2">
        <v>1579523296</v>
      </c>
      <c r="J2776">
        <v>1</v>
      </c>
      <c r="L2776">
        <v>0</v>
      </c>
      <c r="M2776" t="str">
        <f t="shared" si="43"/>
        <v>After 2020</v>
      </c>
    </row>
    <row r="2777" spans="1:13">
      <c r="A2777" t="s">
        <v>3986</v>
      </c>
      <c r="B2777" t="s">
        <v>200</v>
      </c>
      <c r="C2777" s="1">
        <v>44596</v>
      </c>
      <c r="D2777" s="2">
        <v>254275891</v>
      </c>
      <c r="E2777" s="2">
        <v>27949</v>
      </c>
      <c r="F2777">
        <v>64</v>
      </c>
      <c r="G2777" s="2">
        <v>326775934</v>
      </c>
      <c r="H2777" s="2">
        <v>1525536</v>
      </c>
      <c r="I2777" s="2">
        <v>217432850</v>
      </c>
      <c r="J2777">
        <v>10</v>
      </c>
      <c r="K2777">
        <v>1</v>
      </c>
      <c r="L2777">
        <v>1</v>
      </c>
      <c r="M2777" t="str">
        <f t="shared" si="43"/>
        <v>After 2020</v>
      </c>
    </row>
    <row r="2778" spans="1:13" hidden="1">
      <c r="A2778" t="s">
        <v>3987</v>
      </c>
      <c r="B2778" t="s">
        <v>61</v>
      </c>
      <c r="C2778" s="1">
        <v>45401</v>
      </c>
      <c r="D2778" s="2">
        <v>88244010</v>
      </c>
      <c r="E2778" s="2">
        <v>2659</v>
      </c>
      <c r="G2778" s="2">
        <v>7381186</v>
      </c>
      <c r="H2778" s="2">
        <v>96742</v>
      </c>
      <c r="I2778" s="2">
        <v>14644000</v>
      </c>
      <c r="J2778">
        <v>9</v>
      </c>
      <c r="L2778">
        <v>0</v>
      </c>
      <c r="M2778" t="str">
        <f t="shared" si="43"/>
        <v>After 2020</v>
      </c>
    </row>
    <row r="2779" spans="1:13" hidden="1">
      <c r="A2779" t="s">
        <v>3988</v>
      </c>
      <c r="B2779" t="s">
        <v>926</v>
      </c>
      <c r="C2779" s="1">
        <v>43439</v>
      </c>
      <c r="D2779" s="2">
        <v>475881575</v>
      </c>
      <c r="E2779" s="2">
        <v>74084</v>
      </c>
      <c r="F2779">
        <v>57</v>
      </c>
      <c r="G2779" s="2">
        <v>40942190</v>
      </c>
      <c r="H2779" s="2">
        <v>516795</v>
      </c>
      <c r="I2779" s="2">
        <v>41147911</v>
      </c>
      <c r="J2779">
        <v>24</v>
      </c>
      <c r="L2779">
        <v>1</v>
      </c>
      <c r="M2779" t="str">
        <f t="shared" si="43"/>
        <v>2010-2020</v>
      </c>
    </row>
    <row r="2780" spans="1:13" hidden="1">
      <c r="A2780" t="s">
        <v>3989</v>
      </c>
      <c r="B2780" t="s">
        <v>3990</v>
      </c>
      <c r="C2780" s="1">
        <v>44919</v>
      </c>
      <c r="D2780" s="2">
        <v>118164</v>
      </c>
      <c r="E2780">
        <v>91</v>
      </c>
      <c r="F2780">
        <v>10</v>
      </c>
      <c r="G2780" s="2">
        <v>341971709</v>
      </c>
      <c r="H2780" s="2">
        <v>1203797</v>
      </c>
      <c r="I2780" s="2">
        <v>20739</v>
      </c>
      <c r="L2780">
        <v>1</v>
      </c>
      <c r="M2780" t="str">
        <f t="shared" si="43"/>
        <v>After 2020</v>
      </c>
    </row>
    <row r="2781" spans="1:13">
      <c r="A2781" t="s">
        <v>3991</v>
      </c>
      <c r="B2781" t="s">
        <v>520</v>
      </c>
      <c r="C2781" s="1">
        <v>43637</v>
      </c>
      <c r="D2781" s="2">
        <v>545011148</v>
      </c>
      <c r="E2781" s="2">
        <v>69335</v>
      </c>
      <c r="F2781">
        <v>65</v>
      </c>
      <c r="G2781" s="2">
        <v>312775703</v>
      </c>
      <c r="H2781" s="2">
        <v>3080420</v>
      </c>
      <c r="I2781" s="2">
        <v>170167441</v>
      </c>
      <c r="J2781">
        <v>75</v>
      </c>
      <c r="K2781">
        <v>56</v>
      </c>
      <c r="L2781">
        <v>0</v>
      </c>
      <c r="M2781" t="str">
        <f t="shared" si="43"/>
        <v>2010-2020</v>
      </c>
    </row>
    <row r="2782" spans="1:13">
      <c r="A2782" t="s">
        <v>3992</v>
      </c>
      <c r="B2782" t="s">
        <v>61</v>
      </c>
      <c r="C2782" s="1">
        <v>41640</v>
      </c>
      <c r="D2782" s="2">
        <v>964058806</v>
      </c>
      <c r="E2782" s="2">
        <v>102916</v>
      </c>
      <c r="F2782">
        <v>70</v>
      </c>
      <c r="G2782" s="2">
        <v>930982185</v>
      </c>
      <c r="H2782" s="2">
        <v>5528129</v>
      </c>
      <c r="I2782" s="2">
        <v>1025978293</v>
      </c>
      <c r="J2782">
        <v>76</v>
      </c>
      <c r="K2782">
        <v>150</v>
      </c>
      <c r="L2782">
        <v>0</v>
      </c>
      <c r="M2782" t="str">
        <f t="shared" si="43"/>
        <v>2010-2020</v>
      </c>
    </row>
    <row r="2783" spans="1:13" hidden="1">
      <c r="A2783" t="s">
        <v>3993</v>
      </c>
      <c r="B2783" t="s">
        <v>295</v>
      </c>
      <c r="C2783" s="1">
        <v>45205</v>
      </c>
      <c r="D2783" s="2">
        <v>74265576</v>
      </c>
      <c r="E2783" s="2">
        <v>23221</v>
      </c>
      <c r="J2783">
        <v>6</v>
      </c>
      <c r="L2783">
        <v>1</v>
      </c>
      <c r="M2783" t="str">
        <f t="shared" si="43"/>
        <v>After 2020</v>
      </c>
    </row>
    <row r="2784" spans="1:13" hidden="1">
      <c r="A2784" t="s">
        <v>52</v>
      </c>
      <c r="B2784" t="s">
        <v>53</v>
      </c>
      <c r="C2784" s="1">
        <v>45371</v>
      </c>
      <c r="D2784" s="2">
        <v>352623365</v>
      </c>
      <c r="E2784">
        <v>932</v>
      </c>
      <c r="J2784">
        <v>136</v>
      </c>
      <c r="L2784">
        <v>0</v>
      </c>
      <c r="M2784" t="str">
        <f t="shared" si="43"/>
        <v>After 2020</v>
      </c>
    </row>
    <row r="2785" spans="1:13">
      <c r="A2785" t="s">
        <v>3994</v>
      </c>
      <c r="B2785" t="s">
        <v>849</v>
      </c>
      <c r="C2785" s="1">
        <v>42957</v>
      </c>
      <c r="D2785" s="2">
        <v>788403596</v>
      </c>
      <c r="E2785" s="2">
        <v>79260</v>
      </c>
      <c r="F2785">
        <v>70</v>
      </c>
      <c r="G2785" s="2">
        <v>508358793</v>
      </c>
      <c r="H2785" s="2">
        <v>3107893</v>
      </c>
      <c r="I2785" s="2">
        <v>215488504</v>
      </c>
      <c r="J2785">
        <v>117</v>
      </c>
      <c r="K2785">
        <v>51</v>
      </c>
      <c r="L2785">
        <v>0</v>
      </c>
      <c r="M2785" t="str">
        <f t="shared" si="43"/>
        <v>2010-2020</v>
      </c>
    </row>
    <row r="2786" spans="1:13">
      <c r="A2786" t="s">
        <v>3995</v>
      </c>
      <c r="B2786" t="s">
        <v>3723</v>
      </c>
      <c r="C2786" s="1">
        <v>40544</v>
      </c>
      <c r="D2786" s="2">
        <v>456241170</v>
      </c>
      <c r="E2786" s="2">
        <v>89265</v>
      </c>
      <c r="F2786">
        <v>69</v>
      </c>
      <c r="G2786" s="2">
        <v>2333347395</v>
      </c>
      <c r="H2786" s="2">
        <v>9971513</v>
      </c>
      <c r="I2786" s="2">
        <v>1446146402</v>
      </c>
      <c r="J2786">
        <v>70</v>
      </c>
      <c r="K2786">
        <v>48</v>
      </c>
      <c r="L2786">
        <v>0</v>
      </c>
      <c r="M2786" t="str">
        <f t="shared" si="43"/>
        <v>2010-2020</v>
      </c>
    </row>
    <row r="2787" spans="1:13" hidden="1">
      <c r="A2787" t="s">
        <v>3996</v>
      </c>
      <c r="B2787" t="s">
        <v>3997</v>
      </c>
      <c r="C2787" s="1">
        <v>44729</v>
      </c>
      <c r="D2787" s="2">
        <v>120605300</v>
      </c>
      <c r="E2787" s="2">
        <v>50347</v>
      </c>
      <c r="F2787">
        <v>66</v>
      </c>
      <c r="G2787" s="2">
        <v>116373773</v>
      </c>
      <c r="H2787" s="2">
        <v>1063920</v>
      </c>
      <c r="I2787" s="2">
        <v>261974228</v>
      </c>
      <c r="J2787">
        <v>6</v>
      </c>
      <c r="L2787">
        <v>1</v>
      </c>
      <c r="M2787" t="str">
        <f t="shared" si="43"/>
        <v>After 2020</v>
      </c>
    </row>
    <row r="2788" spans="1:13" hidden="1">
      <c r="A2788" t="s">
        <v>3998</v>
      </c>
      <c r="B2788" t="s">
        <v>674</v>
      </c>
      <c r="C2788" s="1">
        <v>43371</v>
      </c>
      <c r="D2788" s="2">
        <v>1569891590</v>
      </c>
      <c r="E2788" s="2">
        <v>133300</v>
      </c>
      <c r="F2788">
        <v>66</v>
      </c>
      <c r="G2788" s="2">
        <v>384590913</v>
      </c>
      <c r="H2788" s="2">
        <v>3935031</v>
      </c>
      <c r="I2788" s="2">
        <v>530240861</v>
      </c>
      <c r="K2788">
        <v>124</v>
      </c>
      <c r="L2788">
        <v>1</v>
      </c>
      <c r="M2788" t="str">
        <f t="shared" si="43"/>
        <v>2010-2020</v>
      </c>
    </row>
    <row r="2789" spans="1:13">
      <c r="A2789" t="s">
        <v>3999</v>
      </c>
      <c r="B2789" t="s">
        <v>860</v>
      </c>
      <c r="C2789" s="1">
        <v>43896</v>
      </c>
      <c r="D2789" s="2">
        <v>199063354</v>
      </c>
      <c r="E2789" s="2">
        <v>27343</v>
      </c>
      <c r="F2789">
        <v>59</v>
      </c>
      <c r="G2789" s="2">
        <v>140058306</v>
      </c>
      <c r="H2789" s="2">
        <v>1231359</v>
      </c>
      <c r="I2789" s="2">
        <v>1039448470</v>
      </c>
      <c r="J2789">
        <v>30</v>
      </c>
      <c r="K2789">
        <v>50</v>
      </c>
      <c r="L2789">
        <v>1</v>
      </c>
      <c r="M2789" t="str">
        <f t="shared" si="43"/>
        <v>2010-2020</v>
      </c>
    </row>
    <row r="2790" spans="1:13" hidden="1">
      <c r="A2790" t="s">
        <v>4000</v>
      </c>
      <c r="B2790" t="s">
        <v>4001</v>
      </c>
      <c r="C2790" s="1">
        <v>44960</v>
      </c>
      <c r="D2790" s="2">
        <v>134274</v>
      </c>
      <c r="E2790">
        <v>70</v>
      </c>
      <c r="G2790" s="2">
        <v>6873380</v>
      </c>
      <c r="H2790" s="2">
        <v>41796</v>
      </c>
      <c r="I2790" s="2">
        <v>379926509</v>
      </c>
      <c r="L2790">
        <v>0</v>
      </c>
      <c r="M2790" t="str">
        <f t="shared" si="43"/>
        <v>After 2020</v>
      </c>
    </row>
    <row r="2791" spans="1:13" hidden="1">
      <c r="A2791" t="s">
        <v>4002</v>
      </c>
      <c r="B2791" t="s">
        <v>4003</v>
      </c>
      <c r="C2791" s="1">
        <v>45212</v>
      </c>
      <c r="D2791" s="2">
        <v>21067560</v>
      </c>
      <c r="E2791" s="2">
        <v>4684</v>
      </c>
      <c r="G2791" s="2">
        <v>8446909</v>
      </c>
      <c r="H2791" s="2">
        <v>70328</v>
      </c>
      <c r="I2791" s="2">
        <v>3385213</v>
      </c>
      <c r="J2791">
        <v>21</v>
      </c>
      <c r="K2791">
        <v>19</v>
      </c>
      <c r="L2791">
        <v>0</v>
      </c>
      <c r="M2791" t="str">
        <f t="shared" si="43"/>
        <v>After 2020</v>
      </c>
    </row>
    <row r="2792" spans="1:13" hidden="1">
      <c r="A2792" t="s">
        <v>4004</v>
      </c>
      <c r="B2792" t="s">
        <v>747</v>
      </c>
      <c r="C2792" s="1">
        <v>45415</v>
      </c>
      <c r="D2792" s="2">
        <v>11680886</v>
      </c>
      <c r="E2792" s="2">
        <v>2796</v>
      </c>
      <c r="J2792">
        <v>4</v>
      </c>
      <c r="K2792">
        <v>2</v>
      </c>
      <c r="L2792">
        <v>1</v>
      </c>
      <c r="M2792" t="str">
        <f t="shared" si="43"/>
        <v>After 2020</v>
      </c>
    </row>
    <row r="2793" spans="1:13">
      <c r="A2793" t="s">
        <v>4005</v>
      </c>
      <c r="B2793" t="s">
        <v>3672</v>
      </c>
      <c r="C2793" s="1">
        <v>44230</v>
      </c>
      <c r="D2793" s="2">
        <v>191071471</v>
      </c>
      <c r="E2793" s="2">
        <v>61218</v>
      </c>
      <c r="F2793">
        <v>65</v>
      </c>
      <c r="G2793" s="2">
        <v>109977159</v>
      </c>
      <c r="H2793" s="2">
        <v>1028822</v>
      </c>
      <c r="I2793" s="2">
        <v>67883730</v>
      </c>
      <c r="J2793">
        <v>53</v>
      </c>
      <c r="K2793">
        <v>676</v>
      </c>
      <c r="L2793">
        <v>1</v>
      </c>
      <c r="M2793" t="str">
        <f t="shared" si="43"/>
        <v>After 2020</v>
      </c>
    </row>
    <row r="2794" spans="1:13">
      <c r="A2794" t="s">
        <v>4006</v>
      </c>
      <c r="B2794" t="s">
        <v>256</v>
      </c>
      <c r="C2794" s="1">
        <v>43588</v>
      </c>
      <c r="D2794" s="2">
        <v>793528511</v>
      </c>
      <c r="E2794" s="2">
        <v>99106</v>
      </c>
      <c r="F2794">
        <v>70</v>
      </c>
      <c r="G2794" s="2">
        <v>318332999</v>
      </c>
      <c r="H2794" s="2">
        <v>2522360</v>
      </c>
      <c r="I2794" s="2">
        <v>140058016</v>
      </c>
      <c r="J2794">
        <v>46</v>
      </c>
      <c r="K2794">
        <v>98</v>
      </c>
      <c r="L2794">
        <v>0</v>
      </c>
      <c r="M2794" t="str">
        <f t="shared" si="43"/>
        <v>2010-2020</v>
      </c>
    </row>
    <row r="2795" spans="1:13">
      <c r="A2795" t="s">
        <v>4007</v>
      </c>
      <c r="B2795" t="s">
        <v>4008</v>
      </c>
      <c r="C2795" s="1">
        <v>44827</v>
      </c>
      <c r="D2795" s="2">
        <v>120785398</v>
      </c>
      <c r="E2795" s="2">
        <v>45503</v>
      </c>
      <c r="F2795">
        <v>59</v>
      </c>
      <c r="G2795" s="2">
        <v>25495861</v>
      </c>
      <c r="H2795" s="2">
        <v>202181</v>
      </c>
      <c r="I2795" s="2">
        <v>64940140</v>
      </c>
      <c r="J2795">
        <v>34</v>
      </c>
      <c r="K2795">
        <v>231</v>
      </c>
      <c r="L2795">
        <v>0</v>
      </c>
      <c r="M2795" t="str">
        <f t="shared" si="43"/>
        <v>After 2020</v>
      </c>
    </row>
    <row r="2796" spans="1:13" hidden="1">
      <c r="A2796" t="s">
        <v>4009</v>
      </c>
      <c r="B2796" t="s">
        <v>4010</v>
      </c>
      <c r="C2796" s="1">
        <v>45301</v>
      </c>
      <c r="D2796" s="2">
        <v>71320813</v>
      </c>
      <c r="E2796" s="2">
        <v>6751</v>
      </c>
      <c r="F2796">
        <v>76</v>
      </c>
      <c r="G2796" s="2">
        <v>42538475</v>
      </c>
      <c r="H2796" s="2">
        <v>287894</v>
      </c>
      <c r="I2796" s="2">
        <v>7603158</v>
      </c>
      <c r="J2796">
        <v>5</v>
      </c>
      <c r="L2796">
        <v>1</v>
      </c>
      <c r="M2796" t="str">
        <f t="shared" si="43"/>
        <v>After 2020</v>
      </c>
    </row>
    <row r="2797" spans="1:13" hidden="1">
      <c r="A2797" t="s">
        <v>4011</v>
      </c>
      <c r="B2797" t="s">
        <v>2841</v>
      </c>
      <c r="C2797" s="1">
        <v>45336</v>
      </c>
      <c r="D2797" s="2">
        <v>30048265</v>
      </c>
      <c r="E2797" s="2">
        <v>7304</v>
      </c>
      <c r="G2797" s="2">
        <v>5098200</v>
      </c>
      <c r="H2797" s="2">
        <v>65463</v>
      </c>
      <c r="J2797">
        <v>26</v>
      </c>
      <c r="K2797">
        <v>50</v>
      </c>
      <c r="L2797">
        <v>0</v>
      </c>
      <c r="M2797" t="str">
        <f t="shared" si="43"/>
        <v>After 2020</v>
      </c>
    </row>
    <row r="2798" spans="1:13" hidden="1">
      <c r="A2798" t="s">
        <v>4012</v>
      </c>
      <c r="B2798" t="s">
        <v>4013</v>
      </c>
      <c r="C2798" s="1">
        <v>45100</v>
      </c>
      <c r="D2798" s="2">
        <v>191234818</v>
      </c>
      <c r="E2798" s="2">
        <v>26907</v>
      </c>
      <c r="F2798">
        <v>64</v>
      </c>
      <c r="G2798" s="2">
        <v>67753459</v>
      </c>
      <c r="H2798" s="2">
        <v>593702</v>
      </c>
      <c r="J2798">
        <v>14</v>
      </c>
      <c r="L2798">
        <v>1</v>
      </c>
      <c r="M2798" t="str">
        <f t="shared" si="43"/>
        <v>After 2020</v>
      </c>
    </row>
    <row r="2799" spans="1:13" hidden="1">
      <c r="A2799" t="s">
        <v>4014</v>
      </c>
      <c r="B2799" t="s">
        <v>4015</v>
      </c>
      <c r="C2799" s="1">
        <v>44498</v>
      </c>
      <c r="D2799" s="2">
        <v>169896142</v>
      </c>
      <c r="E2799" s="2">
        <v>75491</v>
      </c>
      <c r="F2799">
        <v>56</v>
      </c>
      <c r="G2799" s="2">
        <v>75289061</v>
      </c>
      <c r="H2799" s="2">
        <v>945215</v>
      </c>
      <c r="I2799" s="2">
        <v>1737382885</v>
      </c>
      <c r="J2799">
        <v>13</v>
      </c>
      <c r="L2799">
        <v>1</v>
      </c>
      <c r="M2799" t="str">
        <f t="shared" si="43"/>
        <v>After 2020</v>
      </c>
    </row>
    <row r="2800" spans="1:13">
      <c r="A2800" t="s">
        <v>4016</v>
      </c>
      <c r="B2800" t="s">
        <v>4017</v>
      </c>
      <c r="C2800" s="1">
        <v>44582</v>
      </c>
      <c r="D2800" s="2">
        <v>103232015</v>
      </c>
      <c r="E2800" s="2">
        <v>33577</v>
      </c>
      <c r="F2800">
        <v>60</v>
      </c>
      <c r="G2800" s="2">
        <v>9695261</v>
      </c>
      <c r="H2800" s="2">
        <v>155015</v>
      </c>
      <c r="I2800" s="2">
        <v>2866098547</v>
      </c>
      <c r="J2800">
        <v>13</v>
      </c>
      <c r="K2800">
        <v>73</v>
      </c>
      <c r="L2800">
        <v>0</v>
      </c>
      <c r="M2800" t="str">
        <f t="shared" si="43"/>
        <v>After 2020</v>
      </c>
    </row>
    <row r="2801" spans="1:13" hidden="1">
      <c r="A2801" t="s">
        <v>4018</v>
      </c>
      <c r="B2801" t="s">
        <v>4019</v>
      </c>
      <c r="C2801" s="1">
        <v>45317</v>
      </c>
      <c r="D2801" s="2">
        <v>48858795</v>
      </c>
      <c r="E2801" s="2">
        <v>9713</v>
      </c>
      <c r="G2801" s="2">
        <v>14953162</v>
      </c>
      <c r="H2801" s="2">
        <v>318976</v>
      </c>
      <c r="I2801" s="2">
        <v>7540800</v>
      </c>
      <c r="J2801">
        <v>18</v>
      </c>
      <c r="L2801">
        <v>0</v>
      </c>
      <c r="M2801" t="str">
        <f t="shared" si="43"/>
        <v>After 2020</v>
      </c>
    </row>
    <row r="2802" spans="1:13">
      <c r="A2802" t="s">
        <v>4020</v>
      </c>
      <c r="B2802" t="s">
        <v>2362</v>
      </c>
      <c r="C2802" s="1">
        <v>44022</v>
      </c>
      <c r="D2802" s="2">
        <v>423313161</v>
      </c>
      <c r="E2802" s="2">
        <v>33148</v>
      </c>
      <c r="F2802">
        <v>66</v>
      </c>
      <c r="G2802" s="2">
        <v>597262135</v>
      </c>
      <c r="H2802" s="2">
        <v>2506019</v>
      </c>
      <c r="I2802" s="2">
        <v>35488227</v>
      </c>
      <c r="J2802">
        <v>17</v>
      </c>
      <c r="K2802">
        <v>341</v>
      </c>
      <c r="L2802">
        <v>0</v>
      </c>
      <c r="M2802" t="str">
        <f t="shared" si="43"/>
        <v>2010-2020</v>
      </c>
    </row>
    <row r="2803" spans="1:13">
      <c r="A2803" t="s">
        <v>2753</v>
      </c>
      <c r="B2803" t="s">
        <v>4021</v>
      </c>
      <c r="C2803" s="1">
        <v>40448</v>
      </c>
      <c r="D2803" s="2">
        <v>814272136</v>
      </c>
      <c r="E2803" s="2">
        <v>180832</v>
      </c>
      <c r="F2803">
        <v>72</v>
      </c>
      <c r="G2803" s="2">
        <v>731556941</v>
      </c>
      <c r="H2803" s="2">
        <v>4447478</v>
      </c>
      <c r="I2803" s="2">
        <v>257784004</v>
      </c>
      <c r="J2803">
        <v>35</v>
      </c>
      <c r="K2803">
        <v>35</v>
      </c>
      <c r="L2803">
        <v>0</v>
      </c>
      <c r="M2803" t="str">
        <f t="shared" si="43"/>
        <v>2010-2020</v>
      </c>
    </row>
    <row r="2804" spans="1:13" hidden="1">
      <c r="A2804" t="s">
        <v>4022</v>
      </c>
      <c r="B2804" t="s">
        <v>4023</v>
      </c>
      <c r="C2804" s="1">
        <v>45329</v>
      </c>
      <c r="D2804" s="2">
        <v>50498801</v>
      </c>
      <c r="E2804" s="2">
        <v>2884</v>
      </c>
      <c r="F2804">
        <v>70</v>
      </c>
      <c r="G2804" s="2">
        <v>27905696</v>
      </c>
      <c r="H2804" s="2">
        <v>361990</v>
      </c>
      <c r="J2804">
        <v>30</v>
      </c>
      <c r="L2804">
        <v>0</v>
      </c>
      <c r="M2804" t="str">
        <f t="shared" si="43"/>
        <v>After 2020</v>
      </c>
    </row>
    <row r="2805" spans="1:13" hidden="1">
      <c r="A2805" t="s">
        <v>4024</v>
      </c>
      <c r="B2805" t="s">
        <v>660</v>
      </c>
      <c r="C2805" s="1">
        <v>45282</v>
      </c>
      <c r="D2805" s="2">
        <v>145975016</v>
      </c>
      <c r="E2805" s="2">
        <v>6115</v>
      </c>
      <c r="F2805">
        <v>82</v>
      </c>
      <c r="G2805" s="2">
        <v>54043783</v>
      </c>
      <c r="H2805" s="2">
        <v>310905</v>
      </c>
      <c r="J2805">
        <v>4</v>
      </c>
      <c r="L2805">
        <v>0</v>
      </c>
      <c r="M2805" t="str">
        <f t="shared" si="43"/>
        <v>After 2020</v>
      </c>
    </row>
    <row r="2806" spans="1:13" hidden="1">
      <c r="A2806" t="s">
        <v>4025</v>
      </c>
      <c r="B2806" t="s">
        <v>4026</v>
      </c>
      <c r="C2806" s="1">
        <v>45097</v>
      </c>
      <c r="D2806" s="2">
        <v>20588020</v>
      </c>
      <c r="E2806" s="2">
        <v>3465</v>
      </c>
      <c r="F2806">
        <v>58</v>
      </c>
      <c r="G2806" s="2">
        <v>179178650</v>
      </c>
      <c r="H2806" s="2">
        <v>649493</v>
      </c>
      <c r="I2806" s="2">
        <v>274048028</v>
      </c>
      <c r="J2806">
        <v>6</v>
      </c>
      <c r="L2806">
        <v>0</v>
      </c>
      <c r="M2806" t="str">
        <f t="shared" si="43"/>
        <v>After 2020</v>
      </c>
    </row>
    <row r="2807" spans="1:13">
      <c r="A2807" t="s">
        <v>4027</v>
      </c>
      <c r="B2807" t="s">
        <v>4028</v>
      </c>
      <c r="C2807" s="1">
        <v>43173</v>
      </c>
      <c r="D2807" s="2">
        <v>651863663</v>
      </c>
      <c r="E2807" s="2">
        <v>122266</v>
      </c>
      <c r="F2807">
        <v>62</v>
      </c>
      <c r="G2807" s="2">
        <v>364860562</v>
      </c>
      <c r="H2807" s="2">
        <v>3465425</v>
      </c>
      <c r="I2807" s="2">
        <v>318020837</v>
      </c>
      <c r="J2807">
        <v>38</v>
      </c>
      <c r="K2807">
        <v>223</v>
      </c>
      <c r="L2807">
        <v>1</v>
      </c>
      <c r="M2807" t="str">
        <f t="shared" si="43"/>
        <v>2010-2020</v>
      </c>
    </row>
    <row r="2808" spans="1:13" hidden="1">
      <c r="A2808" t="s">
        <v>4029</v>
      </c>
      <c r="B2808" t="s">
        <v>1450</v>
      </c>
      <c r="C2808" s="1">
        <v>45379</v>
      </c>
      <c r="D2808" s="2">
        <v>25813787</v>
      </c>
      <c r="E2808" s="2">
        <v>3297</v>
      </c>
      <c r="F2808">
        <v>68</v>
      </c>
      <c r="G2808" s="2">
        <v>27340680</v>
      </c>
      <c r="H2808" s="2">
        <v>205074</v>
      </c>
      <c r="J2808">
        <v>1</v>
      </c>
      <c r="L2808">
        <v>1</v>
      </c>
      <c r="M2808" t="str">
        <f t="shared" si="43"/>
        <v>After 2020</v>
      </c>
    </row>
    <row r="2809" spans="1:13" hidden="1">
      <c r="A2809" t="s">
        <v>4030</v>
      </c>
      <c r="B2809" t="s">
        <v>184</v>
      </c>
      <c r="C2809" s="1">
        <v>40559</v>
      </c>
      <c r="D2809" s="2">
        <v>11170019</v>
      </c>
      <c r="E2809" s="2">
        <v>1580</v>
      </c>
      <c r="F2809">
        <v>36</v>
      </c>
      <c r="G2809" s="2">
        <v>2522903197</v>
      </c>
      <c r="H2809" s="2">
        <v>13159087</v>
      </c>
      <c r="L2809">
        <v>0</v>
      </c>
      <c r="M2809" t="str">
        <f t="shared" si="43"/>
        <v>2010-2020</v>
      </c>
    </row>
    <row r="2810" spans="1:13">
      <c r="A2810" t="s">
        <v>4031</v>
      </c>
      <c r="B2810" t="s">
        <v>471</v>
      </c>
      <c r="C2810" s="1">
        <v>44652</v>
      </c>
      <c r="D2810" s="2">
        <v>237061046</v>
      </c>
      <c r="E2810" s="2">
        <v>82335</v>
      </c>
      <c r="F2810">
        <v>63</v>
      </c>
      <c r="G2810" s="2">
        <v>47378172</v>
      </c>
      <c r="H2810" s="2">
        <v>923407</v>
      </c>
      <c r="I2810" s="2">
        <v>3442700</v>
      </c>
      <c r="J2810">
        <v>13</v>
      </c>
      <c r="K2810">
        <v>652</v>
      </c>
      <c r="L2810">
        <v>1</v>
      </c>
      <c r="M2810" t="str">
        <f t="shared" si="43"/>
        <v>After 2020</v>
      </c>
    </row>
    <row r="2811" spans="1:13">
      <c r="A2811" t="s">
        <v>4032</v>
      </c>
      <c r="B2811" t="s">
        <v>2063</v>
      </c>
      <c r="C2811" s="1">
        <v>44643</v>
      </c>
      <c r="D2811" s="2">
        <v>275416061</v>
      </c>
      <c r="E2811" s="2">
        <v>45154</v>
      </c>
      <c r="F2811">
        <v>58</v>
      </c>
      <c r="G2811" s="2">
        <v>237452601</v>
      </c>
      <c r="H2811" s="2">
        <v>5966974</v>
      </c>
      <c r="I2811" s="2">
        <v>356327284</v>
      </c>
      <c r="J2811">
        <v>17</v>
      </c>
      <c r="K2811">
        <v>66</v>
      </c>
      <c r="L2811">
        <v>0</v>
      </c>
      <c r="M2811" t="str">
        <f t="shared" si="43"/>
        <v>After 2020</v>
      </c>
    </row>
    <row r="2812" spans="1:13" hidden="1">
      <c r="A2812" t="s">
        <v>4033</v>
      </c>
      <c r="B2812" t="s">
        <v>2870</v>
      </c>
      <c r="C2812" s="1">
        <v>45037</v>
      </c>
      <c r="D2812" s="2">
        <v>9513971</v>
      </c>
      <c r="E2812" s="2">
        <v>1470</v>
      </c>
      <c r="G2812" s="2">
        <v>17460383</v>
      </c>
      <c r="H2812" s="2">
        <v>97768</v>
      </c>
      <c r="I2812" s="2">
        <v>262199462</v>
      </c>
      <c r="J2812">
        <v>5</v>
      </c>
      <c r="L2812">
        <v>1</v>
      </c>
      <c r="M2812" t="str">
        <f t="shared" si="43"/>
        <v>After 2020</v>
      </c>
    </row>
    <row r="2813" spans="1:13" hidden="1">
      <c r="A2813" t="s">
        <v>4034</v>
      </c>
      <c r="B2813" t="s">
        <v>2175</v>
      </c>
      <c r="C2813" s="1">
        <v>41191</v>
      </c>
      <c r="D2813" s="2">
        <v>1226381432</v>
      </c>
      <c r="E2813" s="2">
        <v>8351</v>
      </c>
      <c r="F2813">
        <v>46</v>
      </c>
      <c r="G2813" s="2">
        <v>1905103664</v>
      </c>
      <c r="H2813" s="2">
        <v>13003790</v>
      </c>
      <c r="J2813">
        <v>41</v>
      </c>
      <c r="K2813">
        <v>112</v>
      </c>
      <c r="L2813">
        <v>0</v>
      </c>
      <c r="M2813" t="str">
        <f t="shared" si="43"/>
        <v>2010-2020</v>
      </c>
    </row>
    <row r="2814" spans="1:13">
      <c r="A2814" t="s">
        <v>4035</v>
      </c>
      <c r="B2814" t="s">
        <v>4036</v>
      </c>
      <c r="C2814" s="1">
        <v>42391</v>
      </c>
      <c r="D2814" s="2">
        <v>547304707</v>
      </c>
      <c r="E2814" s="2">
        <v>93449</v>
      </c>
      <c r="F2814">
        <v>68</v>
      </c>
      <c r="G2814" s="2">
        <v>566895107</v>
      </c>
      <c r="H2814" s="2">
        <v>8058632</v>
      </c>
      <c r="I2814" s="2">
        <v>4144883692</v>
      </c>
      <c r="J2814">
        <v>48</v>
      </c>
      <c r="K2814">
        <v>23</v>
      </c>
      <c r="L2814">
        <v>0</v>
      </c>
      <c r="M2814" t="str">
        <f t="shared" si="43"/>
        <v>2010-2020</v>
      </c>
    </row>
    <row r="2815" spans="1:13" hidden="1">
      <c r="A2815" t="s">
        <v>4037</v>
      </c>
      <c r="B2815" t="s">
        <v>4038</v>
      </c>
      <c r="C2815" s="1">
        <v>43081</v>
      </c>
      <c r="D2815" s="2">
        <v>204127666</v>
      </c>
      <c r="E2815" s="2">
        <v>20958</v>
      </c>
      <c r="F2815">
        <v>65</v>
      </c>
      <c r="G2815" s="2">
        <v>1326806818</v>
      </c>
      <c r="H2815" s="2">
        <v>7661864</v>
      </c>
      <c r="I2815" s="2">
        <v>60784930</v>
      </c>
      <c r="J2815">
        <v>16</v>
      </c>
      <c r="L2815">
        <v>0</v>
      </c>
      <c r="M2815" t="str">
        <f t="shared" si="43"/>
        <v>2010-2020</v>
      </c>
    </row>
    <row r="2816" spans="1:13">
      <c r="A2816" t="s">
        <v>4039</v>
      </c>
      <c r="B2816" t="s">
        <v>4040</v>
      </c>
      <c r="C2816" s="1">
        <v>44204</v>
      </c>
      <c r="D2816" s="2">
        <v>389164529</v>
      </c>
      <c r="E2816" s="2">
        <v>60436</v>
      </c>
      <c r="F2816">
        <v>62</v>
      </c>
      <c r="G2816" s="2">
        <v>96711789</v>
      </c>
      <c r="H2816" s="2">
        <v>597354</v>
      </c>
      <c r="I2816" s="2">
        <v>82984646</v>
      </c>
      <c r="J2816">
        <v>75</v>
      </c>
      <c r="K2816">
        <v>56</v>
      </c>
      <c r="L2816">
        <v>0</v>
      </c>
      <c r="M2816" t="str">
        <f t="shared" si="43"/>
        <v>After 2020</v>
      </c>
    </row>
    <row r="2817" spans="1:13">
      <c r="A2817" t="s">
        <v>4041</v>
      </c>
      <c r="B2817" t="s">
        <v>61</v>
      </c>
      <c r="C2817" s="1">
        <v>40909</v>
      </c>
      <c r="D2817" s="2">
        <v>839642356</v>
      </c>
      <c r="E2817" s="2">
        <v>110606</v>
      </c>
      <c r="F2817">
        <v>72</v>
      </c>
      <c r="G2817" s="2">
        <v>545463966</v>
      </c>
      <c r="H2817" s="2">
        <v>4002306</v>
      </c>
      <c r="I2817" s="2">
        <v>48882930</v>
      </c>
      <c r="J2817">
        <v>62</v>
      </c>
      <c r="K2817">
        <v>42</v>
      </c>
      <c r="L2817">
        <v>0</v>
      </c>
      <c r="M2817" t="str">
        <f t="shared" si="43"/>
        <v>2010-2020</v>
      </c>
    </row>
    <row r="2818" spans="1:13" hidden="1">
      <c r="A2818" t="s">
        <v>4042</v>
      </c>
      <c r="B2818" t="s">
        <v>61</v>
      </c>
      <c r="C2818" s="1">
        <v>45400</v>
      </c>
      <c r="D2818" s="2">
        <v>105424914</v>
      </c>
      <c r="E2818" s="2">
        <v>2473</v>
      </c>
      <c r="G2818" s="2">
        <v>7227379</v>
      </c>
      <c r="H2818" s="2">
        <v>113318</v>
      </c>
      <c r="I2818" s="2">
        <v>2500000</v>
      </c>
      <c r="J2818">
        <v>12</v>
      </c>
      <c r="L2818">
        <v>0</v>
      </c>
      <c r="M2818" t="str">
        <f t="shared" si="43"/>
        <v>After 2020</v>
      </c>
    </row>
    <row r="2819" spans="1:13">
      <c r="A2819" t="s">
        <v>4043</v>
      </c>
      <c r="B2819" t="s">
        <v>28</v>
      </c>
      <c r="C2819" s="1">
        <v>36526</v>
      </c>
      <c r="D2819" s="2">
        <v>1798020679</v>
      </c>
      <c r="E2819" s="2">
        <v>352947</v>
      </c>
      <c r="F2819">
        <v>81</v>
      </c>
      <c r="G2819" s="2">
        <v>961666231</v>
      </c>
      <c r="H2819" s="2">
        <v>7927293</v>
      </c>
      <c r="I2819" s="2">
        <v>771015965</v>
      </c>
      <c r="J2819">
        <v>93</v>
      </c>
      <c r="K2819">
        <v>82</v>
      </c>
      <c r="L2819">
        <v>1</v>
      </c>
      <c r="M2819" t="str">
        <f t="shared" ref="M2819:M2882" si="44">IF(YEAR(C2819)&lt;2010,"Before 2010",IF(YEAR(C2819)&lt;=2020,"2010-2020","After 2020"))</f>
        <v>Before 2010</v>
      </c>
    </row>
    <row r="2820" spans="1:13" hidden="1">
      <c r="A2820" t="s">
        <v>4044</v>
      </c>
      <c r="B2820" t="s">
        <v>4045</v>
      </c>
      <c r="C2820" s="1">
        <v>44760</v>
      </c>
      <c r="D2820" s="2">
        <v>3492767</v>
      </c>
      <c r="E2820">
        <v>807</v>
      </c>
      <c r="F2820">
        <v>27</v>
      </c>
      <c r="G2820" s="2">
        <v>412119147</v>
      </c>
      <c r="H2820" s="2">
        <v>8660129</v>
      </c>
      <c r="I2820" s="2">
        <v>24601626</v>
      </c>
      <c r="J2820">
        <v>1</v>
      </c>
      <c r="L2820">
        <v>0</v>
      </c>
      <c r="M2820" t="str">
        <f t="shared" si="44"/>
        <v>After 2020</v>
      </c>
    </row>
    <row r="2821" spans="1:13">
      <c r="A2821" t="s">
        <v>4046</v>
      </c>
      <c r="B2821" t="s">
        <v>867</v>
      </c>
      <c r="C2821" s="1">
        <v>44007</v>
      </c>
      <c r="D2821" s="2">
        <v>143528699</v>
      </c>
      <c r="E2821" s="2">
        <v>26295</v>
      </c>
      <c r="F2821">
        <v>65</v>
      </c>
      <c r="G2821" s="2">
        <v>395691039</v>
      </c>
      <c r="H2821" s="2">
        <v>3870422</v>
      </c>
      <c r="I2821" s="2">
        <v>184322890</v>
      </c>
      <c r="J2821">
        <v>2</v>
      </c>
      <c r="K2821">
        <v>8</v>
      </c>
      <c r="L2821">
        <v>0</v>
      </c>
      <c r="M2821" t="str">
        <f t="shared" si="44"/>
        <v>2010-2020</v>
      </c>
    </row>
    <row r="2822" spans="1:13" hidden="1">
      <c r="A2822" t="s">
        <v>2441</v>
      </c>
      <c r="B2822" t="s">
        <v>4047</v>
      </c>
      <c r="C2822" s="1">
        <v>44315</v>
      </c>
      <c r="D2822" s="2">
        <v>9126545</v>
      </c>
      <c r="E2822" s="2">
        <v>2349</v>
      </c>
      <c r="F2822">
        <v>41</v>
      </c>
      <c r="G2822" s="2">
        <v>440738171</v>
      </c>
      <c r="H2822" s="2">
        <v>3204368</v>
      </c>
      <c r="I2822" s="2">
        <v>1185912241</v>
      </c>
      <c r="J2822">
        <v>7</v>
      </c>
      <c r="L2822">
        <v>1</v>
      </c>
      <c r="M2822" t="str">
        <f t="shared" si="44"/>
        <v>After 2020</v>
      </c>
    </row>
    <row r="2823" spans="1:13" hidden="1">
      <c r="A2823" t="s">
        <v>4048</v>
      </c>
      <c r="B2823" t="s">
        <v>4049</v>
      </c>
      <c r="C2823" s="1">
        <v>45369</v>
      </c>
      <c r="D2823" s="2">
        <v>18852560</v>
      </c>
      <c r="E2823" s="2">
        <v>3014</v>
      </c>
      <c r="G2823" s="2">
        <v>18904500</v>
      </c>
      <c r="H2823" s="2">
        <v>468752</v>
      </c>
      <c r="I2823" s="2">
        <v>1200000</v>
      </c>
      <c r="J2823">
        <v>10</v>
      </c>
      <c r="K2823">
        <v>3</v>
      </c>
      <c r="L2823">
        <v>1</v>
      </c>
      <c r="M2823" t="str">
        <f t="shared" si="44"/>
        <v>After 2020</v>
      </c>
    </row>
    <row r="2824" spans="1:13">
      <c r="A2824" t="s">
        <v>4050</v>
      </c>
      <c r="B2824" t="s">
        <v>506</v>
      </c>
      <c r="C2824" s="1">
        <v>45065</v>
      </c>
      <c r="D2824" s="2">
        <v>168963270</v>
      </c>
      <c r="E2824" s="2">
        <v>9329</v>
      </c>
      <c r="F2824">
        <v>52</v>
      </c>
      <c r="G2824" s="2">
        <v>138646834</v>
      </c>
      <c r="H2824" s="2">
        <v>561807</v>
      </c>
      <c r="I2824" s="2">
        <v>90780465</v>
      </c>
      <c r="J2824">
        <v>7</v>
      </c>
      <c r="K2824">
        <v>7</v>
      </c>
      <c r="L2824">
        <v>0</v>
      </c>
      <c r="M2824" t="str">
        <f t="shared" si="44"/>
        <v>After 2020</v>
      </c>
    </row>
    <row r="2825" spans="1:13" hidden="1">
      <c r="A2825" t="s">
        <v>4051</v>
      </c>
      <c r="B2825" t="s">
        <v>1139</v>
      </c>
      <c r="C2825" s="1">
        <v>44782</v>
      </c>
      <c r="D2825" s="2">
        <v>28739240</v>
      </c>
      <c r="E2825" s="2">
        <v>4519</v>
      </c>
      <c r="F2825">
        <v>51</v>
      </c>
      <c r="G2825" s="2">
        <v>378611518</v>
      </c>
      <c r="H2825" s="2">
        <v>826925</v>
      </c>
      <c r="I2825" s="2">
        <v>26531589</v>
      </c>
      <c r="L2825">
        <v>0</v>
      </c>
      <c r="M2825" t="str">
        <f t="shared" si="44"/>
        <v>After 2020</v>
      </c>
    </row>
    <row r="2826" spans="1:13">
      <c r="A2826" t="s">
        <v>4052</v>
      </c>
      <c r="B2826" t="s">
        <v>1025</v>
      </c>
      <c r="C2826" s="1">
        <v>42005</v>
      </c>
      <c r="D2826" s="2">
        <v>1254883107</v>
      </c>
      <c r="E2826" s="2">
        <v>131909</v>
      </c>
      <c r="F2826">
        <v>73</v>
      </c>
      <c r="G2826" s="2">
        <v>995579933</v>
      </c>
      <c r="H2826" s="2">
        <v>7131931</v>
      </c>
      <c r="I2826" s="2">
        <v>113741661</v>
      </c>
      <c r="J2826">
        <v>133</v>
      </c>
      <c r="K2826">
        <v>43</v>
      </c>
      <c r="L2826">
        <v>0</v>
      </c>
      <c r="M2826" t="str">
        <f t="shared" si="44"/>
        <v>2010-2020</v>
      </c>
    </row>
    <row r="2827" spans="1:13">
      <c r="A2827" t="s">
        <v>4053</v>
      </c>
      <c r="B2827" t="s">
        <v>938</v>
      </c>
      <c r="C2827" s="1">
        <v>43483</v>
      </c>
      <c r="D2827" s="2">
        <v>573290850</v>
      </c>
      <c r="E2827" s="2">
        <v>44972</v>
      </c>
      <c r="F2827">
        <v>67</v>
      </c>
      <c r="G2827" s="2">
        <v>830580317</v>
      </c>
      <c r="H2827" s="2">
        <v>5534299</v>
      </c>
      <c r="I2827" s="2">
        <v>164663552</v>
      </c>
      <c r="J2827">
        <v>45</v>
      </c>
      <c r="K2827">
        <v>248</v>
      </c>
      <c r="L2827">
        <v>0</v>
      </c>
      <c r="M2827" t="str">
        <f t="shared" si="44"/>
        <v>2010-2020</v>
      </c>
    </row>
    <row r="2828" spans="1:13">
      <c r="A2828">
        <v>21</v>
      </c>
      <c r="B2828" t="s">
        <v>781</v>
      </c>
      <c r="C2828" s="1">
        <v>43966</v>
      </c>
      <c r="D2828" s="2">
        <v>500766243</v>
      </c>
      <c r="E2828" s="2">
        <v>134529</v>
      </c>
      <c r="F2828">
        <v>67</v>
      </c>
      <c r="G2828" s="2">
        <v>161831915</v>
      </c>
      <c r="H2828" s="2">
        <v>1890192</v>
      </c>
      <c r="I2828" s="2">
        <v>22513039</v>
      </c>
      <c r="J2828">
        <v>21</v>
      </c>
      <c r="K2828">
        <v>72</v>
      </c>
      <c r="L2828">
        <v>1</v>
      </c>
      <c r="M2828" t="str">
        <f t="shared" si="44"/>
        <v>2010-2020</v>
      </c>
    </row>
    <row r="2829" spans="1:13">
      <c r="A2829" t="s">
        <v>4054</v>
      </c>
      <c r="B2829" t="s">
        <v>1062</v>
      </c>
      <c r="C2829" s="1">
        <v>39814</v>
      </c>
      <c r="D2829" s="2">
        <v>1423655688</v>
      </c>
      <c r="E2829" s="2">
        <v>306620</v>
      </c>
      <c r="F2829">
        <v>76</v>
      </c>
      <c r="G2829" s="2">
        <v>190741649</v>
      </c>
      <c r="H2829" s="2">
        <v>1734831</v>
      </c>
      <c r="I2829" s="2">
        <v>680999560</v>
      </c>
      <c r="J2829">
        <v>281</v>
      </c>
      <c r="K2829">
        <v>434</v>
      </c>
      <c r="L2829">
        <v>0</v>
      </c>
      <c r="M2829" t="str">
        <f t="shared" si="44"/>
        <v>Before 2010</v>
      </c>
    </row>
    <row r="2830" spans="1:13">
      <c r="A2830" t="s">
        <v>4055</v>
      </c>
      <c r="B2830" t="s">
        <v>4056</v>
      </c>
      <c r="C2830" s="1">
        <v>44785</v>
      </c>
      <c r="D2830" s="2">
        <v>100973437</v>
      </c>
      <c r="E2830" s="2">
        <v>55772</v>
      </c>
      <c r="F2830">
        <v>63</v>
      </c>
      <c r="G2830" s="2">
        <v>14289584</v>
      </c>
      <c r="H2830" s="2">
        <v>264058</v>
      </c>
      <c r="I2830" s="2">
        <v>552255188</v>
      </c>
      <c r="J2830">
        <v>8</v>
      </c>
      <c r="K2830">
        <v>34</v>
      </c>
      <c r="L2830">
        <v>1</v>
      </c>
      <c r="M2830" t="str">
        <f t="shared" si="44"/>
        <v>After 2020</v>
      </c>
    </row>
    <row r="2831" spans="1:13" hidden="1">
      <c r="A2831" t="s">
        <v>4057</v>
      </c>
      <c r="B2831" t="s">
        <v>4058</v>
      </c>
      <c r="C2831" s="1">
        <v>44246</v>
      </c>
      <c r="D2831" s="2">
        <v>607726217</v>
      </c>
      <c r="E2831">
        <v>158</v>
      </c>
      <c r="F2831">
        <v>20</v>
      </c>
      <c r="L2831">
        <v>0</v>
      </c>
      <c r="M2831" t="str">
        <f t="shared" si="44"/>
        <v>After 2020</v>
      </c>
    </row>
    <row r="2832" spans="1:13" hidden="1">
      <c r="A2832" t="s">
        <v>4059</v>
      </c>
      <c r="B2832" t="s">
        <v>77</v>
      </c>
      <c r="C2832" s="1">
        <v>44127</v>
      </c>
      <c r="D2832" s="2">
        <v>428787524</v>
      </c>
      <c r="E2832" s="2">
        <v>95178</v>
      </c>
      <c r="F2832">
        <v>62</v>
      </c>
      <c r="G2832" s="2">
        <v>63666862</v>
      </c>
      <c r="H2832" s="2">
        <v>1060419</v>
      </c>
      <c r="I2832" s="2">
        <v>116127311</v>
      </c>
      <c r="J2832">
        <v>69</v>
      </c>
      <c r="L2832">
        <v>0</v>
      </c>
      <c r="M2832" t="str">
        <f t="shared" si="44"/>
        <v>2010-2020</v>
      </c>
    </row>
    <row r="2833" spans="1:13" hidden="1">
      <c r="A2833" t="s">
        <v>4060</v>
      </c>
      <c r="B2833" t="s">
        <v>4061</v>
      </c>
      <c r="C2833" s="1">
        <v>43963</v>
      </c>
      <c r="D2833" s="2">
        <v>13847072</v>
      </c>
      <c r="E2833" s="2">
        <v>3177</v>
      </c>
      <c r="F2833">
        <v>33</v>
      </c>
      <c r="G2833" s="2">
        <v>8068836</v>
      </c>
      <c r="H2833" s="2">
        <v>219118</v>
      </c>
      <c r="I2833" s="2">
        <v>3081391270</v>
      </c>
      <c r="L2833">
        <v>0</v>
      </c>
      <c r="M2833" t="str">
        <f t="shared" si="44"/>
        <v>2010-2020</v>
      </c>
    </row>
    <row r="2834" spans="1:13">
      <c r="A2834" t="s">
        <v>4062</v>
      </c>
      <c r="B2834" t="s">
        <v>459</v>
      </c>
      <c r="C2834" s="1">
        <v>43231</v>
      </c>
      <c r="D2834" s="2">
        <v>580941059</v>
      </c>
      <c r="E2834" s="2">
        <v>55176</v>
      </c>
      <c r="F2834">
        <v>64</v>
      </c>
      <c r="G2834" s="2">
        <v>965441155</v>
      </c>
      <c r="H2834" s="2">
        <v>3017656</v>
      </c>
      <c r="I2834" s="2">
        <v>19928111</v>
      </c>
      <c r="J2834">
        <v>43</v>
      </c>
      <c r="K2834">
        <v>28</v>
      </c>
      <c r="L2834">
        <v>0</v>
      </c>
      <c r="M2834" t="str">
        <f t="shared" si="44"/>
        <v>2010-2020</v>
      </c>
    </row>
    <row r="2835" spans="1:13" hidden="1">
      <c r="A2835" t="s">
        <v>4063</v>
      </c>
      <c r="B2835" t="s">
        <v>411</v>
      </c>
      <c r="C2835" s="1">
        <v>45114</v>
      </c>
      <c r="D2835" s="2">
        <v>253890110</v>
      </c>
      <c r="E2835" s="2">
        <v>22593</v>
      </c>
      <c r="F2835">
        <v>73</v>
      </c>
      <c r="G2835" s="2">
        <v>32342210</v>
      </c>
      <c r="H2835" s="2">
        <v>1238077</v>
      </c>
      <c r="I2835" s="2">
        <v>242425753</v>
      </c>
      <c r="J2835">
        <v>7</v>
      </c>
      <c r="L2835">
        <v>0</v>
      </c>
      <c r="M2835" t="str">
        <f t="shared" si="44"/>
        <v>After 2020</v>
      </c>
    </row>
    <row r="2836" spans="1:13" hidden="1">
      <c r="A2836" t="s">
        <v>4064</v>
      </c>
      <c r="B2836" t="s">
        <v>4065</v>
      </c>
      <c r="C2836" s="1">
        <v>45005</v>
      </c>
      <c r="D2836" s="2">
        <v>2368578</v>
      </c>
      <c r="E2836" s="2">
        <v>1128</v>
      </c>
      <c r="I2836" s="2">
        <v>196993859</v>
      </c>
      <c r="L2836">
        <v>0</v>
      </c>
      <c r="M2836" t="str">
        <f t="shared" si="44"/>
        <v>After 2020</v>
      </c>
    </row>
    <row r="2837" spans="1:13">
      <c r="A2837" t="s">
        <v>4066</v>
      </c>
      <c r="B2837" t="s">
        <v>4067</v>
      </c>
      <c r="C2837" s="1">
        <v>43899</v>
      </c>
      <c r="D2837" s="2">
        <v>365845397</v>
      </c>
      <c r="E2837" s="2">
        <v>29751</v>
      </c>
      <c r="F2837">
        <v>66</v>
      </c>
      <c r="G2837" s="2">
        <v>731488947</v>
      </c>
      <c r="H2837" s="2">
        <v>8414274</v>
      </c>
      <c r="I2837" s="2">
        <v>362463277</v>
      </c>
      <c r="J2837">
        <v>23</v>
      </c>
      <c r="K2837">
        <v>29</v>
      </c>
      <c r="L2837">
        <v>0</v>
      </c>
      <c r="M2837" t="str">
        <f t="shared" si="44"/>
        <v>2010-2020</v>
      </c>
    </row>
    <row r="2838" spans="1:13" hidden="1">
      <c r="A2838" t="s">
        <v>4068</v>
      </c>
      <c r="B2838" t="s">
        <v>3837</v>
      </c>
      <c r="C2838" s="1">
        <v>45184</v>
      </c>
      <c r="D2838" s="2">
        <v>75979813</v>
      </c>
      <c r="E2838" s="2">
        <v>7579</v>
      </c>
      <c r="F2838">
        <v>68</v>
      </c>
      <c r="G2838" s="2">
        <v>104439157</v>
      </c>
      <c r="H2838" s="2">
        <v>350883</v>
      </c>
      <c r="I2838" s="2">
        <v>60449279</v>
      </c>
      <c r="J2838">
        <v>2</v>
      </c>
      <c r="L2838">
        <v>0</v>
      </c>
      <c r="M2838" t="str">
        <f t="shared" si="44"/>
        <v>After 2020</v>
      </c>
    </row>
    <row r="2839" spans="1:13" hidden="1">
      <c r="A2839" t="s">
        <v>4069</v>
      </c>
      <c r="B2839" t="s">
        <v>338</v>
      </c>
      <c r="C2839" s="1">
        <v>45365</v>
      </c>
      <c r="D2839" s="2">
        <v>11092257</v>
      </c>
      <c r="E2839" s="2">
        <v>1607</v>
      </c>
      <c r="J2839">
        <v>30</v>
      </c>
      <c r="K2839">
        <v>1</v>
      </c>
      <c r="L2839">
        <v>0</v>
      </c>
      <c r="M2839" t="str">
        <f t="shared" si="44"/>
        <v>After 2020</v>
      </c>
    </row>
    <row r="2840" spans="1:13">
      <c r="A2840" t="s">
        <v>4070</v>
      </c>
      <c r="B2840" t="s">
        <v>295</v>
      </c>
      <c r="C2840" s="1">
        <v>44442</v>
      </c>
      <c r="D2840" s="2">
        <v>308396120</v>
      </c>
      <c r="E2840" s="2">
        <v>99705</v>
      </c>
      <c r="F2840">
        <v>66</v>
      </c>
      <c r="G2840" s="2">
        <v>63664549</v>
      </c>
      <c r="H2840" s="2">
        <v>669096</v>
      </c>
      <c r="I2840" s="2">
        <v>1204022719</v>
      </c>
      <c r="J2840">
        <v>16</v>
      </c>
      <c r="K2840">
        <v>12</v>
      </c>
      <c r="L2840">
        <v>1</v>
      </c>
      <c r="M2840" t="str">
        <f t="shared" si="44"/>
        <v>After 2020</v>
      </c>
    </row>
    <row r="2841" spans="1:13">
      <c r="A2841" t="s">
        <v>4071</v>
      </c>
      <c r="B2841" t="s">
        <v>2307</v>
      </c>
      <c r="C2841" s="1">
        <v>42909</v>
      </c>
      <c r="D2841" s="2">
        <v>503904686</v>
      </c>
      <c r="E2841" s="2">
        <v>47427</v>
      </c>
      <c r="F2841">
        <v>73</v>
      </c>
      <c r="G2841" s="2">
        <v>1009029328</v>
      </c>
      <c r="H2841" s="2">
        <v>4103220</v>
      </c>
      <c r="I2841" s="2">
        <v>979585978</v>
      </c>
      <c r="J2841">
        <v>26</v>
      </c>
      <c r="K2841">
        <v>7</v>
      </c>
      <c r="L2841">
        <v>0</v>
      </c>
      <c r="M2841" t="str">
        <f t="shared" si="44"/>
        <v>2010-2020</v>
      </c>
    </row>
    <row r="2842" spans="1:13" hidden="1">
      <c r="A2842" t="s">
        <v>4072</v>
      </c>
      <c r="B2842" t="s">
        <v>4073</v>
      </c>
      <c r="C2842" s="1">
        <v>45443</v>
      </c>
      <c r="D2842" s="2">
        <v>306040</v>
      </c>
      <c r="E2842">
        <v>1</v>
      </c>
      <c r="F2842">
        <v>15</v>
      </c>
      <c r="L2842">
        <v>0</v>
      </c>
      <c r="M2842" t="str">
        <f t="shared" si="44"/>
        <v>After 2020</v>
      </c>
    </row>
    <row r="2843" spans="1:13">
      <c r="A2843" t="s">
        <v>4074</v>
      </c>
      <c r="B2843" t="s">
        <v>546</v>
      </c>
      <c r="C2843" s="1">
        <v>43056</v>
      </c>
      <c r="D2843" s="2">
        <v>1006734157</v>
      </c>
      <c r="E2843" s="2">
        <v>224587</v>
      </c>
      <c r="F2843">
        <v>77</v>
      </c>
      <c r="G2843" s="2">
        <v>106339744</v>
      </c>
      <c r="H2843" s="2">
        <v>850717</v>
      </c>
      <c r="I2843" s="2">
        <v>144628943</v>
      </c>
      <c r="J2843">
        <v>19</v>
      </c>
      <c r="K2843">
        <v>4</v>
      </c>
      <c r="L2843">
        <v>1</v>
      </c>
      <c r="M2843" t="str">
        <f t="shared" si="44"/>
        <v>2010-2020</v>
      </c>
    </row>
    <row r="2844" spans="1:13" hidden="1">
      <c r="A2844" t="s">
        <v>4075</v>
      </c>
      <c r="B2844" t="s">
        <v>4076</v>
      </c>
      <c r="C2844" s="1">
        <v>44973</v>
      </c>
      <c r="D2844" s="2">
        <v>8313</v>
      </c>
      <c r="E2844">
        <v>7</v>
      </c>
      <c r="F2844">
        <v>8</v>
      </c>
      <c r="G2844" s="2">
        <v>314513125</v>
      </c>
      <c r="H2844" s="2">
        <v>1120176</v>
      </c>
      <c r="L2844">
        <v>0</v>
      </c>
      <c r="M2844" t="str">
        <f t="shared" si="44"/>
        <v>After 2020</v>
      </c>
    </row>
    <row r="2845" spans="1:13">
      <c r="A2845" t="s">
        <v>4077</v>
      </c>
      <c r="B2845" t="s">
        <v>938</v>
      </c>
      <c r="C2845" s="1">
        <v>43322</v>
      </c>
      <c r="D2845" s="2">
        <v>431529832</v>
      </c>
      <c r="E2845" s="2">
        <v>32115</v>
      </c>
      <c r="F2845">
        <v>63</v>
      </c>
      <c r="G2845" s="2">
        <v>1077954732</v>
      </c>
      <c r="H2845" s="2">
        <v>4083486</v>
      </c>
      <c r="I2845" s="2">
        <v>43241693</v>
      </c>
      <c r="J2845">
        <v>31</v>
      </c>
      <c r="K2845">
        <v>85</v>
      </c>
      <c r="L2845">
        <v>0</v>
      </c>
      <c r="M2845" t="str">
        <f t="shared" si="44"/>
        <v>2010-2020</v>
      </c>
    </row>
    <row r="2846" spans="1:13">
      <c r="A2846" t="s">
        <v>4078</v>
      </c>
      <c r="B2846" t="s">
        <v>51</v>
      </c>
      <c r="C2846" s="1">
        <v>44315</v>
      </c>
      <c r="D2846" s="2">
        <v>423439672</v>
      </c>
      <c r="E2846" s="2">
        <v>79149</v>
      </c>
      <c r="F2846">
        <v>68</v>
      </c>
      <c r="G2846" s="2">
        <v>170437339</v>
      </c>
      <c r="H2846" s="2">
        <v>4244477</v>
      </c>
      <c r="I2846" s="2">
        <v>347631092</v>
      </c>
      <c r="J2846">
        <v>130</v>
      </c>
      <c r="K2846">
        <v>33</v>
      </c>
      <c r="L2846">
        <v>0</v>
      </c>
      <c r="M2846" t="str">
        <f t="shared" si="44"/>
        <v>After 2020</v>
      </c>
    </row>
    <row r="2847" spans="1:13" hidden="1">
      <c r="A2847" t="s">
        <v>4079</v>
      </c>
      <c r="B2847" t="s">
        <v>3208</v>
      </c>
      <c r="C2847" s="1">
        <v>45257</v>
      </c>
      <c r="D2847" s="2">
        <v>96383243</v>
      </c>
      <c r="E2847" s="2">
        <v>10187</v>
      </c>
      <c r="G2847" s="2">
        <v>51056879</v>
      </c>
      <c r="H2847" s="2">
        <v>376116</v>
      </c>
      <c r="I2847" s="2">
        <v>4336957</v>
      </c>
      <c r="J2847">
        <v>2</v>
      </c>
      <c r="L2847">
        <v>1</v>
      </c>
      <c r="M2847" t="str">
        <f t="shared" si="44"/>
        <v>After 2020</v>
      </c>
    </row>
    <row r="2848" spans="1:13">
      <c r="A2848" t="s">
        <v>4080</v>
      </c>
      <c r="B2848" t="s">
        <v>170</v>
      </c>
      <c r="C2848" s="1">
        <v>44980</v>
      </c>
      <c r="D2848" s="2">
        <v>212911684</v>
      </c>
      <c r="E2848" s="2">
        <v>22815</v>
      </c>
      <c r="F2848">
        <v>71</v>
      </c>
      <c r="G2848" s="2">
        <v>106041009</v>
      </c>
      <c r="H2848" s="2">
        <v>588756</v>
      </c>
      <c r="I2848" s="2">
        <v>131834580</v>
      </c>
      <c r="J2848">
        <v>9</v>
      </c>
      <c r="K2848">
        <v>125</v>
      </c>
      <c r="L2848">
        <v>1</v>
      </c>
      <c r="M2848" t="str">
        <f t="shared" si="44"/>
        <v>After 2020</v>
      </c>
    </row>
    <row r="2849" spans="1:13" hidden="1">
      <c r="A2849" t="s">
        <v>4081</v>
      </c>
      <c r="B2849" t="s">
        <v>809</v>
      </c>
      <c r="C2849" s="1">
        <v>44001</v>
      </c>
      <c r="D2849" s="2">
        <v>177952382</v>
      </c>
      <c r="E2849" s="2">
        <v>60714</v>
      </c>
      <c r="F2849">
        <v>63</v>
      </c>
      <c r="G2849" s="2">
        <v>217526800</v>
      </c>
      <c r="H2849" s="2">
        <v>1861229</v>
      </c>
      <c r="I2849" s="2">
        <v>2758905591</v>
      </c>
      <c r="J2849">
        <v>26</v>
      </c>
      <c r="L2849">
        <v>0</v>
      </c>
      <c r="M2849" t="str">
        <f t="shared" si="44"/>
        <v>2010-2020</v>
      </c>
    </row>
    <row r="2850" spans="1:13">
      <c r="A2850" t="s">
        <v>3030</v>
      </c>
      <c r="B2850" t="s">
        <v>860</v>
      </c>
      <c r="C2850" s="1">
        <v>44155</v>
      </c>
      <c r="D2850" s="2">
        <v>327693363</v>
      </c>
      <c r="E2850" s="2">
        <v>59033</v>
      </c>
      <c r="F2850">
        <v>63</v>
      </c>
      <c r="G2850" s="2">
        <v>215966337</v>
      </c>
      <c r="H2850" s="2">
        <v>3070939</v>
      </c>
      <c r="I2850" s="2">
        <v>2873316705</v>
      </c>
      <c r="J2850">
        <v>19</v>
      </c>
      <c r="K2850">
        <v>401</v>
      </c>
      <c r="L2850">
        <v>1</v>
      </c>
      <c r="M2850" t="str">
        <f t="shared" si="44"/>
        <v>2010-2020</v>
      </c>
    </row>
    <row r="2851" spans="1:13">
      <c r="A2851" t="s">
        <v>4082</v>
      </c>
      <c r="B2851" t="s">
        <v>2841</v>
      </c>
      <c r="C2851" s="1">
        <v>44988</v>
      </c>
      <c r="D2851" s="2">
        <v>123058600</v>
      </c>
      <c r="E2851" s="2">
        <v>41625</v>
      </c>
      <c r="F2851">
        <v>71</v>
      </c>
      <c r="G2851" s="2">
        <v>15090329</v>
      </c>
      <c r="H2851" s="2">
        <v>160292</v>
      </c>
      <c r="I2851" s="2">
        <v>30233661</v>
      </c>
      <c r="J2851">
        <v>40</v>
      </c>
      <c r="K2851">
        <v>16</v>
      </c>
      <c r="L2851">
        <v>0</v>
      </c>
      <c r="M2851" t="str">
        <f t="shared" si="44"/>
        <v>After 2020</v>
      </c>
    </row>
    <row r="2852" spans="1:13">
      <c r="A2852" t="s">
        <v>4083</v>
      </c>
      <c r="B2852" t="s">
        <v>4084</v>
      </c>
      <c r="C2852" s="1">
        <v>41233</v>
      </c>
      <c r="D2852" s="2">
        <v>767661283</v>
      </c>
      <c r="E2852" s="2">
        <v>177756</v>
      </c>
      <c r="F2852">
        <v>72</v>
      </c>
      <c r="G2852" s="2">
        <v>1211548500</v>
      </c>
      <c r="H2852" s="2">
        <v>6168792</v>
      </c>
      <c r="I2852" s="2">
        <v>838554125</v>
      </c>
      <c r="J2852">
        <v>61</v>
      </c>
      <c r="K2852">
        <v>32</v>
      </c>
      <c r="L2852">
        <v>1</v>
      </c>
      <c r="M2852" t="str">
        <f t="shared" si="44"/>
        <v>2010-2020</v>
      </c>
    </row>
    <row r="2853" spans="1:13">
      <c r="A2853" t="s">
        <v>4085</v>
      </c>
      <c r="B2853" t="s">
        <v>747</v>
      </c>
      <c r="C2853" s="1">
        <v>45148</v>
      </c>
      <c r="D2853" s="2">
        <v>48790265</v>
      </c>
      <c r="E2853" s="2">
        <v>26044</v>
      </c>
      <c r="F2853">
        <v>59</v>
      </c>
      <c r="G2853" s="2">
        <v>11963045</v>
      </c>
      <c r="H2853" s="2">
        <v>259674</v>
      </c>
      <c r="I2853" s="2">
        <v>2309009</v>
      </c>
      <c r="J2853">
        <v>6</v>
      </c>
      <c r="K2853">
        <v>56</v>
      </c>
      <c r="L2853">
        <v>1</v>
      </c>
      <c r="M2853" t="str">
        <f t="shared" si="44"/>
        <v>After 2020</v>
      </c>
    </row>
    <row r="2854" spans="1:13" hidden="1">
      <c r="A2854" t="s">
        <v>4086</v>
      </c>
      <c r="B2854" t="s">
        <v>1887</v>
      </c>
      <c r="C2854" s="1">
        <v>45030</v>
      </c>
      <c r="D2854" s="2">
        <v>220270601</v>
      </c>
      <c r="E2854" s="2">
        <v>34862</v>
      </c>
      <c r="F2854">
        <v>67</v>
      </c>
      <c r="G2854" s="2">
        <v>32354134</v>
      </c>
      <c r="H2854" s="2">
        <v>356483</v>
      </c>
      <c r="I2854" s="2">
        <v>905030524</v>
      </c>
      <c r="K2854" s="2">
        <v>1620</v>
      </c>
      <c r="L2854">
        <v>1</v>
      </c>
      <c r="M2854" t="str">
        <f t="shared" si="44"/>
        <v>After 2020</v>
      </c>
    </row>
    <row r="2855" spans="1:13" hidden="1">
      <c r="A2855" t="s">
        <v>4087</v>
      </c>
      <c r="B2855" t="s">
        <v>4088</v>
      </c>
      <c r="C2855" s="1">
        <v>43035</v>
      </c>
      <c r="D2855" s="2">
        <v>809894358</v>
      </c>
      <c r="E2855" s="2">
        <v>80591</v>
      </c>
      <c r="F2855">
        <v>66</v>
      </c>
      <c r="G2855" s="2">
        <v>622964718</v>
      </c>
      <c r="H2855" s="2">
        <v>4716659</v>
      </c>
      <c r="I2855" s="2">
        <v>16464069</v>
      </c>
      <c r="J2855">
        <v>71</v>
      </c>
      <c r="L2855">
        <v>0</v>
      </c>
      <c r="M2855" t="str">
        <f t="shared" si="44"/>
        <v>2010-2020</v>
      </c>
    </row>
    <row r="2856" spans="1:13">
      <c r="A2856" t="s">
        <v>4089</v>
      </c>
      <c r="B2856" t="s">
        <v>459</v>
      </c>
      <c r="C2856" s="1">
        <v>43644</v>
      </c>
      <c r="D2856" s="2">
        <v>806817589</v>
      </c>
      <c r="E2856" s="2">
        <v>85661</v>
      </c>
      <c r="F2856">
        <v>71</v>
      </c>
      <c r="G2856" s="2">
        <v>489443301</v>
      </c>
      <c r="H2856" s="2">
        <v>2894907</v>
      </c>
      <c r="I2856" s="2">
        <v>131482347</v>
      </c>
      <c r="J2856">
        <v>116</v>
      </c>
      <c r="K2856">
        <v>36</v>
      </c>
      <c r="L2856">
        <v>0</v>
      </c>
      <c r="M2856" t="str">
        <f t="shared" si="44"/>
        <v>2010-2020</v>
      </c>
    </row>
    <row r="2857" spans="1:13">
      <c r="A2857" t="s">
        <v>4090</v>
      </c>
      <c r="B2857" t="s">
        <v>4061</v>
      </c>
      <c r="C2857" s="1">
        <v>43995</v>
      </c>
      <c r="D2857" s="2">
        <v>68033539</v>
      </c>
      <c r="E2857" s="2">
        <v>13060</v>
      </c>
      <c r="F2857">
        <v>60</v>
      </c>
      <c r="G2857" s="2">
        <v>88796716</v>
      </c>
      <c r="H2857" s="2">
        <v>1038952</v>
      </c>
      <c r="I2857" s="2">
        <v>2164370742</v>
      </c>
      <c r="J2857">
        <v>2</v>
      </c>
      <c r="K2857">
        <v>38</v>
      </c>
      <c r="L2857">
        <v>0</v>
      </c>
      <c r="M2857" t="str">
        <f t="shared" si="44"/>
        <v>2010-2020</v>
      </c>
    </row>
    <row r="2858" spans="1:13" hidden="1">
      <c r="A2858" t="s">
        <v>4091</v>
      </c>
      <c r="B2858" t="s">
        <v>4092</v>
      </c>
      <c r="C2858" s="1">
        <v>45310</v>
      </c>
      <c r="D2858" s="2">
        <v>73192291</v>
      </c>
      <c r="E2858" s="2">
        <v>7800</v>
      </c>
      <c r="F2858">
        <v>79</v>
      </c>
      <c r="G2858" s="2">
        <v>34522299</v>
      </c>
      <c r="H2858" s="2">
        <v>269890</v>
      </c>
      <c r="J2858">
        <v>1</v>
      </c>
      <c r="L2858">
        <v>1</v>
      </c>
      <c r="M2858" t="str">
        <f t="shared" si="44"/>
        <v>After 2020</v>
      </c>
    </row>
    <row r="2859" spans="1:13" hidden="1">
      <c r="A2859" t="s">
        <v>4093</v>
      </c>
      <c r="B2859" t="s">
        <v>4094</v>
      </c>
      <c r="C2859" s="1">
        <v>45303</v>
      </c>
      <c r="D2859" s="2">
        <v>34926866</v>
      </c>
      <c r="E2859" s="2">
        <v>4003</v>
      </c>
      <c r="F2859">
        <v>75</v>
      </c>
      <c r="G2859" s="2">
        <v>50347276</v>
      </c>
      <c r="H2859" s="2">
        <v>837359</v>
      </c>
      <c r="J2859">
        <v>13</v>
      </c>
      <c r="L2859">
        <v>0</v>
      </c>
      <c r="M2859" t="str">
        <f t="shared" si="44"/>
        <v>After 2020</v>
      </c>
    </row>
    <row r="2860" spans="1:13">
      <c r="A2860" t="s">
        <v>4095</v>
      </c>
      <c r="B2860" t="s">
        <v>619</v>
      </c>
      <c r="C2860" s="1">
        <v>43470</v>
      </c>
      <c r="D2860" s="2">
        <v>563326343</v>
      </c>
      <c r="E2860" s="2">
        <v>71108</v>
      </c>
      <c r="F2860">
        <v>64</v>
      </c>
      <c r="G2860" s="2">
        <v>619678799</v>
      </c>
      <c r="H2860" s="2">
        <v>3452638</v>
      </c>
      <c r="I2860" s="2">
        <v>13221298</v>
      </c>
      <c r="J2860">
        <v>39</v>
      </c>
      <c r="K2860">
        <v>456</v>
      </c>
      <c r="L2860">
        <v>0</v>
      </c>
      <c r="M2860" t="str">
        <f t="shared" si="44"/>
        <v>2010-2020</v>
      </c>
    </row>
    <row r="2861" spans="1:13" hidden="1">
      <c r="A2861" t="s">
        <v>4096</v>
      </c>
      <c r="B2861" t="s">
        <v>2734</v>
      </c>
      <c r="C2861" s="1">
        <v>45162</v>
      </c>
      <c r="D2861" s="2">
        <v>91200208</v>
      </c>
      <c r="E2861" s="2">
        <v>31859</v>
      </c>
      <c r="F2861">
        <v>69</v>
      </c>
      <c r="G2861" s="2">
        <v>9615800</v>
      </c>
      <c r="H2861" s="2">
        <v>108288</v>
      </c>
      <c r="I2861" s="2">
        <v>4482394</v>
      </c>
      <c r="J2861">
        <v>16</v>
      </c>
      <c r="L2861">
        <v>0</v>
      </c>
      <c r="M2861" t="str">
        <f t="shared" si="44"/>
        <v>After 2020</v>
      </c>
    </row>
    <row r="2862" spans="1:13" hidden="1">
      <c r="A2862" t="s">
        <v>4097</v>
      </c>
      <c r="B2862" t="s">
        <v>3466</v>
      </c>
      <c r="C2862" s="1">
        <v>45031</v>
      </c>
      <c r="D2862" s="2">
        <v>14167450</v>
      </c>
      <c r="E2862">
        <v>963</v>
      </c>
      <c r="F2862">
        <v>56</v>
      </c>
      <c r="G2862" s="2">
        <v>246398948</v>
      </c>
      <c r="H2862" s="2">
        <v>1783107</v>
      </c>
      <c r="I2862" s="2">
        <v>145453664</v>
      </c>
      <c r="L2862">
        <v>0</v>
      </c>
      <c r="M2862" t="str">
        <f t="shared" si="44"/>
        <v>After 2020</v>
      </c>
    </row>
    <row r="2863" spans="1:13" hidden="1">
      <c r="A2863" t="s">
        <v>4098</v>
      </c>
      <c r="B2863" t="s">
        <v>4099</v>
      </c>
      <c r="C2863" s="1">
        <v>45324</v>
      </c>
      <c r="D2863" s="2">
        <v>30812151</v>
      </c>
      <c r="E2863" s="2">
        <v>5012</v>
      </c>
      <c r="F2863">
        <v>71</v>
      </c>
      <c r="G2863" s="2">
        <v>4200741</v>
      </c>
      <c r="H2863" s="2">
        <v>25745</v>
      </c>
      <c r="J2863">
        <v>48</v>
      </c>
      <c r="K2863">
        <v>99</v>
      </c>
      <c r="L2863">
        <v>0</v>
      </c>
      <c r="M2863" t="str">
        <f t="shared" si="44"/>
        <v>After 2020</v>
      </c>
    </row>
    <row r="2864" spans="1:13" hidden="1">
      <c r="A2864" t="s">
        <v>4100</v>
      </c>
      <c r="B2864" t="s">
        <v>424</v>
      </c>
      <c r="C2864" s="1">
        <v>45219</v>
      </c>
      <c r="D2864" s="2">
        <v>92158242</v>
      </c>
      <c r="E2864" s="2">
        <v>10988</v>
      </c>
      <c r="G2864" s="2">
        <v>73651632</v>
      </c>
      <c r="H2864" s="2">
        <v>328795</v>
      </c>
      <c r="I2864" s="2">
        <v>1349277</v>
      </c>
      <c r="J2864">
        <v>5</v>
      </c>
      <c r="L2864">
        <v>0</v>
      </c>
      <c r="M2864" t="str">
        <f t="shared" si="44"/>
        <v>After 2020</v>
      </c>
    </row>
    <row r="2865" spans="1:13">
      <c r="A2865" t="s">
        <v>1049</v>
      </c>
      <c r="B2865" t="s">
        <v>4101</v>
      </c>
      <c r="C2865" s="1">
        <v>43822</v>
      </c>
      <c r="D2865" s="2">
        <v>471042668</v>
      </c>
      <c r="E2865" s="2">
        <v>37370</v>
      </c>
      <c r="F2865">
        <v>66</v>
      </c>
      <c r="G2865" s="2">
        <v>716847469</v>
      </c>
      <c r="H2865" s="2">
        <v>9852754</v>
      </c>
      <c r="I2865" s="2">
        <v>222663523</v>
      </c>
      <c r="J2865">
        <v>21</v>
      </c>
      <c r="K2865">
        <v>5</v>
      </c>
      <c r="L2865">
        <v>0</v>
      </c>
      <c r="M2865" t="str">
        <f t="shared" si="44"/>
        <v>2010-2020</v>
      </c>
    </row>
    <row r="2866" spans="1:13">
      <c r="A2866" t="s">
        <v>4102</v>
      </c>
      <c r="B2866" t="s">
        <v>4103</v>
      </c>
      <c r="C2866" s="1">
        <v>44981</v>
      </c>
      <c r="D2866" s="2">
        <v>116992202</v>
      </c>
      <c r="E2866" s="2">
        <v>44035</v>
      </c>
      <c r="F2866">
        <v>65</v>
      </c>
      <c r="G2866" s="2">
        <v>7745796</v>
      </c>
      <c r="H2866" s="2">
        <v>95181</v>
      </c>
      <c r="I2866" s="2">
        <v>92238960</v>
      </c>
      <c r="J2866">
        <v>50</v>
      </c>
      <c r="K2866">
        <v>281</v>
      </c>
      <c r="L2866">
        <v>0</v>
      </c>
      <c r="M2866" t="str">
        <f t="shared" si="44"/>
        <v>After 2020</v>
      </c>
    </row>
    <row r="2867" spans="1:13" hidden="1">
      <c r="A2867" t="s">
        <v>4104</v>
      </c>
      <c r="B2867" t="s">
        <v>4105</v>
      </c>
      <c r="C2867" s="1">
        <v>45428</v>
      </c>
      <c r="D2867" s="2">
        <v>9244547</v>
      </c>
      <c r="E2867">
        <v>925</v>
      </c>
      <c r="F2867">
        <v>69</v>
      </c>
      <c r="G2867" s="2">
        <v>12781421</v>
      </c>
      <c r="H2867" s="2">
        <v>82897</v>
      </c>
      <c r="J2867">
        <v>1</v>
      </c>
      <c r="L2867">
        <v>0</v>
      </c>
      <c r="M2867" t="str">
        <f t="shared" si="44"/>
        <v>After 2020</v>
      </c>
    </row>
    <row r="2868" spans="1:13" hidden="1">
      <c r="A2868" t="s">
        <v>4106</v>
      </c>
      <c r="B2868" t="s">
        <v>4107</v>
      </c>
      <c r="C2868" s="1">
        <v>44329</v>
      </c>
      <c r="D2868" s="2">
        <v>417078369</v>
      </c>
      <c r="E2868" s="2">
        <v>80390</v>
      </c>
      <c r="F2868">
        <v>61</v>
      </c>
      <c r="G2868" s="2">
        <v>22493718</v>
      </c>
      <c r="H2868" s="2">
        <v>150440</v>
      </c>
      <c r="I2868" s="2">
        <v>1310854382</v>
      </c>
      <c r="J2868">
        <v>61</v>
      </c>
      <c r="L2868">
        <v>0</v>
      </c>
      <c r="M2868" t="str">
        <f t="shared" si="44"/>
        <v>After 2020</v>
      </c>
    </row>
    <row r="2869" spans="1:13" hidden="1">
      <c r="A2869" t="s">
        <v>4108</v>
      </c>
      <c r="B2869" t="s">
        <v>200</v>
      </c>
      <c r="C2869" s="1">
        <v>44788</v>
      </c>
      <c r="D2869" s="2">
        <v>395739041</v>
      </c>
      <c r="E2869" s="2">
        <v>34865</v>
      </c>
      <c r="F2869">
        <v>69</v>
      </c>
      <c r="G2869" s="2">
        <v>115349777</v>
      </c>
      <c r="H2869" s="2">
        <v>497323</v>
      </c>
      <c r="I2869" s="2">
        <v>347269682</v>
      </c>
      <c r="J2869">
        <v>18</v>
      </c>
      <c r="L2869">
        <v>1</v>
      </c>
      <c r="M2869" t="str">
        <f t="shared" si="44"/>
        <v>After 2020</v>
      </c>
    </row>
    <row r="2870" spans="1:13" hidden="1">
      <c r="A2870" t="s">
        <v>4109</v>
      </c>
      <c r="B2870" t="s">
        <v>682</v>
      </c>
      <c r="C2870" s="1">
        <v>45411</v>
      </c>
      <c r="D2870" s="2">
        <v>11282322</v>
      </c>
      <c r="E2870">
        <v>625</v>
      </c>
      <c r="G2870" s="2">
        <v>23217618</v>
      </c>
      <c r="H2870" s="2">
        <v>887493</v>
      </c>
      <c r="I2870" s="2">
        <v>22700</v>
      </c>
      <c r="J2870">
        <v>1</v>
      </c>
      <c r="L2870">
        <v>0</v>
      </c>
      <c r="M2870" t="str">
        <f t="shared" si="44"/>
        <v>After 2020</v>
      </c>
    </row>
    <row r="2871" spans="1:13">
      <c r="A2871" t="s">
        <v>4110</v>
      </c>
      <c r="B2871" t="s">
        <v>2377</v>
      </c>
      <c r="C2871" s="1">
        <v>44666</v>
      </c>
      <c r="D2871" s="2">
        <v>346862697</v>
      </c>
      <c r="E2871" s="2">
        <v>72540</v>
      </c>
      <c r="F2871">
        <v>67</v>
      </c>
      <c r="G2871" s="2">
        <v>28725574</v>
      </c>
      <c r="H2871" s="2">
        <v>481537</v>
      </c>
      <c r="I2871" s="2">
        <v>186623555</v>
      </c>
      <c r="J2871">
        <v>8</v>
      </c>
      <c r="K2871">
        <v>35</v>
      </c>
      <c r="L2871">
        <v>1</v>
      </c>
      <c r="M2871" t="str">
        <f t="shared" si="44"/>
        <v>After 2020</v>
      </c>
    </row>
    <row r="2872" spans="1:13" hidden="1">
      <c r="A2872" t="s">
        <v>4111</v>
      </c>
      <c r="B2872" t="s">
        <v>1025</v>
      </c>
      <c r="C2872" s="1">
        <v>45191</v>
      </c>
      <c r="D2872" s="2">
        <v>23089149</v>
      </c>
      <c r="E2872" s="2">
        <v>7090</v>
      </c>
      <c r="G2872" s="2">
        <v>1508079</v>
      </c>
      <c r="H2872" s="2">
        <v>15100</v>
      </c>
      <c r="I2872" s="2">
        <v>160449801</v>
      </c>
      <c r="J2872">
        <v>35</v>
      </c>
      <c r="K2872">
        <v>156</v>
      </c>
      <c r="L2872">
        <v>0</v>
      </c>
      <c r="M2872" t="str">
        <f t="shared" si="44"/>
        <v>After 2020</v>
      </c>
    </row>
    <row r="2873" spans="1:13" hidden="1">
      <c r="A2873" t="s">
        <v>4112</v>
      </c>
      <c r="B2873" t="s">
        <v>141</v>
      </c>
      <c r="C2873" s="1">
        <v>43890</v>
      </c>
      <c r="D2873" s="2">
        <v>778269101</v>
      </c>
      <c r="E2873" s="2">
        <v>94041</v>
      </c>
      <c r="F2873">
        <v>70</v>
      </c>
      <c r="G2873" s="2">
        <v>357643934</v>
      </c>
      <c r="H2873" s="2">
        <v>1517496</v>
      </c>
      <c r="I2873" s="2">
        <v>287886349</v>
      </c>
      <c r="J2873">
        <v>35</v>
      </c>
      <c r="L2873">
        <v>0</v>
      </c>
      <c r="M2873" t="str">
        <f t="shared" si="44"/>
        <v>2010-2020</v>
      </c>
    </row>
    <row r="2874" spans="1:13">
      <c r="A2874" t="s">
        <v>4113</v>
      </c>
      <c r="B2874" t="s">
        <v>4114</v>
      </c>
      <c r="C2874" s="1">
        <v>40909</v>
      </c>
      <c r="D2874" s="2">
        <v>1623436416</v>
      </c>
      <c r="E2874" s="2">
        <v>181003</v>
      </c>
      <c r="F2874">
        <v>76</v>
      </c>
      <c r="G2874" s="2">
        <v>205204907</v>
      </c>
      <c r="H2874" s="2">
        <v>2069073</v>
      </c>
      <c r="I2874" s="2">
        <v>345185931</v>
      </c>
      <c r="J2874">
        <v>228</v>
      </c>
      <c r="K2874">
        <v>323</v>
      </c>
      <c r="L2874">
        <v>1</v>
      </c>
      <c r="M2874" t="str">
        <f t="shared" si="44"/>
        <v>2010-2020</v>
      </c>
    </row>
    <row r="2875" spans="1:13">
      <c r="A2875" t="s">
        <v>4115</v>
      </c>
      <c r="B2875" t="s">
        <v>362</v>
      </c>
      <c r="C2875" s="1">
        <v>42279</v>
      </c>
      <c r="D2875" s="2">
        <v>989672356</v>
      </c>
      <c r="E2875" s="2">
        <v>135409</v>
      </c>
      <c r="F2875">
        <v>76</v>
      </c>
      <c r="G2875" s="2">
        <v>713521813</v>
      </c>
      <c r="H2875" s="2">
        <v>4429142</v>
      </c>
      <c r="I2875" s="2">
        <v>71925380</v>
      </c>
      <c r="J2875">
        <v>122</v>
      </c>
      <c r="K2875">
        <v>15</v>
      </c>
      <c r="L2875">
        <v>1</v>
      </c>
      <c r="M2875" t="str">
        <f t="shared" si="44"/>
        <v>2010-2020</v>
      </c>
    </row>
    <row r="2876" spans="1:13" hidden="1">
      <c r="A2876" t="s">
        <v>4116</v>
      </c>
      <c r="B2876" t="s">
        <v>725</v>
      </c>
      <c r="C2876" s="1">
        <v>44204</v>
      </c>
      <c r="D2876" s="2">
        <v>385903701</v>
      </c>
      <c r="E2876" s="2">
        <v>66419</v>
      </c>
      <c r="F2876">
        <v>61</v>
      </c>
      <c r="G2876" s="2">
        <v>67488485</v>
      </c>
      <c r="H2876" s="2">
        <v>440351</v>
      </c>
      <c r="I2876" s="2">
        <v>771965593</v>
      </c>
      <c r="J2876">
        <v>153</v>
      </c>
      <c r="L2876">
        <v>0</v>
      </c>
      <c r="M2876" t="str">
        <f t="shared" si="44"/>
        <v>After 2020</v>
      </c>
    </row>
    <row r="2877" spans="1:13">
      <c r="A2877" t="s">
        <v>4117</v>
      </c>
      <c r="B2877" t="s">
        <v>221</v>
      </c>
      <c r="C2877" s="1">
        <v>43252</v>
      </c>
      <c r="D2877" s="2">
        <v>572628080</v>
      </c>
      <c r="E2877" s="2">
        <v>58161</v>
      </c>
      <c r="F2877">
        <v>79</v>
      </c>
      <c r="G2877" s="2">
        <v>358325972</v>
      </c>
      <c r="H2877" s="2">
        <v>1376330</v>
      </c>
      <c r="I2877" s="2">
        <v>45145253</v>
      </c>
      <c r="J2877">
        <v>28</v>
      </c>
      <c r="K2877">
        <v>19</v>
      </c>
      <c r="L2877">
        <v>0</v>
      </c>
      <c r="M2877" t="str">
        <f t="shared" si="44"/>
        <v>2010-2020</v>
      </c>
    </row>
    <row r="2878" spans="1:13">
      <c r="A2878" t="s">
        <v>4118</v>
      </c>
      <c r="B2878" t="s">
        <v>4119</v>
      </c>
      <c r="C2878" s="1">
        <v>44519</v>
      </c>
      <c r="D2878" s="2">
        <v>110244949</v>
      </c>
      <c r="E2878" s="2">
        <v>10233</v>
      </c>
      <c r="F2878">
        <v>39</v>
      </c>
      <c r="G2878" s="2">
        <v>442934526</v>
      </c>
      <c r="H2878" s="2">
        <v>1510804</v>
      </c>
      <c r="I2878" s="2">
        <v>12667235</v>
      </c>
      <c r="J2878">
        <v>1</v>
      </c>
      <c r="K2878">
        <v>200</v>
      </c>
      <c r="L2878">
        <v>0</v>
      </c>
      <c r="M2878" t="str">
        <f t="shared" si="44"/>
        <v>After 2020</v>
      </c>
    </row>
    <row r="2879" spans="1:13" hidden="1">
      <c r="A2879" t="s">
        <v>4120</v>
      </c>
      <c r="B2879" t="s">
        <v>2377</v>
      </c>
      <c r="C2879" s="1">
        <v>43721</v>
      </c>
      <c r="D2879" s="2">
        <v>537163250</v>
      </c>
      <c r="E2879" s="2">
        <v>117513</v>
      </c>
      <c r="F2879">
        <v>69</v>
      </c>
      <c r="G2879" s="2">
        <v>299438117</v>
      </c>
      <c r="H2879" s="2">
        <v>2767933</v>
      </c>
      <c r="I2879" s="2">
        <v>45616164</v>
      </c>
      <c r="J2879">
        <v>16</v>
      </c>
      <c r="L2879">
        <v>1</v>
      </c>
      <c r="M2879" t="str">
        <f t="shared" si="44"/>
        <v>2010-2020</v>
      </c>
    </row>
    <row r="2880" spans="1:13">
      <c r="A2880" t="s">
        <v>1517</v>
      </c>
      <c r="B2880" t="s">
        <v>2920</v>
      </c>
      <c r="C2880" s="1">
        <v>43980</v>
      </c>
      <c r="D2880" s="2">
        <v>143421888</v>
      </c>
      <c r="E2880" s="2">
        <v>46095</v>
      </c>
      <c r="F2880">
        <v>54</v>
      </c>
      <c r="G2880" s="2">
        <v>23355896</v>
      </c>
      <c r="H2880" s="2">
        <v>429911</v>
      </c>
      <c r="I2880" s="2">
        <v>6940732133</v>
      </c>
      <c r="J2880">
        <v>26</v>
      </c>
      <c r="K2880">
        <v>150</v>
      </c>
      <c r="L2880">
        <v>1</v>
      </c>
      <c r="M2880" t="str">
        <f t="shared" si="44"/>
        <v>2010-2020</v>
      </c>
    </row>
    <row r="2881" spans="1:13" hidden="1">
      <c r="A2881" t="s">
        <v>4121</v>
      </c>
      <c r="B2881" t="s">
        <v>3899</v>
      </c>
      <c r="C2881" s="1">
        <v>44806</v>
      </c>
      <c r="D2881" s="2">
        <v>166436749</v>
      </c>
      <c r="E2881" s="2">
        <v>48250</v>
      </c>
      <c r="F2881">
        <v>68</v>
      </c>
      <c r="G2881" s="2">
        <v>49886904</v>
      </c>
      <c r="H2881" s="2">
        <v>632581</v>
      </c>
      <c r="I2881" s="2">
        <v>219657145</v>
      </c>
      <c r="J2881">
        <v>9</v>
      </c>
      <c r="L2881">
        <v>1</v>
      </c>
      <c r="M2881" t="str">
        <f t="shared" si="44"/>
        <v>After 2020</v>
      </c>
    </row>
    <row r="2882" spans="1:13" hidden="1">
      <c r="A2882" t="s">
        <v>2441</v>
      </c>
      <c r="B2882" t="s">
        <v>598</v>
      </c>
      <c r="C2882" s="1">
        <v>44202</v>
      </c>
      <c r="D2882" s="2">
        <v>311307250</v>
      </c>
      <c r="E2882" s="2">
        <v>48587</v>
      </c>
      <c r="F2882">
        <v>61</v>
      </c>
      <c r="G2882" s="2">
        <v>460930832</v>
      </c>
      <c r="H2882" s="2">
        <v>3166818</v>
      </c>
      <c r="I2882" s="2">
        <v>275649626</v>
      </c>
      <c r="J2882">
        <v>38</v>
      </c>
      <c r="L2882">
        <v>0</v>
      </c>
      <c r="M2882" t="str">
        <f t="shared" si="44"/>
        <v>After 2020</v>
      </c>
    </row>
    <row r="2883" spans="1:13">
      <c r="A2883" t="s">
        <v>4122</v>
      </c>
      <c r="B2883" t="s">
        <v>167</v>
      </c>
      <c r="C2883" s="1">
        <v>45081</v>
      </c>
      <c r="D2883" s="2">
        <v>107742416</v>
      </c>
      <c r="E2883" s="2">
        <v>42998</v>
      </c>
      <c r="F2883">
        <v>67</v>
      </c>
      <c r="G2883" s="2">
        <v>11323598</v>
      </c>
      <c r="H2883" s="2">
        <v>134265</v>
      </c>
      <c r="I2883">
        <v>921</v>
      </c>
      <c r="J2883">
        <v>32</v>
      </c>
      <c r="K2883">
        <v>39</v>
      </c>
      <c r="L2883">
        <v>1</v>
      </c>
      <c r="M2883" t="str">
        <f t="shared" ref="M2883:M2946" si="45">IF(YEAR(C2883)&lt;2010,"Before 2010",IF(YEAR(C2883)&lt;=2020,"2010-2020","After 2020"))</f>
        <v>After 2020</v>
      </c>
    </row>
    <row r="2884" spans="1:13" hidden="1">
      <c r="A2884" t="s">
        <v>4123</v>
      </c>
      <c r="B2884" t="s">
        <v>4124</v>
      </c>
      <c r="C2884" s="1">
        <v>45343</v>
      </c>
      <c r="D2884" s="2">
        <v>17009</v>
      </c>
      <c r="E2884">
        <v>6</v>
      </c>
      <c r="G2884" s="2">
        <v>66083451</v>
      </c>
      <c r="H2884" s="2">
        <v>231545</v>
      </c>
      <c r="L2884">
        <v>0</v>
      </c>
      <c r="M2884" t="str">
        <f t="shared" si="45"/>
        <v>After 2020</v>
      </c>
    </row>
    <row r="2885" spans="1:13">
      <c r="A2885" t="s">
        <v>4125</v>
      </c>
      <c r="B2885" t="s">
        <v>170</v>
      </c>
      <c r="C2885" s="1">
        <v>43231</v>
      </c>
      <c r="D2885" s="2">
        <v>224367887</v>
      </c>
      <c r="E2885" s="2">
        <v>21036</v>
      </c>
      <c r="F2885">
        <v>57</v>
      </c>
      <c r="G2885" s="2">
        <v>1159610485</v>
      </c>
      <c r="H2885" s="2">
        <v>6061105</v>
      </c>
      <c r="I2885" s="2">
        <v>99044675</v>
      </c>
      <c r="J2885">
        <v>31</v>
      </c>
      <c r="K2885">
        <v>219</v>
      </c>
      <c r="L2885">
        <v>0</v>
      </c>
      <c r="M2885" t="str">
        <f t="shared" si="45"/>
        <v>2010-2020</v>
      </c>
    </row>
    <row r="2886" spans="1:13" hidden="1">
      <c r="A2886" t="s">
        <v>4126</v>
      </c>
      <c r="B2886" t="s">
        <v>4127</v>
      </c>
      <c r="C2886" s="1">
        <v>44981</v>
      </c>
      <c r="D2886" s="2">
        <v>84198</v>
      </c>
      <c r="E2886">
        <v>27</v>
      </c>
      <c r="F2886">
        <v>15</v>
      </c>
      <c r="G2886" s="2">
        <v>295297180</v>
      </c>
      <c r="L2886">
        <v>0</v>
      </c>
      <c r="M2886" t="str">
        <f t="shared" si="45"/>
        <v>After 2020</v>
      </c>
    </row>
    <row r="2887" spans="1:13">
      <c r="A2887" t="s">
        <v>4128</v>
      </c>
      <c r="B2887" t="s">
        <v>1857</v>
      </c>
      <c r="C2887" s="1">
        <v>44708</v>
      </c>
      <c r="D2887" s="2">
        <v>269363579</v>
      </c>
      <c r="E2887" s="2">
        <v>84173</v>
      </c>
      <c r="F2887">
        <v>70</v>
      </c>
      <c r="G2887" s="2">
        <v>3464827</v>
      </c>
      <c r="H2887" s="2">
        <v>61192</v>
      </c>
      <c r="I2887" s="2">
        <v>139748</v>
      </c>
      <c r="J2887">
        <v>14</v>
      </c>
      <c r="K2887">
        <v>300</v>
      </c>
      <c r="L2887">
        <v>0</v>
      </c>
      <c r="M2887" t="str">
        <f t="shared" si="45"/>
        <v>After 2020</v>
      </c>
    </row>
    <row r="2888" spans="1:13">
      <c r="A2888" t="s">
        <v>4129</v>
      </c>
      <c r="B2888" t="s">
        <v>1186</v>
      </c>
      <c r="C2888" s="1">
        <v>44686</v>
      </c>
      <c r="D2888" s="2">
        <v>265244748</v>
      </c>
      <c r="E2888" s="2">
        <v>27965</v>
      </c>
      <c r="F2888">
        <v>58</v>
      </c>
      <c r="G2888" s="2">
        <v>219911011</v>
      </c>
      <c r="H2888" s="2">
        <v>1029281</v>
      </c>
      <c r="I2888" s="2">
        <v>837142924</v>
      </c>
      <c r="J2888">
        <v>29</v>
      </c>
      <c r="K2888">
        <v>424</v>
      </c>
      <c r="L2888">
        <v>0</v>
      </c>
      <c r="M2888" t="str">
        <f t="shared" si="45"/>
        <v>After 2020</v>
      </c>
    </row>
    <row r="2889" spans="1:13" hidden="1">
      <c r="A2889" t="s">
        <v>4130</v>
      </c>
      <c r="B2889" t="s">
        <v>762</v>
      </c>
      <c r="C2889" s="1">
        <v>43756</v>
      </c>
      <c r="D2889" s="2">
        <v>578464780</v>
      </c>
      <c r="E2889" s="2">
        <v>64098</v>
      </c>
      <c r="F2889">
        <v>76</v>
      </c>
      <c r="G2889" s="2">
        <v>99386903</v>
      </c>
      <c r="H2889" s="2">
        <v>1089785</v>
      </c>
      <c r="I2889" s="2">
        <v>3957426996</v>
      </c>
      <c r="J2889">
        <v>32</v>
      </c>
      <c r="L2889">
        <v>0</v>
      </c>
      <c r="M2889" t="str">
        <f t="shared" si="45"/>
        <v>2010-2020</v>
      </c>
    </row>
    <row r="2890" spans="1:13" hidden="1">
      <c r="A2890" t="s">
        <v>4131</v>
      </c>
      <c r="B2890" t="s">
        <v>583</v>
      </c>
      <c r="C2890" s="1">
        <v>45240</v>
      </c>
      <c r="D2890" s="2">
        <v>269280631</v>
      </c>
      <c r="E2890" s="2">
        <v>16841</v>
      </c>
      <c r="G2890" s="2">
        <v>4294607</v>
      </c>
      <c r="H2890" s="2">
        <v>37332</v>
      </c>
      <c r="J2890">
        <v>12</v>
      </c>
      <c r="L2890">
        <v>1</v>
      </c>
      <c r="M2890" t="str">
        <f t="shared" si="45"/>
        <v>After 2020</v>
      </c>
    </row>
    <row r="2891" spans="1:13">
      <c r="A2891" t="s">
        <v>4132</v>
      </c>
      <c r="B2891" t="s">
        <v>1109</v>
      </c>
      <c r="C2891" s="1">
        <v>40835</v>
      </c>
      <c r="D2891" s="2">
        <v>1291954163</v>
      </c>
      <c r="E2891" s="2">
        <v>205567</v>
      </c>
      <c r="F2891">
        <v>77</v>
      </c>
      <c r="G2891" s="2">
        <v>325509002</v>
      </c>
      <c r="H2891" s="2">
        <v>2163945</v>
      </c>
      <c r="I2891" s="2">
        <v>1016743063</v>
      </c>
      <c r="J2891">
        <v>109</v>
      </c>
      <c r="K2891">
        <v>109</v>
      </c>
      <c r="L2891">
        <v>0</v>
      </c>
      <c r="M2891" t="str">
        <f t="shared" si="45"/>
        <v>2010-2020</v>
      </c>
    </row>
    <row r="2892" spans="1:13">
      <c r="A2892" t="s">
        <v>4133</v>
      </c>
      <c r="B2892" t="s">
        <v>1226</v>
      </c>
      <c r="C2892" s="1">
        <v>44666</v>
      </c>
      <c r="D2892" s="2">
        <v>203417763</v>
      </c>
      <c r="E2892" s="2">
        <v>41522</v>
      </c>
      <c r="F2892">
        <v>66</v>
      </c>
      <c r="G2892" s="2">
        <v>69712050</v>
      </c>
      <c r="H2892" s="2">
        <v>939096</v>
      </c>
      <c r="I2892" s="2">
        <v>686244417</v>
      </c>
      <c r="J2892">
        <v>12</v>
      </c>
      <c r="K2892">
        <v>111</v>
      </c>
      <c r="L2892">
        <v>0</v>
      </c>
      <c r="M2892" t="str">
        <f t="shared" si="45"/>
        <v>After 2020</v>
      </c>
    </row>
    <row r="2893" spans="1:13" hidden="1">
      <c r="A2893" t="s">
        <v>4134</v>
      </c>
      <c r="B2893" t="s">
        <v>4135</v>
      </c>
      <c r="C2893" s="1">
        <v>44806</v>
      </c>
      <c r="D2893" s="2">
        <v>145135597</v>
      </c>
      <c r="E2893" s="2">
        <v>15952</v>
      </c>
      <c r="F2893">
        <v>65</v>
      </c>
      <c r="G2893" s="2">
        <v>226936682</v>
      </c>
      <c r="H2893" s="2">
        <v>537097</v>
      </c>
      <c r="I2893" s="2">
        <v>181357126</v>
      </c>
      <c r="J2893">
        <v>3</v>
      </c>
      <c r="L2893">
        <v>1</v>
      </c>
      <c r="M2893" t="str">
        <f t="shared" si="45"/>
        <v>After 2020</v>
      </c>
    </row>
    <row r="2894" spans="1:13">
      <c r="A2894" t="s">
        <v>4136</v>
      </c>
      <c r="B2894" t="s">
        <v>4137</v>
      </c>
      <c r="C2894" s="1">
        <v>43831</v>
      </c>
      <c r="D2894" s="2">
        <v>316588910</v>
      </c>
      <c r="E2894" s="2">
        <v>82524</v>
      </c>
      <c r="F2894">
        <v>62</v>
      </c>
      <c r="G2894" s="2">
        <v>276127028</v>
      </c>
      <c r="H2894" s="2">
        <v>1891292</v>
      </c>
      <c r="I2894" s="2">
        <v>291943987</v>
      </c>
      <c r="J2894">
        <v>62</v>
      </c>
      <c r="K2894" s="2">
        <v>1457</v>
      </c>
      <c r="L2894">
        <v>1</v>
      </c>
      <c r="M2894" t="str">
        <f t="shared" si="45"/>
        <v>2010-2020</v>
      </c>
    </row>
    <row r="2895" spans="1:13" hidden="1">
      <c r="A2895" t="s">
        <v>4138</v>
      </c>
      <c r="B2895" t="s">
        <v>4139</v>
      </c>
      <c r="C2895" s="1">
        <v>44735</v>
      </c>
      <c r="D2895" s="2">
        <v>290735048</v>
      </c>
      <c r="E2895" s="2">
        <v>17734</v>
      </c>
      <c r="F2895">
        <v>60</v>
      </c>
      <c r="G2895" s="2">
        <v>296249830</v>
      </c>
      <c r="H2895" s="2">
        <v>565573</v>
      </c>
      <c r="I2895" s="2">
        <v>91683933</v>
      </c>
      <c r="J2895">
        <v>25</v>
      </c>
      <c r="L2895">
        <v>0</v>
      </c>
      <c r="M2895" t="str">
        <f t="shared" si="45"/>
        <v>After 2020</v>
      </c>
    </row>
    <row r="2896" spans="1:13">
      <c r="A2896" t="s">
        <v>4140</v>
      </c>
      <c r="B2896" t="s">
        <v>4141</v>
      </c>
      <c r="C2896" s="1">
        <v>44617</v>
      </c>
      <c r="D2896" s="2">
        <v>209635991</v>
      </c>
      <c r="E2896" s="2">
        <v>54470</v>
      </c>
      <c r="F2896">
        <v>71</v>
      </c>
      <c r="G2896" s="2">
        <v>26381437</v>
      </c>
      <c r="H2896" s="2">
        <v>281014</v>
      </c>
      <c r="I2896" s="2">
        <v>231239811</v>
      </c>
      <c r="J2896">
        <v>18</v>
      </c>
      <c r="K2896">
        <v>102</v>
      </c>
      <c r="L2896">
        <v>0</v>
      </c>
      <c r="M2896" t="str">
        <f t="shared" si="45"/>
        <v>After 2020</v>
      </c>
    </row>
    <row r="2897" spans="1:13" hidden="1">
      <c r="A2897" t="s">
        <v>4142</v>
      </c>
      <c r="B2897" t="s">
        <v>1445</v>
      </c>
      <c r="C2897" s="1">
        <v>45184</v>
      </c>
      <c r="D2897" s="2">
        <v>174933335</v>
      </c>
      <c r="E2897" s="2">
        <v>20035</v>
      </c>
      <c r="G2897" s="2">
        <v>13345496</v>
      </c>
      <c r="H2897" s="2">
        <v>254331</v>
      </c>
      <c r="I2897" s="2">
        <v>3421698</v>
      </c>
      <c r="J2897">
        <v>4</v>
      </c>
      <c r="L2897">
        <v>0</v>
      </c>
      <c r="M2897" t="str">
        <f t="shared" si="45"/>
        <v>After 2020</v>
      </c>
    </row>
    <row r="2898" spans="1:13" hidden="1">
      <c r="A2898" t="s">
        <v>4143</v>
      </c>
      <c r="B2898" t="s">
        <v>4144</v>
      </c>
      <c r="C2898" s="1">
        <v>44960</v>
      </c>
      <c r="G2898" s="2">
        <v>323018594</v>
      </c>
      <c r="H2898" s="2">
        <v>550826</v>
      </c>
      <c r="L2898">
        <v>0</v>
      </c>
      <c r="M2898" t="str">
        <f t="shared" si="45"/>
        <v>After 2020</v>
      </c>
    </row>
    <row r="2899" spans="1:13">
      <c r="A2899" t="s">
        <v>4145</v>
      </c>
      <c r="B2899" t="s">
        <v>4146</v>
      </c>
      <c r="C2899" s="1">
        <v>42901</v>
      </c>
      <c r="D2899" s="2">
        <v>899431434</v>
      </c>
      <c r="E2899" s="2">
        <v>111427</v>
      </c>
      <c r="F2899">
        <v>72</v>
      </c>
      <c r="G2899" s="2">
        <v>345265852</v>
      </c>
      <c r="H2899" s="2">
        <v>3361539</v>
      </c>
      <c r="I2899" s="2">
        <v>813589191</v>
      </c>
      <c r="J2899">
        <v>58</v>
      </c>
      <c r="K2899">
        <v>26</v>
      </c>
      <c r="L2899">
        <v>1</v>
      </c>
      <c r="M2899" t="str">
        <f t="shared" si="45"/>
        <v>2010-2020</v>
      </c>
    </row>
    <row r="2900" spans="1:13">
      <c r="A2900" t="s">
        <v>1236</v>
      </c>
      <c r="B2900" t="s">
        <v>590</v>
      </c>
      <c r="C2900" s="1">
        <v>44869</v>
      </c>
      <c r="D2900" s="2">
        <v>139783785</v>
      </c>
      <c r="E2900" s="2">
        <v>44303</v>
      </c>
      <c r="F2900">
        <v>63</v>
      </c>
      <c r="G2900" s="2">
        <v>37874489</v>
      </c>
      <c r="H2900" s="2">
        <v>402994</v>
      </c>
      <c r="I2900" s="2">
        <v>129948415</v>
      </c>
      <c r="J2900">
        <v>25</v>
      </c>
      <c r="K2900">
        <v>1</v>
      </c>
      <c r="L2900">
        <v>0</v>
      </c>
      <c r="M2900" t="str">
        <f t="shared" si="45"/>
        <v>After 2020</v>
      </c>
    </row>
    <row r="2901" spans="1:13">
      <c r="A2901" t="s">
        <v>4147</v>
      </c>
      <c r="B2901" t="s">
        <v>61</v>
      </c>
      <c r="C2901" s="1">
        <v>43049</v>
      </c>
      <c r="D2901" s="2">
        <v>987770768</v>
      </c>
      <c r="E2901" s="2">
        <v>58856</v>
      </c>
      <c r="F2901">
        <v>75</v>
      </c>
      <c r="G2901" s="2">
        <v>593364271</v>
      </c>
      <c r="H2901" s="2">
        <v>4837607</v>
      </c>
      <c r="I2901" s="2">
        <v>130537420</v>
      </c>
      <c r="J2901">
        <v>81</v>
      </c>
      <c r="K2901">
        <v>30</v>
      </c>
      <c r="L2901">
        <v>0</v>
      </c>
      <c r="M2901" t="str">
        <f t="shared" si="45"/>
        <v>2010-2020</v>
      </c>
    </row>
    <row r="2902" spans="1:13" hidden="1">
      <c r="A2902" t="s">
        <v>4148</v>
      </c>
      <c r="B2902" t="s">
        <v>484</v>
      </c>
      <c r="C2902" s="1">
        <v>45254</v>
      </c>
      <c r="D2902" s="2">
        <v>91553012</v>
      </c>
      <c r="E2902" s="2">
        <v>8921</v>
      </c>
      <c r="G2902" s="2">
        <v>48246407</v>
      </c>
      <c r="H2902" s="2">
        <v>514286</v>
      </c>
      <c r="J2902">
        <v>20</v>
      </c>
      <c r="K2902">
        <v>126</v>
      </c>
      <c r="L2902">
        <v>0</v>
      </c>
      <c r="M2902" t="str">
        <f t="shared" si="45"/>
        <v>After 2020</v>
      </c>
    </row>
    <row r="2903" spans="1:13" hidden="1">
      <c r="A2903" t="s">
        <v>4149</v>
      </c>
      <c r="B2903" t="s">
        <v>4150</v>
      </c>
      <c r="C2903" s="1">
        <v>44363</v>
      </c>
      <c r="D2903" s="2">
        <v>203081704</v>
      </c>
      <c r="E2903" s="2">
        <v>47164</v>
      </c>
      <c r="F2903">
        <v>59</v>
      </c>
      <c r="G2903" s="2">
        <v>409311269</v>
      </c>
      <c r="H2903" s="2">
        <v>2277370</v>
      </c>
      <c r="J2903">
        <v>12</v>
      </c>
      <c r="L2903">
        <v>0</v>
      </c>
      <c r="M2903" t="str">
        <f t="shared" si="45"/>
        <v>After 2020</v>
      </c>
    </row>
    <row r="2904" spans="1:13">
      <c r="A2904" t="s">
        <v>4151</v>
      </c>
      <c r="B2904" t="s">
        <v>83</v>
      </c>
      <c r="C2904" s="1">
        <v>40544</v>
      </c>
      <c r="D2904" s="2">
        <v>1436087930</v>
      </c>
      <c r="E2904" s="2">
        <v>296520</v>
      </c>
      <c r="F2904">
        <v>76</v>
      </c>
      <c r="G2904" s="2">
        <v>444307904</v>
      </c>
      <c r="H2904" s="2">
        <v>3150622</v>
      </c>
      <c r="I2904" s="2">
        <v>199117216</v>
      </c>
      <c r="J2904">
        <v>159</v>
      </c>
      <c r="K2904">
        <v>3</v>
      </c>
      <c r="L2904">
        <v>1</v>
      </c>
      <c r="M2904" t="str">
        <f t="shared" si="45"/>
        <v>2010-2020</v>
      </c>
    </row>
    <row r="2905" spans="1:13" hidden="1">
      <c r="A2905" t="s">
        <v>4152</v>
      </c>
      <c r="B2905" t="s">
        <v>4153</v>
      </c>
      <c r="C2905" s="1">
        <v>45037</v>
      </c>
      <c r="D2905" s="2">
        <v>136778408</v>
      </c>
      <c r="E2905" s="2">
        <v>38192</v>
      </c>
      <c r="F2905">
        <v>74</v>
      </c>
      <c r="I2905" s="2">
        <v>16053583</v>
      </c>
      <c r="J2905">
        <v>31</v>
      </c>
      <c r="L2905">
        <v>0</v>
      </c>
      <c r="M2905" t="str">
        <f t="shared" si="45"/>
        <v>After 2020</v>
      </c>
    </row>
    <row r="2906" spans="1:13" hidden="1">
      <c r="A2906" t="s">
        <v>4154</v>
      </c>
      <c r="B2906" t="s">
        <v>4155</v>
      </c>
      <c r="C2906" s="1">
        <v>44574</v>
      </c>
      <c r="E2906">
        <v>382</v>
      </c>
      <c r="I2906" s="2">
        <v>201918963</v>
      </c>
      <c r="L2906">
        <v>0</v>
      </c>
      <c r="M2906" t="str">
        <f t="shared" si="45"/>
        <v>After 2020</v>
      </c>
    </row>
    <row r="2907" spans="1:13">
      <c r="A2907" t="s">
        <v>4156</v>
      </c>
      <c r="B2907" t="s">
        <v>295</v>
      </c>
      <c r="C2907" s="1">
        <v>45133</v>
      </c>
      <c r="D2907" s="2">
        <v>86155124</v>
      </c>
      <c r="E2907" s="2">
        <v>34804</v>
      </c>
      <c r="F2907">
        <v>62</v>
      </c>
      <c r="G2907" s="2">
        <v>17603372</v>
      </c>
      <c r="H2907" s="2">
        <v>566251</v>
      </c>
      <c r="I2907" s="2">
        <v>21751158</v>
      </c>
      <c r="J2907">
        <v>22</v>
      </c>
      <c r="K2907">
        <v>1</v>
      </c>
      <c r="L2907">
        <v>1</v>
      </c>
      <c r="M2907" t="str">
        <f t="shared" si="45"/>
        <v>After 2020</v>
      </c>
    </row>
    <row r="2908" spans="1:13">
      <c r="A2908" t="s">
        <v>4157</v>
      </c>
      <c r="B2908" t="s">
        <v>449</v>
      </c>
      <c r="C2908" s="1">
        <v>44848</v>
      </c>
      <c r="D2908" s="2">
        <v>101717995</v>
      </c>
      <c r="E2908" s="2">
        <v>43236</v>
      </c>
      <c r="F2908">
        <v>61</v>
      </c>
      <c r="G2908" s="2">
        <v>28422099</v>
      </c>
      <c r="H2908" s="2">
        <v>327967</v>
      </c>
      <c r="I2908" s="2">
        <v>15743</v>
      </c>
      <c r="J2908">
        <v>18</v>
      </c>
      <c r="K2908">
        <v>932</v>
      </c>
      <c r="L2908">
        <v>1</v>
      </c>
      <c r="M2908" t="str">
        <f t="shared" si="45"/>
        <v>After 2020</v>
      </c>
    </row>
    <row r="2909" spans="1:13">
      <c r="A2909" t="s">
        <v>4158</v>
      </c>
      <c r="B2909" t="s">
        <v>4159</v>
      </c>
      <c r="C2909" s="1">
        <v>41640</v>
      </c>
      <c r="D2909" s="2">
        <v>1336196012</v>
      </c>
      <c r="E2909" s="2">
        <v>120161</v>
      </c>
      <c r="F2909">
        <v>72</v>
      </c>
      <c r="G2909" s="2">
        <v>321959140</v>
      </c>
      <c r="H2909" s="2">
        <v>3114933</v>
      </c>
      <c r="I2909" s="2">
        <v>243157936</v>
      </c>
      <c r="J2909">
        <v>164</v>
      </c>
      <c r="K2909">
        <v>140</v>
      </c>
      <c r="L2909">
        <v>0</v>
      </c>
      <c r="M2909" t="str">
        <f t="shared" si="45"/>
        <v>2010-2020</v>
      </c>
    </row>
    <row r="2910" spans="1:13">
      <c r="A2910" t="s">
        <v>4160</v>
      </c>
      <c r="B2910" t="s">
        <v>127</v>
      </c>
      <c r="C2910" s="1">
        <v>42699</v>
      </c>
      <c r="D2910" s="2">
        <v>1015965940</v>
      </c>
      <c r="E2910" s="2">
        <v>125348</v>
      </c>
      <c r="F2910">
        <v>77</v>
      </c>
      <c r="G2910" s="2">
        <v>530807213</v>
      </c>
      <c r="H2910" s="2">
        <v>3439489</v>
      </c>
      <c r="I2910" s="2">
        <v>445032303</v>
      </c>
      <c r="J2910">
        <v>56</v>
      </c>
      <c r="K2910">
        <v>68</v>
      </c>
      <c r="L2910">
        <v>1</v>
      </c>
      <c r="M2910" t="str">
        <f t="shared" si="45"/>
        <v>2010-2020</v>
      </c>
    </row>
    <row r="2911" spans="1:13" hidden="1">
      <c r="A2911" t="s">
        <v>4161</v>
      </c>
      <c r="B2911" t="s">
        <v>61</v>
      </c>
      <c r="C2911" s="1">
        <v>45225</v>
      </c>
      <c r="D2911" s="2">
        <v>265932119</v>
      </c>
      <c r="E2911" s="2">
        <v>15133</v>
      </c>
      <c r="G2911" s="2">
        <v>10688311</v>
      </c>
      <c r="H2911" s="2">
        <v>218021</v>
      </c>
      <c r="I2911" s="2">
        <v>148790467</v>
      </c>
      <c r="J2911">
        <v>14</v>
      </c>
      <c r="K2911">
        <v>5</v>
      </c>
      <c r="L2911">
        <v>0</v>
      </c>
      <c r="M2911" t="str">
        <f t="shared" si="45"/>
        <v>After 2020</v>
      </c>
    </row>
    <row r="2912" spans="1:13" hidden="1">
      <c r="A2912" t="s">
        <v>4162</v>
      </c>
      <c r="B2912" t="s">
        <v>4163</v>
      </c>
      <c r="C2912" s="1">
        <v>45443</v>
      </c>
      <c r="D2912" s="2">
        <v>3162942</v>
      </c>
      <c r="E2912">
        <v>520</v>
      </c>
      <c r="F2912">
        <v>63</v>
      </c>
      <c r="G2912" s="2">
        <v>247697</v>
      </c>
      <c r="H2912" s="2">
        <v>13414</v>
      </c>
      <c r="L2912">
        <v>0</v>
      </c>
      <c r="M2912" t="str">
        <f t="shared" si="45"/>
        <v>After 2020</v>
      </c>
    </row>
    <row r="2913" spans="1:13" hidden="1">
      <c r="A2913" t="s">
        <v>4164</v>
      </c>
      <c r="B2913" t="s">
        <v>4165</v>
      </c>
      <c r="C2913" s="1">
        <v>44982</v>
      </c>
      <c r="G2913" s="2">
        <v>307570754</v>
      </c>
      <c r="H2913" s="2">
        <v>3929196</v>
      </c>
      <c r="L2913">
        <v>0</v>
      </c>
      <c r="M2913" t="str">
        <f t="shared" si="45"/>
        <v>After 2020</v>
      </c>
    </row>
    <row r="2914" spans="1:13" hidden="1">
      <c r="A2914" t="s">
        <v>4166</v>
      </c>
      <c r="B2914" t="s">
        <v>4167</v>
      </c>
      <c r="C2914" s="1">
        <v>45443</v>
      </c>
      <c r="D2914" s="2">
        <v>3589</v>
      </c>
      <c r="F2914">
        <v>15</v>
      </c>
      <c r="J2914">
        <v>1</v>
      </c>
      <c r="L2914">
        <v>0</v>
      </c>
      <c r="M2914" t="str">
        <f t="shared" si="45"/>
        <v>After 2020</v>
      </c>
    </row>
    <row r="2915" spans="1:13" hidden="1">
      <c r="A2915" t="s">
        <v>4168</v>
      </c>
      <c r="B2915" t="s">
        <v>141</v>
      </c>
      <c r="C2915" s="1">
        <v>44687</v>
      </c>
      <c r="D2915" s="2">
        <v>370800055</v>
      </c>
      <c r="E2915" s="2">
        <v>49381</v>
      </c>
      <c r="F2915">
        <v>68</v>
      </c>
      <c r="G2915" s="2">
        <v>130681979</v>
      </c>
      <c r="H2915" s="2">
        <v>909372</v>
      </c>
      <c r="I2915" s="2">
        <v>123346772</v>
      </c>
      <c r="J2915">
        <v>8</v>
      </c>
      <c r="L2915">
        <v>1</v>
      </c>
      <c r="M2915" t="str">
        <f t="shared" si="45"/>
        <v>After 2020</v>
      </c>
    </row>
    <row r="2916" spans="1:13" hidden="1">
      <c r="A2916" t="s">
        <v>4169</v>
      </c>
      <c r="B2916" t="s">
        <v>725</v>
      </c>
      <c r="C2916" s="1">
        <v>43959</v>
      </c>
      <c r="D2916" s="2">
        <v>437558372</v>
      </c>
      <c r="E2916" s="2">
        <v>91322</v>
      </c>
      <c r="F2916">
        <v>65</v>
      </c>
      <c r="G2916" s="2">
        <v>131588669</v>
      </c>
      <c r="H2916" s="2">
        <v>803725</v>
      </c>
      <c r="I2916" s="2">
        <v>88146717</v>
      </c>
      <c r="J2916">
        <v>97</v>
      </c>
      <c r="L2916">
        <v>0</v>
      </c>
      <c r="M2916" t="str">
        <f t="shared" si="45"/>
        <v>2010-2020</v>
      </c>
    </row>
    <row r="2917" spans="1:13">
      <c r="A2917" t="s">
        <v>4170</v>
      </c>
      <c r="B2917" t="s">
        <v>1645</v>
      </c>
      <c r="C2917" s="1">
        <v>45135</v>
      </c>
      <c r="D2917" s="2">
        <v>58058696</v>
      </c>
      <c r="E2917" s="2">
        <v>20289</v>
      </c>
      <c r="F2917">
        <v>56</v>
      </c>
      <c r="G2917" s="2">
        <v>31124272</v>
      </c>
      <c r="H2917" s="2">
        <v>674922</v>
      </c>
      <c r="I2917" s="2">
        <v>62820921</v>
      </c>
      <c r="J2917">
        <v>18</v>
      </c>
      <c r="K2917">
        <v>359</v>
      </c>
      <c r="L2917">
        <v>1</v>
      </c>
      <c r="M2917" t="str">
        <f t="shared" si="45"/>
        <v>After 2020</v>
      </c>
    </row>
    <row r="2918" spans="1:13">
      <c r="A2918" t="s">
        <v>4171</v>
      </c>
      <c r="B2918" t="s">
        <v>167</v>
      </c>
      <c r="C2918" s="1">
        <v>44385</v>
      </c>
      <c r="D2918" s="2">
        <v>237619076</v>
      </c>
      <c r="E2918" s="2">
        <v>109634</v>
      </c>
      <c r="F2918">
        <v>61</v>
      </c>
      <c r="G2918" s="2">
        <v>83880421</v>
      </c>
      <c r="H2918" s="2">
        <v>827499</v>
      </c>
      <c r="I2918" s="2">
        <v>121310762</v>
      </c>
      <c r="J2918">
        <v>68</v>
      </c>
      <c r="K2918">
        <v>6</v>
      </c>
      <c r="L2918">
        <v>1</v>
      </c>
      <c r="M2918" t="str">
        <f t="shared" si="45"/>
        <v>After 2020</v>
      </c>
    </row>
    <row r="2919" spans="1:13" hidden="1">
      <c r="A2919" t="s">
        <v>4172</v>
      </c>
      <c r="B2919" t="s">
        <v>617</v>
      </c>
      <c r="C2919" s="1">
        <v>43811</v>
      </c>
      <c r="D2919" s="2">
        <v>388802420</v>
      </c>
      <c r="E2919" s="2">
        <v>56080</v>
      </c>
      <c r="F2919">
        <v>62</v>
      </c>
      <c r="G2919" s="2">
        <v>267992366</v>
      </c>
      <c r="H2919" s="2">
        <v>1873271</v>
      </c>
      <c r="I2919" s="2">
        <v>1836584524</v>
      </c>
      <c r="J2919">
        <v>49</v>
      </c>
      <c r="L2919">
        <v>0</v>
      </c>
      <c r="M2919" t="str">
        <f t="shared" si="45"/>
        <v>2010-2020</v>
      </c>
    </row>
    <row r="2920" spans="1:13" hidden="1">
      <c r="A2920" t="s">
        <v>4173</v>
      </c>
      <c r="B2920" t="s">
        <v>133</v>
      </c>
      <c r="C2920" s="1">
        <v>43455</v>
      </c>
      <c r="D2920" s="2">
        <v>697834321</v>
      </c>
      <c r="E2920" s="2">
        <v>85430</v>
      </c>
      <c r="F2920">
        <v>70</v>
      </c>
      <c r="G2920" s="2">
        <v>408377555</v>
      </c>
      <c r="H2920" s="2">
        <v>3474229</v>
      </c>
      <c r="I2920" s="2">
        <v>1362132192</v>
      </c>
      <c r="J2920">
        <v>23</v>
      </c>
      <c r="L2920">
        <v>0</v>
      </c>
      <c r="M2920" t="str">
        <f t="shared" si="45"/>
        <v>2010-2020</v>
      </c>
    </row>
    <row r="2921" spans="1:13" hidden="1">
      <c r="A2921" t="s">
        <v>4174</v>
      </c>
      <c r="B2921" t="s">
        <v>4175</v>
      </c>
      <c r="C2921" s="1">
        <v>45196</v>
      </c>
      <c r="D2921" s="2">
        <v>125395</v>
      </c>
      <c r="E2921">
        <v>32</v>
      </c>
      <c r="I2921" s="2">
        <v>325076048</v>
      </c>
      <c r="L2921">
        <v>1</v>
      </c>
      <c r="M2921" t="str">
        <f t="shared" si="45"/>
        <v>After 2020</v>
      </c>
    </row>
    <row r="2922" spans="1:13">
      <c r="A2922" t="s">
        <v>4176</v>
      </c>
      <c r="B2922" t="s">
        <v>4177</v>
      </c>
      <c r="C2922" s="1">
        <v>45041</v>
      </c>
      <c r="D2922" s="2">
        <v>156994096</v>
      </c>
      <c r="E2922" s="2">
        <v>14231</v>
      </c>
      <c r="F2922">
        <v>61</v>
      </c>
      <c r="G2922" s="2">
        <v>147699486</v>
      </c>
      <c r="H2922" s="2">
        <v>22687</v>
      </c>
      <c r="I2922" s="2">
        <v>180459570</v>
      </c>
      <c r="J2922">
        <v>17</v>
      </c>
      <c r="K2922">
        <v>18</v>
      </c>
      <c r="L2922">
        <v>0</v>
      </c>
      <c r="M2922" t="str">
        <f t="shared" si="45"/>
        <v>After 2020</v>
      </c>
    </row>
    <row r="2923" spans="1:13" hidden="1">
      <c r="A2923" t="s">
        <v>4178</v>
      </c>
      <c r="B2923" t="s">
        <v>3347</v>
      </c>
      <c r="C2923" s="1">
        <v>43614</v>
      </c>
      <c r="D2923" s="2">
        <v>239850720</v>
      </c>
      <c r="E2923" s="2">
        <v>49483</v>
      </c>
      <c r="F2923">
        <v>58</v>
      </c>
      <c r="G2923" s="2">
        <v>137567703</v>
      </c>
      <c r="H2923" s="2">
        <v>1400248</v>
      </c>
      <c r="I2923" s="2">
        <v>592960684</v>
      </c>
      <c r="J2923">
        <v>20</v>
      </c>
      <c r="L2923">
        <v>1</v>
      </c>
      <c r="M2923" t="str">
        <f t="shared" si="45"/>
        <v>2010-2020</v>
      </c>
    </row>
    <row r="2924" spans="1:13" hidden="1">
      <c r="A2924" t="s">
        <v>4179</v>
      </c>
      <c r="B2924" t="s">
        <v>4180</v>
      </c>
      <c r="C2924" s="1">
        <v>45135</v>
      </c>
      <c r="D2924" s="2">
        <v>136709117</v>
      </c>
      <c r="E2924" s="2">
        <v>28764</v>
      </c>
      <c r="F2924">
        <v>73</v>
      </c>
      <c r="G2924" s="2">
        <v>5623146</v>
      </c>
      <c r="H2924" s="2">
        <v>62157</v>
      </c>
      <c r="I2924" s="2">
        <v>11060327</v>
      </c>
      <c r="J2924">
        <v>34</v>
      </c>
      <c r="L2924">
        <v>1</v>
      </c>
      <c r="M2924" t="str">
        <f t="shared" si="45"/>
        <v>After 2020</v>
      </c>
    </row>
    <row r="2925" spans="1:13">
      <c r="A2925" t="s">
        <v>4181</v>
      </c>
      <c r="B2925" t="s">
        <v>3165</v>
      </c>
      <c r="C2925" s="1">
        <v>43389</v>
      </c>
      <c r="D2925" s="2">
        <v>987061577</v>
      </c>
      <c r="E2925" s="2">
        <v>170786</v>
      </c>
      <c r="F2925">
        <v>73</v>
      </c>
      <c r="G2925" s="2">
        <v>118458946</v>
      </c>
      <c r="H2925" s="2">
        <v>1182389</v>
      </c>
      <c r="I2925" s="2">
        <v>219224269</v>
      </c>
      <c r="J2925">
        <v>164</v>
      </c>
      <c r="K2925">
        <v>178</v>
      </c>
      <c r="L2925">
        <v>0</v>
      </c>
      <c r="M2925" t="str">
        <f t="shared" si="45"/>
        <v>2010-2020</v>
      </c>
    </row>
    <row r="2926" spans="1:13">
      <c r="A2926" t="s">
        <v>4182</v>
      </c>
      <c r="B2926" t="s">
        <v>4183</v>
      </c>
      <c r="C2926" s="1">
        <v>45128</v>
      </c>
      <c r="D2926" s="2">
        <v>48581084</v>
      </c>
      <c r="E2926" s="2">
        <v>11373</v>
      </c>
      <c r="F2926">
        <v>65</v>
      </c>
      <c r="G2926" s="2">
        <v>35448614</v>
      </c>
      <c r="H2926" s="2">
        <v>206819</v>
      </c>
      <c r="I2926" s="2">
        <v>270727164</v>
      </c>
      <c r="J2926">
        <v>38</v>
      </c>
      <c r="K2926">
        <v>9</v>
      </c>
      <c r="L2926">
        <v>0</v>
      </c>
      <c r="M2926" t="str">
        <f t="shared" si="45"/>
        <v>After 2020</v>
      </c>
    </row>
    <row r="2927" spans="1:13" hidden="1">
      <c r="A2927" t="s">
        <v>4184</v>
      </c>
      <c r="B2927" t="s">
        <v>4185</v>
      </c>
      <c r="C2927" s="1">
        <v>45190</v>
      </c>
      <c r="D2927" s="2">
        <v>188215390</v>
      </c>
      <c r="E2927" s="2">
        <v>24322</v>
      </c>
      <c r="G2927" s="2">
        <v>3624497</v>
      </c>
      <c r="I2927" s="2">
        <v>21944041</v>
      </c>
      <c r="J2927">
        <v>6</v>
      </c>
      <c r="K2927">
        <v>217</v>
      </c>
      <c r="L2927">
        <v>0</v>
      </c>
      <c r="M2927" t="str">
        <f t="shared" si="45"/>
        <v>After 2020</v>
      </c>
    </row>
    <row r="2928" spans="1:13" hidden="1">
      <c r="A2928" t="s">
        <v>4186</v>
      </c>
      <c r="B2928" t="s">
        <v>4187</v>
      </c>
      <c r="C2928" s="1">
        <v>44976</v>
      </c>
      <c r="E2928">
        <v>3</v>
      </c>
      <c r="G2928" s="2">
        <v>31741874</v>
      </c>
      <c r="H2928" s="2">
        <v>229907</v>
      </c>
      <c r="I2928" s="2">
        <v>230507109</v>
      </c>
      <c r="L2928">
        <v>0</v>
      </c>
      <c r="M2928" t="str">
        <f t="shared" si="45"/>
        <v>After 2020</v>
      </c>
    </row>
    <row r="2929" spans="1:13">
      <c r="A2929" t="s">
        <v>4188</v>
      </c>
      <c r="B2929" t="s">
        <v>4189</v>
      </c>
      <c r="C2929" s="1">
        <v>43677</v>
      </c>
      <c r="D2929" s="2">
        <v>977870118</v>
      </c>
      <c r="E2929" s="2">
        <v>115565</v>
      </c>
      <c r="F2929">
        <v>80</v>
      </c>
      <c r="G2929" s="2">
        <v>122949402</v>
      </c>
      <c r="H2929" s="2">
        <v>1540598</v>
      </c>
      <c r="I2929" s="2">
        <v>348624319</v>
      </c>
      <c r="J2929">
        <v>64</v>
      </c>
      <c r="K2929">
        <v>257</v>
      </c>
      <c r="L2929">
        <v>0</v>
      </c>
      <c r="M2929" t="str">
        <f t="shared" si="45"/>
        <v>2010-2020</v>
      </c>
    </row>
    <row r="2930" spans="1:13">
      <c r="A2930" t="s">
        <v>4190</v>
      </c>
      <c r="B2930" t="s">
        <v>258</v>
      </c>
      <c r="C2930" s="1">
        <v>42881</v>
      </c>
      <c r="D2930" s="2">
        <v>433482670</v>
      </c>
      <c r="E2930" s="2">
        <v>36243</v>
      </c>
      <c r="F2930">
        <v>62</v>
      </c>
      <c r="G2930" s="2">
        <v>1080335262</v>
      </c>
      <c r="H2930" s="2">
        <v>3910533</v>
      </c>
      <c r="I2930" s="2">
        <v>415634670</v>
      </c>
      <c r="J2930">
        <v>49</v>
      </c>
      <c r="K2930">
        <v>59</v>
      </c>
      <c r="L2930">
        <v>0</v>
      </c>
      <c r="M2930" t="str">
        <f t="shared" si="45"/>
        <v>2010-2020</v>
      </c>
    </row>
    <row r="2931" spans="1:13" hidden="1">
      <c r="A2931" t="s">
        <v>4191</v>
      </c>
      <c r="B2931" t="s">
        <v>4192</v>
      </c>
      <c r="C2931" s="1">
        <v>44585</v>
      </c>
      <c r="D2931" s="2">
        <v>209092342</v>
      </c>
      <c r="E2931" s="2">
        <v>22379</v>
      </c>
      <c r="F2931">
        <v>63</v>
      </c>
      <c r="G2931" s="2">
        <v>265900557</v>
      </c>
      <c r="H2931" s="2">
        <v>1262410</v>
      </c>
      <c r="I2931" s="2">
        <v>200533647</v>
      </c>
      <c r="J2931">
        <v>6</v>
      </c>
      <c r="L2931">
        <v>0</v>
      </c>
      <c r="M2931" t="str">
        <f t="shared" si="45"/>
        <v>After 2020</v>
      </c>
    </row>
    <row r="2932" spans="1:13">
      <c r="A2932" t="s">
        <v>4193</v>
      </c>
      <c r="B2932" t="s">
        <v>2267</v>
      </c>
      <c r="C2932" s="1">
        <v>42216</v>
      </c>
      <c r="D2932" s="2">
        <v>1125333823</v>
      </c>
      <c r="E2932" s="2">
        <v>110189</v>
      </c>
      <c r="F2932">
        <v>76</v>
      </c>
      <c r="G2932" s="2">
        <v>1124359897</v>
      </c>
      <c r="H2932" s="2">
        <v>10115690</v>
      </c>
      <c r="I2932" s="2">
        <v>175883717</v>
      </c>
      <c r="J2932">
        <v>88</v>
      </c>
      <c r="K2932">
        <v>89</v>
      </c>
      <c r="L2932">
        <v>0</v>
      </c>
      <c r="M2932" t="str">
        <f t="shared" si="45"/>
        <v>2010-2020</v>
      </c>
    </row>
    <row r="2933" spans="1:13" hidden="1">
      <c r="A2933" t="s">
        <v>4194</v>
      </c>
      <c r="B2933" t="s">
        <v>4195</v>
      </c>
      <c r="C2933" s="1">
        <v>44685</v>
      </c>
      <c r="D2933" s="2">
        <v>187818818</v>
      </c>
      <c r="E2933" s="2">
        <v>26770</v>
      </c>
      <c r="F2933">
        <v>57</v>
      </c>
      <c r="G2933" s="2">
        <v>291692983</v>
      </c>
      <c r="H2933" s="2">
        <v>1352658</v>
      </c>
      <c r="I2933" s="2">
        <v>365176711</v>
      </c>
      <c r="J2933">
        <v>8</v>
      </c>
      <c r="L2933">
        <v>0</v>
      </c>
      <c r="M2933" t="str">
        <f t="shared" si="45"/>
        <v>After 2020</v>
      </c>
    </row>
    <row r="2934" spans="1:13" hidden="1">
      <c r="A2934" t="s">
        <v>62</v>
      </c>
      <c r="B2934" t="s">
        <v>63</v>
      </c>
      <c r="C2934" s="1">
        <v>45183</v>
      </c>
      <c r="D2934" s="2">
        <v>1256101755</v>
      </c>
      <c r="L2934">
        <v>1</v>
      </c>
      <c r="M2934" t="str">
        <f t="shared" si="45"/>
        <v>After 2020</v>
      </c>
    </row>
    <row r="2935" spans="1:13" hidden="1">
      <c r="A2935" t="s">
        <v>4196</v>
      </c>
      <c r="B2935" t="s">
        <v>2853</v>
      </c>
      <c r="C2935" s="1">
        <v>44715</v>
      </c>
      <c r="D2935" s="2">
        <v>21081306</v>
      </c>
      <c r="E2935" s="2">
        <v>7633</v>
      </c>
      <c r="F2935">
        <v>51</v>
      </c>
      <c r="G2935" s="2">
        <v>375871120</v>
      </c>
      <c r="H2935" s="2">
        <v>962835</v>
      </c>
      <c r="I2935" s="2">
        <v>74908911</v>
      </c>
      <c r="J2935">
        <v>20</v>
      </c>
      <c r="L2935">
        <v>0</v>
      </c>
      <c r="M2935" t="str">
        <f t="shared" si="45"/>
        <v>After 2020</v>
      </c>
    </row>
    <row r="2936" spans="1:13">
      <c r="A2936" t="s">
        <v>4197</v>
      </c>
      <c r="B2936" t="s">
        <v>4198</v>
      </c>
      <c r="C2936" s="1">
        <v>43903</v>
      </c>
      <c r="D2936" s="2">
        <v>609716786</v>
      </c>
      <c r="E2936" s="2">
        <v>136864</v>
      </c>
      <c r="F2936">
        <v>69</v>
      </c>
      <c r="G2936" s="2">
        <v>280056</v>
      </c>
      <c r="H2936" s="2">
        <v>4102</v>
      </c>
      <c r="I2936" s="2">
        <v>1195714328</v>
      </c>
      <c r="J2936">
        <v>57</v>
      </c>
      <c r="K2936" s="2">
        <v>1626</v>
      </c>
      <c r="L2936">
        <v>1</v>
      </c>
      <c r="M2936" t="str">
        <f t="shared" si="45"/>
        <v>2010-2020</v>
      </c>
    </row>
    <row r="2937" spans="1:13">
      <c r="A2937" t="s">
        <v>4199</v>
      </c>
      <c r="B2937" t="s">
        <v>4200</v>
      </c>
      <c r="C2937" s="1">
        <v>45079</v>
      </c>
      <c r="D2937" s="2">
        <v>8470479</v>
      </c>
      <c r="E2937" s="2">
        <v>2776</v>
      </c>
      <c r="F2937">
        <v>43</v>
      </c>
      <c r="G2937" s="2">
        <v>8291412</v>
      </c>
      <c r="H2937" s="2">
        <v>112395</v>
      </c>
      <c r="I2937" s="2">
        <v>503891783</v>
      </c>
      <c r="J2937">
        <v>2</v>
      </c>
      <c r="K2937">
        <v>11</v>
      </c>
      <c r="L2937">
        <v>1</v>
      </c>
      <c r="M2937" t="str">
        <f t="shared" si="45"/>
        <v>After 2020</v>
      </c>
    </row>
    <row r="2938" spans="1:13">
      <c r="A2938" t="s">
        <v>4201</v>
      </c>
      <c r="B2938" t="s">
        <v>311</v>
      </c>
      <c r="C2938" s="1">
        <v>44531</v>
      </c>
      <c r="D2938" s="2">
        <v>344658498</v>
      </c>
      <c r="E2938" s="2">
        <v>61117</v>
      </c>
      <c r="F2938">
        <v>65</v>
      </c>
      <c r="G2938" s="2">
        <v>114495950</v>
      </c>
      <c r="H2938" s="2">
        <v>2357556</v>
      </c>
      <c r="I2938" s="2">
        <v>1514925086</v>
      </c>
      <c r="J2938">
        <v>58</v>
      </c>
      <c r="K2938">
        <v>97</v>
      </c>
      <c r="L2938">
        <v>0</v>
      </c>
      <c r="M2938" t="str">
        <f t="shared" si="45"/>
        <v>After 2020</v>
      </c>
    </row>
    <row r="2939" spans="1:13" hidden="1">
      <c r="A2939" t="s">
        <v>4202</v>
      </c>
      <c r="B2939" t="s">
        <v>4203</v>
      </c>
      <c r="C2939" s="1">
        <v>44575</v>
      </c>
      <c r="D2939" s="2">
        <v>283228006</v>
      </c>
      <c r="E2939" s="2">
        <v>63076</v>
      </c>
      <c r="F2939">
        <v>62</v>
      </c>
      <c r="G2939" s="2">
        <v>169044728</v>
      </c>
      <c r="H2939" s="2">
        <v>998010</v>
      </c>
      <c r="I2939" s="2">
        <v>906688195</v>
      </c>
      <c r="J2939">
        <v>13</v>
      </c>
      <c r="L2939">
        <v>1</v>
      </c>
      <c r="M2939" t="str">
        <f t="shared" si="45"/>
        <v>After 2020</v>
      </c>
    </row>
    <row r="2940" spans="1:13">
      <c r="A2940" t="s">
        <v>4204</v>
      </c>
      <c r="B2940" t="s">
        <v>4205</v>
      </c>
      <c r="C2940" s="1">
        <v>40544</v>
      </c>
      <c r="D2940" s="2">
        <v>1318596835</v>
      </c>
      <c r="E2940" s="2">
        <v>240081</v>
      </c>
      <c r="F2940">
        <v>74</v>
      </c>
      <c r="G2940" s="2">
        <v>1141964928</v>
      </c>
      <c r="H2940" s="2">
        <v>11343690</v>
      </c>
      <c r="I2940" s="2">
        <v>1056131649</v>
      </c>
      <c r="J2940">
        <v>43</v>
      </c>
      <c r="K2940">
        <v>42</v>
      </c>
      <c r="L2940">
        <v>0</v>
      </c>
      <c r="M2940" t="str">
        <f t="shared" si="45"/>
        <v>2010-2020</v>
      </c>
    </row>
    <row r="2941" spans="1:13" hidden="1">
      <c r="A2941" t="s">
        <v>4206</v>
      </c>
      <c r="B2941" t="s">
        <v>531</v>
      </c>
      <c r="C2941" s="1">
        <v>45415</v>
      </c>
      <c r="D2941" s="2">
        <v>20742763</v>
      </c>
      <c r="E2941" s="2">
        <v>3204</v>
      </c>
      <c r="J2941">
        <v>11</v>
      </c>
      <c r="K2941">
        <v>4</v>
      </c>
      <c r="L2941">
        <v>1</v>
      </c>
      <c r="M2941" t="str">
        <f t="shared" si="45"/>
        <v>After 2020</v>
      </c>
    </row>
    <row r="2942" spans="1:13" hidden="1">
      <c r="A2942" t="s">
        <v>4207</v>
      </c>
      <c r="B2942" t="s">
        <v>4208</v>
      </c>
      <c r="C2942" s="1">
        <v>41883</v>
      </c>
      <c r="D2942" s="2">
        <v>242892279</v>
      </c>
      <c r="E2942" s="2">
        <v>50948</v>
      </c>
      <c r="F2942">
        <v>56</v>
      </c>
      <c r="G2942" s="2">
        <v>11099856</v>
      </c>
      <c r="H2942" s="2">
        <v>107229</v>
      </c>
      <c r="I2942" s="2">
        <v>106882417</v>
      </c>
      <c r="J2942">
        <v>6</v>
      </c>
      <c r="L2942">
        <v>1</v>
      </c>
      <c r="M2942" t="str">
        <f t="shared" si="45"/>
        <v>2010-2020</v>
      </c>
    </row>
    <row r="2943" spans="1:13" hidden="1">
      <c r="A2943" t="s">
        <v>4209</v>
      </c>
      <c r="B2943" t="s">
        <v>28</v>
      </c>
      <c r="C2943" s="1">
        <v>43362</v>
      </c>
      <c r="D2943" s="2">
        <v>415971193</v>
      </c>
      <c r="E2943" s="2">
        <v>67750</v>
      </c>
      <c r="F2943">
        <v>66</v>
      </c>
      <c r="G2943" s="2">
        <v>596108481</v>
      </c>
      <c r="H2943" s="2">
        <v>7991689</v>
      </c>
      <c r="I2943" s="2">
        <v>119866465</v>
      </c>
      <c r="J2943">
        <v>7</v>
      </c>
      <c r="L2943">
        <v>1</v>
      </c>
      <c r="M2943" t="str">
        <f t="shared" si="45"/>
        <v>2010-2020</v>
      </c>
    </row>
    <row r="2944" spans="1:13" hidden="1">
      <c r="A2944" t="s">
        <v>4210</v>
      </c>
      <c r="B2944" t="s">
        <v>4211</v>
      </c>
      <c r="C2944" s="1">
        <v>45057</v>
      </c>
      <c r="D2944" s="2">
        <v>143421339</v>
      </c>
      <c r="E2944" s="2">
        <v>23431</v>
      </c>
      <c r="F2944">
        <v>63</v>
      </c>
      <c r="G2944" s="2">
        <v>108239669</v>
      </c>
      <c r="H2944" s="2">
        <v>1037417</v>
      </c>
      <c r="I2944" s="2">
        <v>125638371</v>
      </c>
      <c r="J2944">
        <v>6</v>
      </c>
      <c r="L2944">
        <v>0</v>
      </c>
      <c r="M2944" t="str">
        <f t="shared" si="45"/>
        <v>After 2020</v>
      </c>
    </row>
    <row r="2945" spans="1:13" hidden="1">
      <c r="A2945" t="s">
        <v>4212</v>
      </c>
      <c r="B2945" t="s">
        <v>4213</v>
      </c>
      <c r="C2945" s="1">
        <v>44688</v>
      </c>
      <c r="D2945" s="2">
        <v>6355</v>
      </c>
      <c r="E2945">
        <v>1</v>
      </c>
      <c r="G2945" s="2">
        <v>490930106</v>
      </c>
      <c r="H2945" s="2">
        <v>2737821</v>
      </c>
      <c r="L2945">
        <v>0</v>
      </c>
      <c r="M2945" t="str">
        <f t="shared" si="45"/>
        <v>After 2020</v>
      </c>
    </row>
    <row r="2946" spans="1:13" hidden="1">
      <c r="A2946" t="s">
        <v>4214</v>
      </c>
      <c r="B2946" t="s">
        <v>2394</v>
      </c>
      <c r="C2946" s="1">
        <v>45328</v>
      </c>
      <c r="D2946" s="2">
        <v>11393565</v>
      </c>
      <c r="E2946" s="2">
        <v>3743</v>
      </c>
      <c r="G2946" s="2">
        <v>8173541</v>
      </c>
      <c r="H2946" s="2">
        <v>207558</v>
      </c>
      <c r="J2946">
        <v>1</v>
      </c>
      <c r="K2946">
        <v>1</v>
      </c>
      <c r="L2946">
        <v>1</v>
      </c>
      <c r="M2946" t="str">
        <f t="shared" si="45"/>
        <v>After 2020</v>
      </c>
    </row>
    <row r="2947" spans="1:13">
      <c r="A2947" t="s">
        <v>4215</v>
      </c>
      <c r="B2947" t="s">
        <v>4216</v>
      </c>
      <c r="C2947" s="1">
        <v>42216</v>
      </c>
      <c r="D2947" s="2">
        <v>497826683</v>
      </c>
      <c r="E2947" s="2">
        <v>86867</v>
      </c>
      <c r="F2947">
        <v>64</v>
      </c>
      <c r="G2947" s="2">
        <v>83526342</v>
      </c>
      <c r="H2947" s="2">
        <v>699022</v>
      </c>
      <c r="I2947" s="2">
        <v>178226220</v>
      </c>
      <c r="J2947">
        <v>4</v>
      </c>
      <c r="K2947">
        <v>8</v>
      </c>
      <c r="L2947">
        <v>1</v>
      </c>
      <c r="M2947" t="str">
        <f t="shared" ref="M2947:M3010" si="46">IF(YEAR(C2947)&lt;2010,"Before 2010",IF(YEAR(C2947)&lt;=2020,"2010-2020","After 2020"))</f>
        <v>2010-2020</v>
      </c>
    </row>
    <row r="2948" spans="1:13">
      <c r="A2948" t="s">
        <v>4217</v>
      </c>
      <c r="B2948" t="s">
        <v>1199</v>
      </c>
      <c r="C2948" s="1">
        <v>44385</v>
      </c>
      <c r="D2948" s="2">
        <v>472107491</v>
      </c>
      <c r="E2948" s="2">
        <v>65462</v>
      </c>
      <c r="F2948">
        <v>63</v>
      </c>
      <c r="G2948" s="2">
        <v>221630313</v>
      </c>
      <c r="H2948" s="2">
        <v>1721936</v>
      </c>
      <c r="I2948" s="2">
        <v>295962547</v>
      </c>
      <c r="J2948">
        <v>25</v>
      </c>
      <c r="K2948">
        <v>31</v>
      </c>
      <c r="L2948">
        <v>0</v>
      </c>
      <c r="M2948" t="str">
        <f t="shared" si="46"/>
        <v>After 2020</v>
      </c>
    </row>
    <row r="2949" spans="1:13">
      <c r="A2949" t="s">
        <v>4218</v>
      </c>
      <c r="B2949" t="s">
        <v>28</v>
      </c>
      <c r="C2949" s="1">
        <v>43343</v>
      </c>
      <c r="D2949" s="2">
        <v>709560621</v>
      </c>
      <c r="E2949" s="2">
        <v>98164</v>
      </c>
      <c r="F2949">
        <v>68</v>
      </c>
      <c r="G2949" s="2">
        <v>478624672</v>
      </c>
      <c r="H2949" s="2">
        <v>5771617</v>
      </c>
      <c r="I2949" s="2">
        <v>19887287</v>
      </c>
      <c r="J2949">
        <v>48</v>
      </c>
      <c r="K2949">
        <v>15</v>
      </c>
      <c r="L2949">
        <v>1</v>
      </c>
      <c r="M2949" t="str">
        <f t="shared" si="46"/>
        <v>2010-2020</v>
      </c>
    </row>
    <row r="2950" spans="1:13" hidden="1">
      <c r="A2950" t="s">
        <v>1050</v>
      </c>
      <c r="B2950" t="s">
        <v>1051</v>
      </c>
      <c r="C2950" s="1">
        <v>45267</v>
      </c>
      <c r="D2950" s="2">
        <v>68705759</v>
      </c>
      <c r="E2950" s="2">
        <v>12259</v>
      </c>
      <c r="F2950">
        <v>73</v>
      </c>
      <c r="G2950" s="2">
        <v>31447677</v>
      </c>
      <c r="H2950" s="2">
        <v>196411</v>
      </c>
      <c r="I2950" s="2">
        <v>111700</v>
      </c>
      <c r="J2950">
        <v>23</v>
      </c>
      <c r="L2950">
        <v>0</v>
      </c>
      <c r="M2950" t="str">
        <f t="shared" si="46"/>
        <v>After 2020</v>
      </c>
    </row>
    <row r="2951" spans="1:13" hidden="1">
      <c r="A2951" t="s">
        <v>4219</v>
      </c>
      <c r="B2951" t="s">
        <v>157</v>
      </c>
      <c r="C2951" s="1">
        <v>45202</v>
      </c>
      <c r="D2951" s="2">
        <v>188131570</v>
      </c>
      <c r="E2951" s="2">
        <v>21455</v>
      </c>
      <c r="G2951" s="2">
        <v>23791636</v>
      </c>
      <c r="H2951" s="2">
        <v>267266</v>
      </c>
      <c r="I2951" s="2">
        <v>13208632</v>
      </c>
      <c r="J2951">
        <v>3</v>
      </c>
      <c r="L2951">
        <v>0</v>
      </c>
      <c r="M2951" t="str">
        <f t="shared" si="46"/>
        <v>After 2020</v>
      </c>
    </row>
    <row r="2952" spans="1:13">
      <c r="A2952" t="s">
        <v>4220</v>
      </c>
      <c r="B2952" t="s">
        <v>4137</v>
      </c>
      <c r="C2952" s="1">
        <v>44755</v>
      </c>
      <c r="D2952" s="2">
        <v>118971684</v>
      </c>
      <c r="E2952" s="2">
        <v>31855</v>
      </c>
      <c r="F2952">
        <v>63</v>
      </c>
      <c r="G2952" s="2">
        <v>14545093</v>
      </c>
      <c r="H2952" s="2">
        <v>88499</v>
      </c>
      <c r="I2952" s="2">
        <v>169166011</v>
      </c>
      <c r="J2952">
        <v>53</v>
      </c>
      <c r="K2952">
        <v>6</v>
      </c>
      <c r="L2952">
        <v>1</v>
      </c>
      <c r="M2952" t="str">
        <f t="shared" si="46"/>
        <v>After 2020</v>
      </c>
    </row>
    <row r="2953" spans="1:13">
      <c r="A2953" t="s">
        <v>4221</v>
      </c>
      <c r="B2953" t="s">
        <v>4222</v>
      </c>
      <c r="C2953" s="1">
        <v>44757</v>
      </c>
      <c r="D2953" s="2">
        <v>230129740</v>
      </c>
      <c r="E2953" s="2">
        <v>56091</v>
      </c>
      <c r="F2953">
        <v>72</v>
      </c>
      <c r="G2953" s="2">
        <v>34590747</v>
      </c>
      <c r="H2953" s="2">
        <v>614842</v>
      </c>
      <c r="I2953" s="2">
        <v>369833975</v>
      </c>
      <c r="J2953">
        <v>13</v>
      </c>
      <c r="K2953">
        <v>131</v>
      </c>
      <c r="L2953">
        <v>0</v>
      </c>
      <c r="M2953" t="str">
        <f t="shared" si="46"/>
        <v>After 2020</v>
      </c>
    </row>
    <row r="2954" spans="1:13">
      <c r="A2954" t="s">
        <v>4223</v>
      </c>
      <c r="B2954" t="s">
        <v>4224</v>
      </c>
      <c r="C2954" s="1">
        <v>44684</v>
      </c>
      <c r="D2954" s="2">
        <v>68460285</v>
      </c>
      <c r="E2954" s="2">
        <v>16340</v>
      </c>
      <c r="F2954">
        <v>54</v>
      </c>
      <c r="G2954" s="2">
        <v>107349472</v>
      </c>
      <c r="H2954" s="2">
        <v>1053855</v>
      </c>
      <c r="I2954" s="2">
        <v>301331608</v>
      </c>
      <c r="J2954">
        <v>21</v>
      </c>
      <c r="K2954">
        <v>976</v>
      </c>
      <c r="L2954">
        <v>1</v>
      </c>
      <c r="M2954" t="str">
        <f t="shared" si="46"/>
        <v>After 2020</v>
      </c>
    </row>
    <row r="2955" spans="1:13" hidden="1">
      <c r="A2955" t="s">
        <v>4225</v>
      </c>
      <c r="B2955" t="s">
        <v>1590</v>
      </c>
      <c r="C2955" s="1">
        <v>44786</v>
      </c>
      <c r="D2955" s="2">
        <v>72997</v>
      </c>
      <c r="E2955">
        <v>79</v>
      </c>
      <c r="F2955">
        <v>14</v>
      </c>
      <c r="G2955" s="2">
        <v>32345</v>
      </c>
      <c r="H2955">
        <v>813</v>
      </c>
      <c r="I2955" s="2">
        <v>1159454840</v>
      </c>
      <c r="L2955">
        <v>0</v>
      </c>
      <c r="M2955" t="str">
        <f t="shared" si="46"/>
        <v>After 2020</v>
      </c>
    </row>
    <row r="2956" spans="1:13">
      <c r="A2956" t="s">
        <v>4226</v>
      </c>
      <c r="B2956" t="s">
        <v>3399</v>
      </c>
      <c r="C2956" s="1">
        <v>43672</v>
      </c>
      <c r="D2956" s="2">
        <v>728920951</v>
      </c>
      <c r="E2956" s="2">
        <v>143829</v>
      </c>
      <c r="F2956">
        <v>74</v>
      </c>
      <c r="G2956" s="2">
        <v>168855750</v>
      </c>
      <c r="H2956" s="2">
        <v>2336018</v>
      </c>
      <c r="I2956" s="2">
        <v>313505897</v>
      </c>
      <c r="J2956">
        <v>75</v>
      </c>
      <c r="K2956">
        <v>179</v>
      </c>
      <c r="L2956">
        <v>0</v>
      </c>
      <c r="M2956" t="str">
        <f t="shared" si="46"/>
        <v>2010-2020</v>
      </c>
    </row>
    <row r="2957" spans="1:13" hidden="1">
      <c r="A2957" t="s">
        <v>4227</v>
      </c>
      <c r="B2957" t="s">
        <v>3088</v>
      </c>
      <c r="C2957" s="1">
        <v>45106</v>
      </c>
      <c r="D2957" s="2">
        <v>222975612</v>
      </c>
      <c r="E2957" s="2">
        <v>22763</v>
      </c>
      <c r="F2957">
        <v>67</v>
      </c>
      <c r="G2957" s="2">
        <v>22571591</v>
      </c>
      <c r="H2957" s="2">
        <v>343660</v>
      </c>
      <c r="I2957" s="2">
        <v>770931522</v>
      </c>
      <c r="K2957">
        <v>821</v>
      </c>
      <c r="L2957">
        <v>0</v>
      </c>
      <c r="M2957" t="str">
        <f t="shared" si="46"/>
        <v>After 2020</v>
      </c>
    </row>
    <row r="2958" spans="1:13" hidden="1">
      <c r="A2958" t="s">
        <v>4228</v>
      </c>
      <c r="B2958" t="s">
        <v>803</v>
      </c>
      <c r="C2958" s="1">
        <v>45184</v>
      </c>
      <c r="D2958" s="2">
        <v>63607535</v>
      </c>
      <c r="E2958" s="2">
        <v>28203</v>
      </c>
      <c r="G2958" s="2">
        <v>7769494</v>
      </c>
      <c r="H2958" s="2">
        <v>107161</v>
      </c>
      <c r="I2958" s="2">
        <v>21062791</v>
      </c>
      <c r="J2958">
        <v>6</v>
      </c>
      <c r="K2958">
        <v>441</v>
      </c>
      <c r="L2958">
        <v>1</v>
      </c>
      <c r="M2958" t="str">
        <f t="shared" si="46"/>
        <v>After 2020</v>
      </c>
    </row>
    <row r="2959" spans="1:13">
      <c r="A2959" t="s">
        <v>4229</v>
      </c>
      <c r="B2959" t="s">
        <v>1949</v>
      </c>
      <c r="C2959" s="1">
        <v>43742</v>
      </c>
      <c r="D2959" s="2">
        <v>321892912</v>
      </c>
      <c r="E2959" s="2">
        <v>74664</v>
      </c>
      <c r="F2959">
        <v>62</v>
      </c>
      <c r="G2959" s="2">
        <v>71926168</v>
      </c>
      <c r="H2959" s="2">
        <v>1129180</v>
      </c>
      <c r="I2959" s="2">
        <v>11338513351</v>
      </c>
      <c r="J2959">
        <v>16</v>
      </c>
      <c r="K2959">
        <v>162</v>
      </c>
      <c r="L2959">
        <v>0</v>
      </c>
      <c r="M2959" t="str">
        <f t="shared" si="46"/>
        <v>2010-2020</v>
      </c>
    </row>
    <row r="2960" spans="1:13" hidden="1">
      <c r="A2960" t="s">
        <v>4230</v>
      </c>
      <c r="B2960" t="s">
        <v>2377</v>
      </c>
      <c r="C2960" s="1">
        <v>45394</v>
      </c>
      <c r="D2960" s="2">
        <v>21488710</v>
      </c>
      <c r="E2960" s="2">
        <v>2617</v>
      </c>
      <c r="F2960">
        <v>72</v>
      </c>
      <c r="I2960" s="2">
        <v>2503565</v>
      </c>
      <c r="J2960">
        <v>11</v>
      </c>
      <c r="L2960">
        <v>1</v>
      </c>
      <c r="M2960" t="str">
        <f t="shared" si="46"/>
        <v>After 2020</v>
      </c>
    </row>
    <row r="2961" spans="1:13" hidden="1">
      <c r="A2961" t="s">
        <v>4231</v>
      </c>
      <c r="B2961" t="s">
        <v>4232</v>
      </c>
      <c r="C2961" s="1">
        <v>44834</v>
      </c>
      <c r="D2961" s="2">
        <v>3574</v>
      </c>
      <c r="E2961">
        <v>3</v>
      </c>
      <c r="F2961">
        <v>1</v>
      </c>
      <c r="I2961" s="2">
        <v>312937612</v>
      </c>
      <c r="L2961">
        <v>0</v>
      </c>
      <c r="M2961" t="str">
        <f t="shared" si="46"/>
        <v>After 2020</v>
      </c>
    </row>
    <row r="2962" spans="1:13">
      <c r="A2962" t="s">
        <v>4233</v>
      </c>
      <c r="B2962" t="s">
        <v>19</v>
      </c>
      <c r="C2962" s="1">
        <v>44694</v>
      </c>
      <c r="D2962" s="2">
        <v>151507054</v>
      </c>
      <c r="E2962" s="2">
        <v>63279</v>
      </c>
      <c r="F2962">
        <v>63</v>
      </c>
      <c r="G2962" s="2">
        <v>46312741</v>
      </c>
      <c r="H2962" s="2">
        <v>658950</v>
      </c>
      <c r="I2962" s="2">
        <v>19198685</v>
      </c>
      <c r="J2962">
        <v>24</v>
      </c>
      <c r="K2962">
        <v>663</v>
      </c>
      <c r="L2962">
        <v>1</v>
      </c>
      <c r="M2962" t="str">
        <f t="shared" si="46"/>
        <v>After 2020</v>
      </c>
    </row>
    <row r="2963" spans="1:13" hidden="1">
      <c r="A2963" t="s">
        <v>4234</v>
      </c>
      <c r="B2963" t="s">
        <v>4235</v>
      </c>
      <c r="C2963" s="1">
        <v>45085</v>
      </c>
      <c r="D2963" s="2">
        <v>45821951</v>
      </c>
      <c r="E2963" s="2">
        <v>10088</v>
      </c>
      <c r="F2963">
        <v>63</v>
      </c>
      <c r="G2963" s="2">
        <v>30710090</v>
      </c>
      <c r="H2963" s="2">
        <v>461516</v>
      </c>
      <c r="I2963" s="2">
        <v>637314253</v>
      </c>
      <c r="J2963">
        <v>2</v>
      </c>
      <c r="L2963">
        <v>0</v>
      </c>
      <c r="M2963" t="str">
        <f t="shared" si="46"/>
        <v>After 2020</v>
      </c>
    </row>
    <row r="2964" spans="1:13" hidden="1">
      <c r="A2964" t="s">
        <v>4236</v>
      </c>
      <c r="B2964" t="s">
        <v>504</v>
      </c>
      <c r="C2964" s="1">
        <v>42873</v>
      </c>
      <c r="D2964" s="2">
        <v>1356969354</v>
      </c>
      <c r="E2964" s="2">
        <v>13248</v>
      </c>
      <c r="F2964">
        <v>53</v>
      </c>
      <c r="G2964" s="2">
        <v>74514608</v>
      </c>
      <c r="H2964" s="2">
        <v>1012321</v>
      </c>
      <c r="J2964">
        <v>6</v>
      </c>
      <c r="L2964">
        <v>1</v>
      </c>
      <c r="M2964" t="str">
        <f t="shared" si="46"/>
        <v>2010-2020</v>
      </c>
    </row>
    <row r="2965" spans="1:13">
      <c r="A2965" t="s">
        <v>1222</v>
      </c>
      <c r="B2965" t="s">
        <v>411</v>
      </c>
      <c r="C2965" s="1">
        <v>44774</v>
      </c>
      <c r="D2965" s="2">
        <v>384965888</v>
      </c>
      <c r="E2965" s="2">
        <v>32389</v>
      </c>
      <c r="F2965">
        <v>72</v>
      </c>
      <c r="G2965" s="2">
        <v>174618135</v>
      </c>
      <c r="H2965" s="2">
        <v>3601820</v>
      </c>
      <c r="I2965" s="2">
        <v>745435770</v>
      </c>
      <c r="J2965">
        <v>18</v>
      </c>
      <c r="K2965">
        <v>16</v>
      </c>
      <c r="L2965">
        <v>0</v>
      </c>
      <c r="M2965" t="str">
        <f t="shared" si="46"/>
        <v>After 2020</v>
      </c>
    </row>
    <row r="2966" spans="1:13" hidden="1">
      <c r="A2966" t="s">
        <v>4237</v>
      </c>
      <c r="B2966" t="s">
        <v>4238</v>
      </c>
      <c r="C2966" s="1">
        <v>45426</v>
      </c>
      <c r="D2966" s="2">
        <v>18800716</v>
      </c>
      <c r="E2966" s="2">
        <v>1180</v>
      </c>
      <c r="F2966">
        <v>73</v>
      </c>
      <c r="G2966" s="2">
        <v>7398997</v>
      </c>
      <c r="H2966" s="2">
        <v>168846</v>
      </c>
      <c r="J2966">
        <v>12</v>
      </c>
      <c r="L2966">
        <v>0</v>
      </c>
      <c r="M2966" t="str">
        <f t="shared" si="46"/>
        <v>After 2020</v>
      </c>
    </row>
    <row r="2967" spans="1:13" hidden="1">
      <c r="A2967" t="s">
        <v>4239</v>
      </c>
      <c r="B2967" t="s">
        <v>2847</v>
      </c>
      <c r="C2967" s="1">
        <v>45424</v>
      </c>
      <c r="D2967" s="2">
        <v>13092462</v>
      </c>
      <c r="E2967" s="2">
        <v>1818</v>
      </c>
      <c r="F2967">
        <v>75</v>
      </c>
      <c r="J2967">
        <v>46</v>
      </c>
      <c r="L2967">
        <v>0</v>
      </c>
      <c r="M2967" t="str">
        <f t="shared" si="46"/>
        <v>After 2020</v>
      </c>
    </row>
    <row r="2968" spans="1:13" hidden="1">
      <c r="A2968" t="s">
        <v>4240</v>
      </c>
      <c r="B2968" t="s">
        <v>4241</v>
      </c>
      <c r="C2968" s="1">
        <v>45009</v>
      </c>
      <c r="D2968" s="2">
        <v>150516046</v>
      </c>
      <c r="E2968" s="2">
        <v>13034</v>
      </c>
      <c r="F2968">
        <v>63</v>
      </c>
      <c r="G2968" s="2">
        <v>146315225</v>
      </c>
      <c r="H2968" s="2">
        <v>673901</v>
      </c>
      <c r="I2968" s="2">
        <v>269119367</v>
      </c>
      <c r="J2968">
        <v>6</v>
      </c>
      <c r="L2968">
        <v>0</v>
      </c>
      <c r="M2968" t="str">
        <f t="shared" si="46"/>
        <v>After 2020</v>
      </c>
    </row>
    <row r="2969" spans="1:13" hidden="1">
      <c r="A2969" t="s">
        <v>4242</v>
      </c>
      <c r="B2969" t="s">
        <v>4243</v>
      </c>
      <c r="C2969" s="1">
        <v>44680</v>
      </c>
      <c r="D2969" s="2">
        <v>305830522</v>
      </c>
      <c r="E2969" s="2">
        <v>49204</v>
      </c>
      <c r="F2969">
        <v>70</v>
      </c>
      <c r="G2969" s="2">
        <v>33342986</v>
      </c>
      <c r="H2969" s="2">
        <v>195870</v>
      </c>
      <c r="I2969" s="2">
        <v>88167309</v>
      </c>
      <c r="J2969">
        <v>88</v>
      </c>
      <c r="L2969">
        <v>0</v>
      </c>
      <c r="M2969" t="str">
        <f t="shared" si="46"/>
        <v>After 2020</v>
      </c>
    </row>
    <row r="2970" spans="1:13" hidden="1">
      <c r="A2970" t="s">
        <v>4244</v>
      </c>
      <c r="B2970" t="s">
        <v>4245</v>
      </c>
      <c r="C2970" s="1">
        <v>45038</v>
      </c>
      <c r="D2970" s="2">
        <v>4546579</v>
      </c>
      <c r="E2970" s="2">
        <v>2741</v>
      </c>
      <c r="F2970">
        <v>3</v>
      </c>
      <c r="G2970" s="2">
        <v>2359297</v>
      </c>
      <c r="H2970" s="2">
        <v>31587</v>
      </c>
      <c r="I2970" s="2">
        <v>242636617</v>
      </c>
      <c r="J2970">
        <v>2</v>
      </c>
      <c r="L2970">
        <v>0</v>
      </c>
      <c r="M2970" t="str">
        <f t="shared" si="46"/>
        <v>After 2020</v>
      </c>
    </row>
    <row r="2971" spans="1:13" hidden="1">
      <c r="A2971" t="s">
        <v>4246</v>
      </c>
      <c r="B2971" t="s">
        <v>1460</v>
      </c>
      <c r="C2971" s="1">
        <v>45346</v>
      </c>
      <c r="D2971" s="2">
        <v>7682285</v>
      </c>
      <c r="E2971">
        <v>243</v>
      </c>
      <c r="G2971" s="2">
        <v>63874916</v>
      </c>
      <c r="H2971" s="2">
        <v>507287</v>
      </c>
      <c r="L2971">
        <v>0</v>
      </c>
      <c r="M2971" t="str">
        <f t="shared" si="46"/>
        <v>After 2020</v>
      </c>
    </row>
    <row r="2972" spans="1:13" hidden="1">
      <c r="A2972" t="s">
        <v>4247</v>
      </c>
      <c r="B2972" t="s">
        <v>4248</v>
      </c>
      <c r="C2972" s="1">
        <v>45197</v>
      </c>
      <c r="D2972" s="2">
        <v>22552299</v>
      </c>
      <c r="E2972" s="2">
        <v>1850</v>
      </c>
      <c r="G2972" s="2">
        <v>136381379</v>
      </c>
      <c r="H2972" s="2">
        <v>1340784</v>
      </c>
      <c r="L2972">
        <v>0</v>
      </c>
      <c r="M2972" t="str">
        <f t="shared" si="46"/>
        <v>After 2020</v>
      </c>
    </row>
    <row r="2973" spans="1:13">
      <c r="A2973" t="s">
        <v>4249</v>
      </c>
      <c r="B2973" t="s">
        <v>459</v>
      </c>
      <c r="C2973" s="1">
        <v>43888</v>
      </c>
      <c r="D2973" s="2">
        <v>606603985</v>
      </c>
      <c r="E2973" s="2">
        <v>69772</v>
      </c>
      <c r="F2973">
        <v>68</v>
      </c>
      <c r="G2973" s="2">
        <v>411037239</v>
      </c>
      <c r="H2973" s="2">
        <v>3771065</v>
      </c>
      <c r="I2973" s="2">
        <v>118448922</v>
      </c>
      <c r="J2973">
        <v>117</v>
      </c>
      <c r="K2973">
        <v>470</v>
      </c>
      <c r="L2973">
        <v>0</v>
      </c>
      <c r="M2973" t="str">
        <f t="shared" si="46"/>
        <v>2010-2020</v>
      </c>
    </row>
    <row r="2974" spans="1:13">
      <c r="A2974" t="s">
        <v>4250</v>
      </c>
      <c r="B2974" t="s">
        <v>311</v>
      </c>
      <c r="C2974" s="1">
        <v>44106</v>
      </c>
      <c r="D2974" s="2">
        <v>595220757</v>
      </c>
      <c r="E2974" s="2">
        <v>70162</v>
      </c>
      <c r="F2974">
        <v>63</v>
      </c>
      <c r="G2974" s="2">
        <v>147218521</v>
      </c>
      <c r="H2974" s="2">
        <v>3004385</v>
      </c>
      <c r="I2974" s="2">
        <v>783096025</v>
      </c>
      <c r="J2974">
        <v>123</v>
      </c>
      <c r="K2974">
        <v>207</v>
      </c>
      <c r="L2974">
        <v>0</v>
      </c>
      <c r="M2974" t="str">
        <f t="shared" si="46"/>
        <v>2010-2020</v>
      </c>
    </row>
    <row r="2975" spans="1:13" hidden="1">
      <c r="A2975" t="s">
        <v>4251</v>
      </c>
      <c r="B2975" t="s">
        <v>4252</v>
      </c>
      <c r="C2975" s="1">
        <v>45002</v>
      </c>
      <c r="D2975" s="2">
        <v>6610</v>
      </c>
      <c r="E2975">
        <v>15</v>
      </c>
      <c r="G2975" s="2">
        <v>291003266</v>
      </c>
      <c r="H2975" s="2">
        <v>1151687</v>
      </c>
      <c r="L2975">
        <v>0</v>
      </c>
      <c r="M2975" t="str">
        <f t="shared" si="46"/>
        <v>After 2020</v>
      </c>
    </row>
    <row r="2976" spans="1:13">
      <c r="A2976" t="s">
        <v>4253</v>
      </c>
      <c r="B2976" t="s">
        <v>484</v>
      </c>
      <c r="C2976" s="1">
        <v>45142</v>
      </c>
      <c r="D2976" s="2">
        <v>96105220</v>
      </c>
      <c r="E2976" s="2">
        <v>17341</v>
      </c>
      <c r="F2976">
        <v>60</v>
      </c>
      <c r="G2976" s="2">
        <v>40245884</v>
      </c>
      <c r="H2976" s="2">
        <v>594327</v>
      </c>
      <c r="I2976" s="2">
        <v>531122265</v>
      </c>
      <c r="J2976">
        <v>16</v>
      </c>
      <c r="K2976">
        <v>69</v>
      </c>
      <c r="L2976">
        <v>1</v>
      </c>
      <c r="M2976" t="str">
        <f t="shared" si="46"/>
        <v>After 2020</v>
      </c>
    </row>
    <row r="2977" spans="1:13">
      <c r="A2977" t="s">
        <v>4254</v>
      </c>
      <c r="B2977" t="s">
        <v>4255</v>
      </c>
      <c r="C2977" s="1">
        <v>40544</v>
      </c>
      <c r="D2977" s="2">
        <v>1081517243</v>
      </c>
      <c r="E2977" s="2">
        <v>260318</v>
      </c>
      <c r="F2977">
        <v>72</v>
      </c>
      <c r="G2977" s="2">
        <v>82397805</v>
      </c>
      <c r="H2977" s="2">
        <v>1125466</v>
      </c>
      <c r="I2977" s="2">
        <v>1010922723</v>
      </c>
      <c r="J2977">
        <v>171</v>
      </c>
      <c r="K2977">
        <v>154</v>
      </c>
      <c r="L2977">
        <v>0</v>
      </c>
      <c r="M2977" t="str">
        <f t="shared" si="46"/>
        <v>2010-2020</v>
      </c>
    </row>
    <row r="2978" spans="1:13">
      <c r="A2978" t="s">
        <v>4256</v>
      </c>
      <c r="B2978" t="s">
        <v>221</v>
      </c>
      <c r="C2978" s="1">
        <v>43777</v>
      </c>
      <c r="D2978" s="2">
        <v>356603747</v>
      </c>
      <c r="E2978" s="2">
        <v>49050</v>
      </c>
      <c r="F2978">
        <v>69</v>
      </c>
      <c r="G2978" s="2">
        <v>177522757</v>
      </c>
      <c r="H2978" s="2">
        <v>963031</v>
      </c>
      <c r="I2978" s="2">
        <v>290236180</v>
      </c>
      <c r="J2978">
        <v>22</v>
      </c>
      <c r="K2978">
        <v>30</v>
      </c>
      <c r="L2978">
        <v>0</v>
      </c>
      <c r="M2978" t="str">
        <f t="shared" si="46"/>
        <v>2010-2020</v>
      </c>
    </row>
    <row r="2979" spans="1:13">
      <c r="A2979" t="s">
        <v>4257</v>
      </c>
      <c r="B2979" t="s">
        <v>1296</v>
      </c>
      <c r="C2979" s="1">
        <v>44301</v>
      </c>
      <c r="D2979" s="2">
        <v>266525796</v>
      </c>
      <c r="E2979" s="2">
        <v>49242</v>
      </c>
      <c r="F2979">
        <v>57</v>
      </c>
      <c r="G2979" s="2">
        <v>195376978</v>
      </c>
      <c r="H2979" s="2">
        <v>1221210</v>
      </c>
      <c r="I2979" s="2">
        <v>1268200579</v>
      </c>
      <c r="J2979">
        <v>37</v>
      </c>
      <c r="K2979">
        <v>23</v>
      </c>
      <c r="L2979">
        <v>0</v>
      </c>
      <c r="M2979" t="str">
        <f t="shared" si="46"/>
        <v>After 2020</v>
      </c>
    </row>
    <row r="2980" spans="1:13" hidden="1">
      <c r="A2980" t="s">
        <v>4258</v>
      </c>
      <c r="B2980" t="s">
        <v>1745</v>
      </c>
      <c r="C2980" s="1">
        <v>45232</v>
      </c>
      <c r="D2980" s="2">
        <v>20520983</v>
      </c>
      <c r="E2980">
        <v>65</v>
      </c>
      <c r="J2980">
        <v>1</v>
      </c>
      <c r="L2980">
        <v>0</v>
      </c>
      <c r="M2980" t="str">
        <f t="shared" si="46"/>
        <v>After 2020</v>
      </c>
    </row>
    <row r="2981" spans="1:13">
      <c r="A2981" t="s">
        <v>4259</v>
      </c>
      <c r="B2981" t="s">
        <v>4260</v>
      </c>
      <c r="C2981" s="1">
        <v>44953</v>
      </c>
      <c r="D2981" s="2">
        <v>238841927</v>
      </c>
      <c r="E2981" s="2">
        <v>21346</v>
      </c>
      <c r="F2981">
        <v>81</v>
      </c>
      <c r="G2981" s="2">
        <v>116840454</v>
      </c>
      <c r="H2981" s="2">
        <v>948904</v>
      </c>
      <c r="I2981" s="2">
        <v>75170850</v>
      </c>
      <c r="J2981">
        <v>25</v>
      </c>
      <c r="K2981">
        <v>3</v>
      </c>
      <c r="L2981">
        <v>0</v>
      </c>
      <c r="M2981" t="str">
        <f t="shared" si="46"/>
        <v>After 2020</v>
      </c>
    </row>
    <row r="2982" spans="1:13" hidden="1">
      <c r="A2982" t="s">
        <v>4261</v>
      </c>
      <c r="B2982" t="s">
        <v>170</v>
      </c>
      <c r="C2982" s="1">
        <v>45148</v>
      </c>
      <c r="D2982" s="2">
        <v>192439879</v>
      </c>
      <c r="E2982" s="2">
        <v>16960</v>
      </c>
      <c r="F2982">
        <v>73</v>
      </c>
      <c r="G2982" s="2">
        <v>53961405</v>
      </c>
      <c r="H2982" s="2">
        <v>347263</v>
      </c>
      <c r="I2982" s="2">
        <v>134541936</v>
      </c>
      <c r="J2982">
        <v>14</v>
      </c>
      <c r="L2982">
        <v>1</v>
      </c>
      <c r="M2982" t="str">
        <f t="shared" si="46"/>
        <v>After 2020</v>
      </c>
    </row>
    <row r="2983" spans="1:13">
      <c r="A2983" t="s">
        <v>4262</v>
      </c>
      <c r="B2983" t="s">
        <v>459</v>
      </c>
      <c r="C2983" s="1">
        <v>42178</v>
      </c>
      <c r="D2983" s="2">
        <v>521328627</v>
      </c>
      <c r="E2983" s="2">
        <v>64734</v>
      </c>
      <c r="F2983">
        <v>70</v>
      </c>
      <c r="G2983" s="2">
        <v>1067816466</v>
      </c>
      <c r="H2983" s="2">
        <v>5198462</v>
      </c>
      <c r="I2983" s="2">
        <v>122727381</v>
      </c>
      <c r="J2983">
        <v>125</v>
      </c>
      <c r="K2983">
        <v>519</v>
      </c>
      <c r="L2983">
        <v>0</v>
      </c>
      <c r="M2983" t="str">
        <f t="shared" si="46"/>
        <v>2010-2020</v>
      </c>
    </row>
    <row r="2984" spans="1:13" hidden="1">
      <c r="A2984" t="s">
        <v>4263</v>
      </c>
      <c r="B2984" t="s">
        <v>1427</v>
      </c>
      <c r="C2984" s="1">
        <v>44869</v>
      </c>
      <c r="D2984" s="2">
        <v>35308201</v>
      </c>
      <c r="E2984">
        <v>954</v>
      </c>
      <c r="F2984">
        <v>58</v>
      </c>
      <c r="G2984" s="2">
        <v>344702201</v>
      </c>
      <c r="H2984" s="2">
        <v>2125668</v>
      </c>
      <c r="I2984" s="2">
        <v>825399</v>
      </c>
      <c r="L2984">
        <v>0</v>
      </c>
      <c r="M2984" t="str">
        <f t="shared" si="46"/>
        <v>After 2020</v>
      </c>
    </row>
    <row r="2985" spans="1:13">
      <c r="A2985" t="s">
        <v>4264</v>
      </c>
      <c r="B2985" t="s">
        <v>1013</v>
      </c>
      <c r="C2985" s="1">
        <v>44371</v>
      </c>
      <c r="D2985" s="2">
        <v>571325612</v>
      </c>
      <c r="E2985" s="2">
        <v>91249</v>
      </c>
      <c r="F2985">
        <v>66</v>
      </c>
      <c r="G2985" s="2">
        <v>71477120</v>
      </c>
      <c r="H2985" s="2">
        <v>340270</v>
      </c>
      <c r="I2985" s="2">
        <v>20390</v>
      </c>
      <c r="J2985">
        <v>89</v>
      </c>
      <c r="K2985">
        <v>11</v>
      </c>
      <c r="L2985">
        <v>1</v>
      </c>
      <c r="M2985" t="str">
        <f t="shared" si="46"/>
        <v>After 2020</v>
      </c>
    </row>
    <row r="2986" spans="1:13" hidden="1">
      <c r="A2986" t="s">
        <v>4265</v>
      </c>
      <c r="B2986" t="s">
        <v>4266</v>
      </c>
      <c r="C2986" s="1">
        <v>44253</v>
      </c>
      <c r="D2986" s="2">
        <v>258464933</v>
      </c>
      <c r="E2986" s="2">
        <v>26029</v>
      </c>
      <c r="F2986">
        <v>50</v>
      </c>
      <c r="G2986" s="2">
        <v>544475392</v>
      </c>
      <c r="H2986" s="2">
        <v>2878528</v>
      </c>
      <c r="I2986" s="2">
        <v>150293932</v>
      </c>
      <c r="J2986">
        <v>36</v>
      </c>
      <c r="L2986">
        <v>0</v>
      </c>
      <c r="M2986" t="str">
        <f t="shared" si="46"/>
        <v>After 2020</v>
      </c>
    </row>
    <row r="2987" spans="1:13" hidden="1">
      <c r="A2987" t="s">
        <v>4267</v>
      </c>
      <c r="B2987" t="s">
        <v>4268</v>
      </c>
      <c r="C2987" s="1">
        <v>43808</v>
      </c>
      <c r="D2987" s="2">
        <v>4078322</v>
      </c>
      <c r="E2987">
        <v>178</v>
      </c>
      <c r="F2987">
        <v>18</v>
      </c>
      <c r="G2987" s="2">
        <v>987792547</v>
      </c>
      <c r="H2987" s="2">
        <v>3856264</v>
      </c>
      <c r="I2987" s="2">
        <v>10568686</v>
      </c>
      <c r="L2987">
        <v>0</v>
      </c>
      <c r="M2987" t="str">
        <f t="shared" si="46"/>
        <v>2010-2020</v>
      </c>
    </row>
    <row r="2988" spans="1:13" hidden="1">
      <c r="A2988" t="s">
        <v>4269</v>
      </c>
      <c r="B2988" t="s">
        <v>1013</v>
      </c>
      <c r="C2988" s="1">
        <v>43832</v>
      </c>
      <c r="D2988" s="2">
        <v>80772450</v>
      </c>
      <c r="E2988" s="2">
        <v>17494</v>
      </c>
      <c r="F2988">
        <v>45</v>
      </c>
      <c r="G2988" s="2">
        <v>863475923</v>
      </c>
      <c r="H2988" s="2">
        <v>3921294</v>
      </c>
      <c r="I2988" s="2">
        <v>24174846</v>
      </c>
      <c r="J2988">
        <v>3</v>
      </c>
      <c r="L2988">
        <v>1</v>
      </c>
      <c r="M2988" t="str">
        <f t="shared" si="46"/>
        <v>2010-2020</v>
      </c>
    </row>
    <row r="2989" spans="1:13">
      <c r="A2989" t="s">
        <v>4270</v>
      </c>
      <c r="B2989" t="s">
        <v>295</v>
      </c>
      <c r="C2989" s="1">
        <v>42267</v>
      </c>
      <c r="D2989" s="2">
        <v>820380309</v>
      </c>
      <c r="E2989" s="2">
        <v>115960</v>
      </c>
      <c r="F2989">
        <v>64</v>
      </c>
      <c r="G2989" s="2">
        <v>148373482</v>
      </c>
      <c r="H2989" s="2">
        <v>954330</v>
      </c>
      <c r="I2989" s="2">
        <v>33118908</v>
      </c>
      <c r="J2989">
        <v>187</v>
      </c>
      <c r="K2989">
        <v>16</v>
      </c>
      <c r="L2989">
        <v>1</v>
      </c>
      <c r="M2989" t="str">
        <f t="shared" si="46"/>
        <v>2010-2020</v>
      </c>
    </row>
    <row r="2990" spans="1:13" hidden="1">
      <c r="A2990" t="s">
        <v>4271</v>
      </c>
      <c r="B2990" t="s">
        <v>153</v>
      </c>
      <c r="C2990" s="1">
        <v>45385</v>
      </c>
      <c r="D2990" s="2">
        <v>18564601</v>
      </c>
      <c r="E2990" s="2">
        <v>3063</v>
      </c>
      <c r="G2990" s="2">
        <v>1512853</v>
      </c>
      <c r="H2990" s="2">
        <v>39971</v>
      </c>
      <c r="J2990">
        <v>38</v>
      </c>
      <c r="K2990">
        <v>3</v>
      </c>
      <c r="L2990">
        <v>0</v>
      </c>
      <c r="M2990" t="str">
        <f t="shared" si="46"/>
        <v>After 2020</v>
      </c>
    </row>
    <row r="2991" spans="1:13" hidden="1">
      <c r="A2991" t="s">
        <v>4272</v>
      </c>
      <c r="B2991" t="s">
        <v>4273</v>
      </c>
      <c r="C2991" s="1">
        <v>44988</v>
      </c>
      <c r="D2991" s="2">
        <v>28779088</v>
      </c>
      <c r="E2991" s="2">
        <v>5564</v>
      </c>
      <c r="F2991">
        <v>61</v>
      </c>
      <c r="G2991" s="2">
        <v>2872410</v>
      </c>
      <c r="H2991" s="2">
        <v>63751</v>
      </c>
      <c r="I2991" s="2">
        <v>1580363321</v>
      </c>
      <c r="L2991">
        <v>0</v>
      </c>
      <c r="M2991" t="str">
        <f t="shared" si="46"/>
        <v>After 2020</v>
      </c>
    </row>
    <row r="2992" spans="1:13">
      <c r="A2992" t="s">
        <v>4274</v>
      </c>
      <c r="B2992" t="s">
        <v>216</v>
      </c>
      <c r="C2992" s="1">
        <v>44351</v>
      </c>
      <c r="D2992" s="2">
        <v>257661585</v>
      </c>
      <c r="E2992" s="2">
        <v>97161</v>
      </c>
      <c r="F2992">
        <v>56</v>
      </c>
      <c r="G2992" s="2">
        <v>23225337</v>
      </c>
      <c r="H2992" s="2">
        <v>276490</v>
      </c>
      <c r="I2992" s="2">
        <v>187075625</v>
      </c>
      <c r="J2992">
        <v>102</v>
      </c>
      <c r="K2992">
        <v>559</v>
      </c>
      <c r="L2992">
        <v>1</v>
      </c>
      <c r="M2992" t="str">
        <f t="shared" si="46"/>
        <v>After 2020</v>
      </c>
    </row>
    <row r="2993" spans="1:13" hidden="1">
      <c r="A2993" t="s">
        <v>4275</v>
      </c>
      <c r="B2993" t="s">
        <v>61</v>
      </c>
      <c r="C2993" s="1">
        <v>45225</v>
      </c>
      <c r="D2993" s="2">
        <v>177731392</v>
      </c>
      <c r="E2993" s="2">
        <v>12908</v>
      </c>
      <c r="G2993" s="2">
        <v>15781241</v>
      </c>
      <c r="H2993" s="2">
        <v>283039</v>
      </c>
      <c r="I2993" s="2">
        <v>20466555</v>
      </c>
      <c r="J2993">
        <v>53</v>
      </c>
      <c r="L2993">
        <v>0</v>
      </c>
      <c r="M2993" t="str">
        <f t="shared" si="46"/>
        <v>After 2020</v>
      </c>
    </row>
    <row r="2994" spans="1:13">
      <c r="A2994" t="s">
        <v>4276</v>
      </c>
      <c r="B2994" t="s">
        <v>4277</v>
      </c>
      <c r="C2994" s="1">
        <v>44130</v>
      </c>
      <c r="D2994" s="2">
        <v>335188091</v>
      </c>
      <c r="E2994" s="2">
        <v>86549</v>
      </c>
      <c r="F2994">
        <v>61</v>
      </c>
      <c r="G2994" s="2">
        <v>122687107</v>
      </c>
      <c r="H2994" s="2">
        <v>2529521</v>
      </c>
      <c r="I2994" s="2">
        <v>3434097182</v>
      </c>
      <c r="J2994">
        <v>54</v>
      </c>
      <c r="K2994">
        <v>119</v>
      </c>
      <c r="L2994">
        <v>1</v>
      </c>
      <c r="M2994" t="str">
        <f t="shared" si="46"/>
        <v>2010-2020</v>
      </c>
    </row>
    <row r="2995" spans="1:13">
      <c r="A2995" t="s">
        <v>4278</v>
      </c>
      <c r="B2995" t="s">
        <v>4021</v>
      </c>
      <c r="C2995" s="1">
        <v>40544</v>
      </c>
      <c r="D2995" s="2">
        <v>886640358</v>
      </c>
      <c r="E2995" s="2">
        <v>144242</v>
      </c>
      <c r="F2995">
        <v>76</v>
      </c>
      <c r="G2995" s="2">
        <v>692934603</v>
      </c>
      <c r="H2995" s="2">
        <v>2793210</v>
      </c>
      <c r="I2995" s="2">
        <v>42235895</v>
      </c>
      <c r="J2995">
        <v>86</v>
      </c>
      <c r="K2995">
        <v>42</v>
      </c>
      <c r="L2995">
        <v>0</v>
      </c>
      <c r="M2995" t="str">
        <f t="shared" si="46"/>
        <v>2010-2020</v>
      </c>
    </row>
    <row r="2996" spans="1:13">
      <c r="A2996" t="s">
        <v>4279</v>
      </c>
      <c r="B2996" t="s">
        <v>4280</v>
      </c>
      <c r="C2996" s="1">
        <v>43693</v>
      </c>
      <c r="D2996" s="2">
        <v>548333714</v>
      </c>
      <c r="E2996" s="2">
        <v>58410</v>
      </c>
      <c r="F2996">
        <v>77</v>
      </c>
      <c r="G2996" s="2">
        <v>191331224</v>
      </c>
      <c r="H2996" s="2">
        <v>1256178</v>
      </c>
      <c r="I2996" s="2">
        <v>256819834</v>
      </c>
      <c r="J2996">
        <v>35</v>
      </c>
      <c r="K2996">
        <v>26</v>
      </c>
      <c r="L2996">
        <v>1</v>
      </c>
      <c r="M2996" t="str">
        <f t="shared" si="46"/>
        <v>2010-2020</v>
      </c>
    </row>
    <row r="2997" spans="1:13">
      <c r="A2997" t="s">
        <v>4281</v>
      </c>
      <c r="B2997" t="s">
        <v>4067</v>
      </c>
      <c r="C2997" s="1">
        <v>45138</v>
      </c>
      <c r="D2997" s="2">
        <v>73213687</v>
      </c>
      <c r="E2997" s="2">
        <v>7423</v>
      </c>
      <c r="F2997">
        <v>62</v>
      </c>
      <c r="G2997" s="2">
        <v>132379481</v>
      </c>
      <c r="H2997" s="2">
        <v>1601412</v>
      </c>
      <c r="I2997" s="2">
        <v>348717938</v>
      </c>
      <c r="J2997">
        <v>8</v>
      </c>
      <c r="K2997">
        <v>11</v>
      </c>
      <c r="L2997">
        <v>0</v>
      </c>
      <c r="M2997" t="str">
        <f t="shared" si="46"/>
        <v>After 2020</v>
      </c>
    </row>
    <row r="2998" spans="1:13">
      <c r="A2998" t="s">
        <v>4282</v>
      </c>
      <c r="B2998" t="s">
        <v>4283</v>
      </c>
      <c r="C2998" s="1">
        <v>44519</v>
      </c>
      <c r="D2998" s="2">
        <v>257984057</v>
      </c>
      <c r="E2998" s="2">
        <v>57742</v>
      </c>
      <c r="F2998">
        <v>62</v>
      </c>
      <c r="G2998" s="2">
        <v>23407759</v>
      </c>
      <c r="H2998" s="2">
        <v>341367</v>
      </c>
      <c r="I2998" s="2">
        <v>2037905390</v>
      </c>
      <c r="J2998">
        <v>28</v>
      </c>
      <c r="K2998">
        <v>455</v>
      </c>
      <c r="L2998">
        <v>1</v>
      </c>
      <c r="M2998" t="str">
        <f t="shared" si="46"/>
        <v>After 2020</v>
      </c>
    </row>
    <row r="2999" spans="1:13" hidden="1">
      <c r="A2999" t="s">
        <v>4284</v>
      </c>
      <c r="B2999" t="s">
        <v>141</v>
      </c>
      <c r="C2999" s="1">
        <v>45212</v>
      </c>
      <c r="D2999" s="2">
        <v>96595281</v>
      </c>
      <c r="E2999" s="2">
        <v>22799</v>
      </c>
      <c r="G2999" s="2">
        <v>23983245</v>
      </c>
      <c r="H2999" s="2">
        <v>280298</v>
      </c>
      <c r="J2999">
        <v>12</v>
      </c>
      <c r="L2999">
        <v>1</v>
      </c>
      <c r="M2999" t="str">
        <f t="shared" si="46"/>
        <v>After 2020</v>
      </c>
    </row>
    <row r="3000" spans="1:13">
      <c r="A3000" t="s">
        <v>4285</v>
      </c>
      <c r="B3000" t="s">
        <v>4286</v>
      </c>
      <c r="C3000" s="1">
        <v>44659</v>
      </c>
      <c r="D3000" s="2">
        <v>331332225</v>
      </c>
      <c r="E3000" s="2">
        <v>63568</v>
      </c>
      <c r="F3000">
        <v>71</v>
      </c>
      <c r="G3000" s="2">
        <v>48857418</v>
      </c>
      <c r="H3000" s="2">
        <v>519822</v>
      </c>
      <c r="I3000" s="2">
        <v>1181420700</v>
      </c>
      <c r="J3000">
        <v>60</v>
      </c>
      <c r="K3000">
        <v>192</v>
      </c>
      <c r="L3000">
        <v>0</v>
      </c>
      <c r="M3000" t="str">
        <f t="shared" si="46"/>
        <v>After 2020</v>
      </c>
    </row>
    <row r="3001" spans="1:13">
      <c r="A3001" t="s">
        <v>4287</v>
      </c>
      <c r="B3001" t="s">
        <v>4288</v>
      </c>
      <c r="C3001" s="1">
        <v>43069</v>
      </c>
      <c r="D3001" s="2">
        <v>314089265</v>
      </c>
      <c r="E3001" s="2">
        <v>33163</v>
      </c>
      <c r="F3001">
        <v>58</v>
      </c>
      <c r="G3001" s="2">
        <v>355189118</v>
      </c>
      <c r="H3001" s="2">
        <v>4288854</v>
      </c>
      <c r="I3001" s="2">
        <v>940593293</v>
      </c>
      <c r="J3001">
        <v>18</v>
      </c>
      <c r="K3001">
        <v>1</v>
      </c>
      <c r="L3001">
        <v>0</v>
      </c>
      <c r="M3001" t="str">
        <f t="shared" si="46"/>
        <v>2010-2020</v>
      </c>
    </row>
    <row r="3002" spans="1:13">
      <c r="A3002" t="s">
        <v>4289</v>
      </c>
      <c r="B3002" t="s">
        <v>1030</v>
      </c>
      <c r="C3002" s="1">
        <v>44855</v>
      </c>
      <c r="D3002" s="2">
        <v>110545738</v>
      </c>
      <c r="E3002" s="2">
        <v>19914</v>
      </c>
      <c r="F3002">
        <v>62</v>
      </c>
      <c r="G3002" s="2">
        <v>23040928</v>
      </c>
      <c r="H3002" s="2">
        <v>130379</v>
      </c>
      <c r="I3002" s="2">
        <v>6584480</v>
      </c>
      <c r="J3002">
        <v>55</v>
      </c>
      <c r="K3002">
        <v>40</v>
      </c>
      <c r="L3002">
        <v>0</v>
      </c>
      <c r="M3002" t="str">
        <f t="shared" si="46"/>
        <v>After 2020</v>
      </c>
    </row>
    <row r="3003" spans="1:13">
      <c r="A3003" t="s">
        <v>4290</v>
      </c>
      <c r="B3003" t="s">
        <v>4291</v>
      </c>
      <c r="C3003" s="1">
        <v>42709</v>
      </c>
      <c r="D3003" s="2">
        <v>968235402</v>
      </c>
      <c r="E3003" s="2">
        <v>159175</v>
      </c>
      <c r="F3003">
        <v>72</v>
      </c>
      <c r="G3003" s="2">
        <v>180977641</v>
      </c>
      <c r="H3003" s="2">
        <v>1207787</v>
      </c>
      <c r="I3003" s="2">
        <v>5826772</v>
      </c>
      <c r="J3003">
        <v>114</v>
      </c>
      <c r="K3003">
        <v>55</v>
      </c>
      <c r="L3003">
        <v>0</v>
      </c>
      <c r="M3003" t="str">
        <f t="shared" si="46"/>
        <v>2010-2020</v>
      </c>
    </row>
    <row r="3004" spans="1:13" hidden="1">
      <c r="A3004" t="s">
        <v>4292</v>
      </c>
      <c r="B3004" t="s">
        <v>772</v>
      </c>
      <c r="C3004" s="1">
        <v>45268</v>
      </c>
      <c r="D3004" s="2">
        <v>70351205</v>
      </c>
      <c r="E3004" s="2">
        <v>16234</v>
      </c>
      <c r="G3004" s="2">
        <v>5380786</v>
      </c>
      <c r="H3004" s="2">
        <v>100456</v>
      </c>
      <c r="I3004" s="2">
        <v>1100000</v>
      </c>
      <c r="J3004">
        <v>19</v>
      </c>
      <c r="K3004">
        <v>3</v>
      </c>
      <c r="L3004">
        <v>1</v>
      </c>
      <c r="M3004" t="str">
        <f t="shared" si="46"/>
        <v>After 2020</v>
      </c>
    </row>
    <row r="3005" spans="1:13" hidden="1">
      <c r="A3005" t="s">
        <v>4293</v>
      </c>
      <c r="B3005" t="s">
        <v>4294</v>
      </c>
      <c r="C3005" s="1">
        <v>45429</v>
      </c>
      <c r="D3005" s="2">
        <v>14289955</v>
      </c>
      <c r="E3005">
        <v>745</v>
      </c>
      <c r="F3005">
        <v>71</v>
      </c>
      <c r="G3005" s="2">
        <v>10933199</v>
      </c>
      <c r="H3005" s="2">
        <v>73479</v>
      </c>
      <c r="J3005">
        <v>4</v>
      </c>
      <c r="L3005">
        <v>0</v>
      </c>
      <c r="M3005" t="str">
        <f t="shared" si="46"/>
        <v>After 2020</v>
      </c>
    </row>
    <row r="3006" spans="1:13">
      <c r="A3006" t="s">
        <v>4295</v>
      </c>
      <c r="B3006" t="s">
        <v>2653</v>
      </c>
      <c r="C3006" s="1">
        <v>42859</v>
      </c>
      <c r="D3006" s="2">
        <v>946043494</v>
      </c>
      <c r="E3006" s="2">
        <v>75100</v>
      </c>
      <c r="F3006">
        <v>70</v>
      </c>
      <c r="G3006" s="2">
        <v>304206080</v>
      </c>
      <c r="H3006" s="2">
        <v>3528279</v>
      </c>
      <c r="I3006" s="2">
        <v>93693477</v>
      </c>
      <c r="J3006">
        <v>111</v>
      </c>
      <c r="K3006">
        <v>334</v>
      </c>
      <c r="L3006">
        <v>0</v>
      </c>
      <c r="M3006" t="str">
        <f t="shared" si="46"/>
        <v>2010-2020</v>
      </c>
    </row>
    <row r="3007" spans="1:13">
      <c r="A3007" t="s">
        <v>4296</v>
      </c>
      <c r="B3007" t="s">
        <v>301</v>
      </c>
      <c r="C3007" s="1">
        <v>44957</v>
      </c>
      <c r="D3007" s="2">
        <v>140137839</v>
      </c>
      <c r="E3007" s="2">
        <v>23619</v>
      </c>
      <c r="F3007">
        <v>64</v>
      </c>
      <c r="G3007" s="2">
        <v>22406782</v>
      </c>
      <c r="H3007" s="2">
        <v>129416</v>
      </c>
      <c r="I3007" s="2">
        <v>47494771</v>
      </c>
      <c r="J3007">
        <v>19</v>
      </c>
      <c r="K3007">
        <v>39</v>
      </c>
      <c r="L3007">
        <v>0</v>
      </c>
      <c r="M3007" t="str">
        <f t="shared" si="46"/>
        <v>After 2020</v>
      </c>
    </row>
    <row r="3008" spans="1:13">
      <c r="A3008" t="s">
        <v>4297</v>
      </c>
      <c r="B3008" t="s">
        <v>590</v>
      </c>
      <c r="C3008" s="1">
        <v>44743</v>
      </c>
      <c r="D3008" s="2">
        <v>134909945</v>
      </c>
      <c r="E3008" s="2">
        <v>52025</v>
      </c>
      <c r="F3008">
        <v>62</v>
      </c>
      <c r="G3008" s="2">
        <v>84020549</v>
      </c>
      <c r="H3008" s="2">
        <v>655144</v>
      </c>
      <c r="I3008" s="2">
        <v>282521651</v>
      </c>
      <c r="J3008">
        <v>62</v>
      </c>
      <c r="K3008">
        <v>6</v>
      </c>
      <c r="L3008">
        <v>1</v>
      </c>
      <c r="M3008" t="str">
        <f t="shared" si="46"/>
        <v>After 2020</v>
      </c>
    </row>
    <row r="3009" spans="1:13" hidden="1">
      <c r="A3009" t="s">
        <v>4298</v>
      </c>
      <c r="B3009" t="s">
        <v>182</v>
      </c>
      <c r="C3009" s="1">
        <v>45303</v>
      </c>
      <c r="D3009" s="2">
        <v>54062895</v>
      </c>
      <c r="E3009" s="2">
        <v>14363</v>
      </c>
      <c r="G3009" s="2">
        <v>8912416</v>
      </c>
      <c r="H3009" s="2">
        <v>129552</v>
      </c>
      <c r="J3009">
        <v>22</v>
      </c>
      <c r="L3009">
        <v>1</v>
      </c>
      <c r="M3009" t="str">
        <f t="shared" si="46"/>
        <v>After 2020</v>
      </c>
    </row>
    <row r="3010" spans="1:13">
      <c r="A3010" t="s">
        <v>4299</v>
      </c>
      <c r="B3010" t="s">
        <v>1781</v>
      </c>
      <c r="C3010" s="1">
        <v>42839</v>
      </c>
      <c r="D3010" s="2">
        <v>834795353</v>
      </c>
      <c r="E3010" s="2">
        <v>187620</v>
      </c>
      <c r="F3010">
        <v>73</v>
      </c>
      <c r="G3010" s="2">
        <v>282798008</v>
      </c>
      <c r="H3010" s="2">
        <v>3373020</v>
      </c>
      <c r="I3010" s="2">
        <v>111426969</v>
      </c>
      <c r="J3010">
        <v>160</v>
      </c>
      <c r="K3010">
        <v>71</v>
      </c>
      <c r="L3010">
        <v>1</v>
      </c>
      <c r="M3010" t="str">
        <f t="shared" si="46"/>
        <v>2010-2020</v>
      </c>
    </row>
    <row r="3011" spans="1:13" hidden="1">
      <c r="A3011" t="s">
        <v>4300</v>
      </c>
      <c r="B3011" t="s">
        <v>1396</v>
      </c>
      <c r="C3011" s="1">
        <v>45106</v>
      </c>
      <c r="D3011" s="2">
        <v>139669652</v>
      </c>
      <c r="E3011" s="2">
        <v>9634</v>
      </c>
      <c r="F3011">
        <v>39</v>
      </c>
      <c r="G3011" s="2">
        <v>138602281</v>
      </c>
      <c r="H3011" s="2">
        <v>827735</v>
      </c>
      <c r="J3011">
        <v>2</v>
      </c>
      <c r="L3011">
        <v>0</v>
      </c>
      <c r="M3011" t="str">
        <f t="shared" ref="M3011:M3074" si="47">IF(YEAR(C3011)&lt;2010,"Before 2010",IF(YEAR(C3011)&lt;=2020,"2010-2020","After 2020"))</f>
        <v>After 2020</v>
      </c>
    </row>
    <row r="3012" spans="1:13" hidden="1">
      <c r="A3012" t="s">
        <v>4301</v>
      </c>
      <c r="B3012" t="s">
        <v>61</v>
      </c>
      <c r="C3012" s="1">
        <v>45225</v>
      </c>
      <c r="D3012" s="2">
        <v>269790122</v>
      </c>
      <c r="E3012" s="2">
        <v>15686</v>
      </c>
      <c r="G3012" s="2">
        <v>15244891</v>
      </c>
      <c r="H3012" s="2">
        <v>196230</v>
      </c>
      <c r="I3012" s="2">
        <v>66176311</v>
      </c>
      <c r="J3012">
        <v>7</v>
      </c>
      <c r="K3012">
        <v>100</v>
      </c>
      <c r="L3012">
        <v>0</v>
      </c>
      <c r="M3012" t="str">
        <f t="shared" si="47"/>
        <v>After 2020</v>
      </c>
    </row>
    <row r="3013" spans="1:13">
      <c r="A3013" t="s">
        <v>4302</v>
      </c>
      <c r="B3013" t="s">
        <v>479</v>
      </c>
      <c r="C3013" s="1">
        <v>39448</v>
      </c>
      <c r="D3013" s="2">
        <v>886077008</v>
      </c>
      <c r="E3013" s="2">
        <v>154757</v>
      </c>
      <c r="F3013">
        <v>69</v>
      </c>
      <c r="G3013" s="2">
        <v>1332106664</v>
      </c>
      <c r="H3013" s="2">
        <v>6819005</v>
      </c>
      <c r="I3013" s="2">
        <v>2238389974</v>
      </c>
      <c r="J3013">
        <v>80</v>
      </c>
      <c r="K3013">
        <v>248</v>
      </c>
      <c r="L3013">
        <v>0</v>
      </c>
      <c r="M3013" t="str">
        <f t="shared" si="47"/>
        <v>Before 2010</v>
      </c>
    </row>
    <row r="3014" spans="1:13">
      <c r="A3014" t="s">
        <v>4303</v>
      </c>
      <c r="B3014" t="s">
        <v>66</v>
      </c>
      <c r="C3014" s="1">
        <v>44701</v>
      </c>
      <c r="D3014" s="2">
        <v>502585349</v>
      </c>
      <c r="E3014" s="2">
        <v>64618</v>
      </c>
      <c r="F3014">
        <v>72</v>
      </c>
      <c r="G3014" s="2">
        <v>50100652</v>
      </c>
      <c r="H3014" s="2">
        <v>768251</v>
      </c>
      <c r="I3014" s="2">
        <v>395014106</v>
      </c>
      <c r="J3014">
        <v>33</v>
      </c>
      <c r="K3014">
        <v>80</v>
      </c>
      <c r="L3014">
        <v>0</v>
      </c>
      <c r="M3014" t="str">
        <f t="shared" si="47"/>
        <v>After 2020</v>
      </c>
    </row>
    <row r="3015" spans="1:13">
      <c r="A3015" t="s">
        <v>4304</v>
      </c>
      <c r="B3015" t="s">
        <v>2728</v>
      </c>
      <c r="C3015" s="1">
        <v>41275</v>
      </c>
      <c r="D3015" s="2">
        <v>1687828519</v>
      </c>
      <c r="E3015" s="2">
        <v>272010</v>
      </c>
      <c r="F3015">
        <v>80</v>
      </c>
      <c r="G3015" s="2">
        <v>527397003</v>
      </c>
      <c r="H3015" s="2">
        <v>5344645</v>
      </c>
      <c r="I3015" s="2">
        <v>45596295</v>
      </c>
      <c r="J3015">
        <v>69</v>
      </c>
      <c r="K3015">
        <v>349</v>
      </c>
      <c r="L3015">
        <v>0</v>
      </c>
      <c r="M3015" t="str">
        <f t="shared" si="47"/>
        <v>2010-2020</v>
      </c>
    </row>
    <row r="3016" spans="1:13">
      <c r="A3016" t="s">
        <v>4305</v>
      </c>
      <c r="B3016" t="s">
        <v>285</v>
      </c>
      <c r="C3016" s="1">
        <v>40909</v>
      </c>
      <c r="D3016" s="2">
        <v>827079737</v>
      </c>
      <c r="E3016" s="2">
        <v>123017</v>
      </c>
      <c r="F3016">
        <v>74</v>
      </c>
      <c r="G3016" s="2">
        <v>1187480897</v>
      </c>
      <c r="H3016" s="2">
        <v>7482380</v>
      </c>
      <c r="I3016" s="2">
        <v>401762489</v>
      </c>
      <c r="J3016">
        <v>47</v>
      </c>
      <c r="K3016">
        <v>176</v>
      </c>
      <c r="L3016">
        <v>0</v>
      </c>
      <c r="M3016" t="str">
        <f t="shared" si="47"/>
        <v>2010-2020</v>
      </c>
    </row>
    <row r="3017" spans="1:13" hidden="1">
      <c r="A3017" t="s">
        <v>4306</v>
      </c>
      <c r="B3017" t="s">
        <v>1062</v>
      </c>
      <c r="C3017" s="1">
        <v>44000</v>
      </c>
      <c r="D3017" s="2">
        <v>529297852</v>
      </c>
      <c r="E3017">
        <v>818</v>
      </c>
      <c r="F3017">
        <v>29</v>
      </c>
      <c r="G3017" s="2">
        <v>791895421</v>
      </c>
      <c r="H3017" s="2">
        <v>5811346</v>
      </c>
      <c r="J3017">
        <v>21</v>
      </c>
      <c r="L3017">
        <v>0</v>
      </c>
      <c r="M3017" t="str">
        <f t="shared" si="47"/>
        <v>2010-2020</v>
      </c>
    </row>
    <row r="3018" spans="1:13" hidden="1">
      <c r="A3018" t="s">
        <v>4307</v>
      </c>
      <c r="B3018" t="s">
        <v>4308</v>
      </c>
      <c r="C3018" s="1">
        <v>45112</v>
      </c>
      <c r="D3018" s="2">
        <v>45526343</v>
      </c>
      <c r="E3018" s="2">
        <v>6003</v>
      </c>
      <c r="F3018">
        <v>59</v>
      </c>
      <c r="G3018" s="2">
        <v>159627251</v>
      </c>
      <c r="H3018" s="2">
        <v>2001280</v>
      </c>
      <c r="I3018" s="2">
        <v>34961102</v>
      </c>
      <c r="J3018">
        <v>2</v>
      </c>
      <c r="L3018">
        <v>0</v>
      </c>
      <c r="M3018" t="str">
        <f t="shared" si="47"/>
        <v>After 2020</v>
      </c>
    </row>
    <row r="3019" spans="1:13" hidden="1">
      <c r="A3019" t="s">
        <v>4309</v>
      </c>
      <c r="B3019" t="s">
        <v>4310</v>
      </c>
      <c r="C3019" s="1">
        <v>44757</v>
      </c>
      <c r="D3019" s="2">
        <v>9045662</v>
      </c>
      <c r="E3019" s="2">
        <v>2307</v>
      </c>
      <c r="F3019">
        <v>39</v>
      </c>
      <c r="I3019" s="2">
        <v>1523347880</v>
      </c>
      <c r="J3019">
        <v>1</v>
      </c>
      <c r="L3019">
        <v>0</v>
      </c>
      <c r="M3019" t="str">
        <f t="shared" si="47"/>
        <v>After 2020</v>
      </c>
    </row>
    <row r="3020" spans="1:13" hidden="1">
      <c r="A3020" t="s">
        <v>4311</v>
      </c>
      <c r="B3020" t="s">
        <v>4312</v>
      </c>
      <c r="C3020" s="1">
        <v>45386</v>
      </c>
      <c r="D3020" s="2">
        <v>20661452</v>
      </c>
      <c r="E3020" s="2">
        <v>1206</v>
      </c>
      <c r="F3020">
        <v>69</v>
      </c>
      <c r="G3020" s="2">
        <v>30566261</v>
      </c>
      <c r="H3020" s="2">
        <v>214059</v>
      </c>
      <c r="J3020">
        <v>3</v>
      </c>
      <c r="L3020">
        <v>0</v>
      </c>
      <c r="M3020" t="str">
        <f t="shared" si="47"/>
        <v>After 2020</v>
      </c>
    </row>
    <row r="3021" spans="1:13">
      <c r="A3021" t="s">
        <v>4313</v>
      </c>
      <c r="B3021" t="s">
        <v>330</v>
      </c>
      <c r="C3021" s="1">
        <v>43086</v>
      </c>
      <c r="D3021" s="2">
        <v>862685616</v>
      </c>
      <c r="E3021" s="2">
        <v>66559</v>
      </c>
      <c r="F3021">
        <v>71</v>
      </c>
      <c r="G3021" s="2">
        <v>508394938</v>
      </c>
      <c r="H3021" s="2">
        <v>5627488</v>
      </c>
      <c r="I3021" s="2">
        <v>665573579</v>
      </c>
      <c r="J3021">
        <v>97</v>
      </c>
      <c r="K3021">
        <v>147</v>
      </c>
      <c r="L3021">
        <v>0</v>
      </c>
      <c r="M3021" t="str">
        <f t="shared" si="47"/>
        <v>2010-2020</v>
      </c>
    </row>
    <row r="3022" spans="1:13">
      <c r="A3022" t="s">
        <v>4314</v>
      </c>
      <c r="B3022" t="s">
        <v>311</v>
      </c>
      <c r="C3022" s="1">
        <v>43245</v>
      </c>
      <c r="D3022" s="2">
        <v>1015502663</v>
      </c>
      <c r="E3022" s="2">
        <v>82046</v>
      </c>
      <c r="F3022">
        <v>67</v>
      </c>
      <c r="G3022" s="2">
        <v>290850550</v>
      </c>
      <c r="H3022" s="2">
        <v>4987421</v>
      </c>
      <c r="I3022" s="2">
        <v>102264948</v>
      </c>
      <c r="J3022">
        <v>111</v>
      </c>
      <c r="K3022">
        <v>404</v>
      </c>
      <c r="L3022">
        <v>0</v>
      </c>
      <c r="M3022" t="str">
        <f t="shared" si="47"/>
        <v>2010-2020</v>
      </c>
    </row>
    <row r="3023" spans="1:13">
      <c r="A3023" t="s">
        <v>4315</v>
      </c>
      <c r="B3023" t="s">
        <v>938</v>
      </c>
      <c r="C3023" s="1">
        <v>44120</v>
      </c>
      <c r="D3023" s="2">
        <v>494889776</v>
      </c>
      <c r="E3023" s="2">
        <v>54042</v>
      </c>
      <c r="F3023">
        <v>63</v>
      </c>
      <c r="G3023" s="2">
        <v>369062658</v>
      </c>
      <c r="H3023" s="2">
        <v>2399193</v>
      </c>
      <c r="I3023" s="2">
        <v>308973919</v>
      </c>
      <c r="J3023">
        <v>72</v>
      </c>
      <c r="K3023">
        <v>204</v>
      </c>
      <c r="L3023">
        <v>0</v>
      </c>
      <c r="M3023" t="str">
        <f t="shared" si="47"/>
        <v>2010-2020</v>
      </c>
    </row>
    <row r="3024" spans="1:13">
      <c r="A3024" t="s">
        <v>4316</v>
      </c>
      <c r="B3024" t="s">
        <v>61</v>
      </c>
      <c r="C3024" s="1">
        <v>44036</v>
      </c>
      <c r="D3024" s="2">
        <v>1101296591</v>
      </c>
      <c r="E3024" s="2">
        <v>84267</v>
      </c>
      <c r="F3024">
        <v>79</v>
      </c>
      <c r="G3024" s="2">
        <v>143962401</v>
      </c>
      <c r="H3024" s="2">
        <v>1331866</v>
      </c>
      <c r="I3024" s="2">
        <v>779402493</v>
      </c>
      <c r="J3024">
        <v>50</v>
      </c>
      <c r="K3024">
        <v>9</v>
      </c>
      <c r="L3024">
        <v>0</v>
      </c>
      <c r="M3024" t="str">
        <f t="shared" si="47"/>
        <v>2010-2020</v>
      </c>
    </row>
    <row r="3025" spans="1:13" hidden="1">
      <c r="A3025" t="s">
        <v>4317</v>
      </c>
      <c r="B3025" t="s">
        <v>288</v>
      </c>
      <c r="C3025" s="1">
        <v>45100</v>
      </c>
      <c r="D3025" s="2">
        <v>78001581</v>
      </c>
      <c r="E3025" s="2">
        <v>40820</v>
      </c>
      <c r="F3025">
        <v>60</v>
      </c>
      <c r="J3025">
        <v>9</v>
      </c>
      <c r="L3025">
        <v>1</v>
      </c>
      <c r="M3025" t="str">
        <f t="shared" si="47"/>
        <v>After 2020</v>
      </c>
    </row>
    <row r="3026" spans="1:13" hidden="1">
      <c r="A3026" t="s">
        <v>4318</v>
      </c>
      <c r="B3026" t="s">
        <v>2122</v>
      </c>
      <c r="C3026" s="1">
        <v>45247</v>
      </c>
      <c r="D3026" s="2">
        <v>40047588</v>
      </c>
      <c r="E3026" s="2">
        <v>9525</v>
      </c>
      <c r="G3026" s="2">
        <v>2471348</v>
      </c>
      <c r="H3026" s="2">
        <v>25676</v>
      </c>
      <c r="J3026">
        <v>44</v>
      </c>
      <c r="K3026">
        <v>355</v>
      </c>
      <c r="L3026">
        <v>0</v>
      </c>
      <c r="M3026" t="str">
        <f t="shared" si="47"/>
        <v>After 2020</v>
      </c>
    </row>
    <row r="3027" spans="1:13">
      <c r="A3027" t="s">
        <v>4319</v>
      </c>
      <c r="B3027" t="s">
        <v>2047</v>
      </c>
      <c r="C3027" s="1">
        <v>43577</v>
      </c>
      <c r="D3027" s="2">
        <v>475639302</v>
      </c>
      <c r="E3027" s="2">
        <v>35569</v>
      </c>
      <c r="F3027">
        <v>67</v>
      </c>
      <c r="G3027" s="2">
        <v>816491835</v>
      </c>
      <c r="H3027" s="2">
        <v>8286772</v>
      </c>
      <c r="I3027" s="2">
        <v>423648556</v>
      </c>
      <c r="J3027">
        <v>21</v>
      </c>
      <c r="K3027">
        <v>11</v>
      </c>
      <c r="L3027">
        <v>0</v>
      </c>
      <c r="M3027" t="str">
        <f t="shared" si="47"/>
        <v>2010-2020</v>
      </c>
    </row>
    <row r="3028" spans="1:13" hidden="1">
      <c r="A3028" t="s">
        <v>4320</v>
      </c>
      <c r="B3028" t="s">
        <v>236</v>
      </c>
      <c r="C3028" s="1">
        <v>45135</v>
      </c>
      <c r="D3028" s="2">
        <v>104724143</v>
      </c>
      <c r="E3028" s="2">
        <v>33500</v>
      </c>
      <c r="F3028">
        <v>65</v>
      </c>
      <c r="G3028" s="2">
        <v>19688739</v>
      </c>
      <c r="H3028" s="2">
        <v>200663</v>
      </c>
      <c r="I3028" s="2">
        <v>99508915</v>
      </c>
      <c r="J3028">
        <v>8</v>
      </c>
      <c r="L3028">
        <v>1</v>
      </c>
      <c r="M3028" t="str">
        <f t="shared" si="47"/>
        <v>After 2020</v>
      </c>
    </row>
    <row r="3029" spans="1:13" hidden="1">
      <c r="A3029" t="s">
        <v>4321</v>
      </c>
      <c r="B3029" t="s">
        <v>4322</v>
      </c>
      <c r="C3029" s="1">
        <v>40867</v>
      </c>
      <c r="D3029" s="2">
        <v>568692309</v>
      </c>
      <c r="E3029" s="2">
        <v>122845</v>
      </c>
      <c r="F3029">
        <v>66</v>
      </c>
      <c r="G3029" s="2">
        <v>1631093608</v>
      </c>
      <c r="H3029" s="2">
        <v>13001577</v>
      </c>
      <c r="I3029" s="2">
        <v>431870913</v>
      </c>
      <c r="J3029">
        <v>27</v>
      </c>
      <c r="L3029">
        <v>1</v>
      </c>
      <c r="M3029" t="str">
        <f t="shared" si="47"/>
        <v>2010-2020</v>
      </c>
    </row>
    <row r="3030" spans="1:13" hidden="1">
      <c r="A3030" t="s">
        <v>4323</v>
      </c>
      <c r="B3030" t="s">
        <v>4324</v>
      </c>
      <c r="C3030" s="1">
        <v>44897</v>
      </c>
      <c r="D3030" s="2">
        <v>159144858</v>
      </c>
      <c r="E3030" s="2">
        <v>35171</v>
      </c>
      <c r="F3030">
        <v>64</v>
      </c>
      <c r="G3030" s="2">
        <v>106347047</v>
      </c>
      <c r="H3030" s="2">
        <v>622153</v>
      </c>
      <c r="I3030" s="2">
        <v>239495826</v>
      </c>
      <c r="J3030">
        <v>13</v>
      </c>
      <c r="L3030">
        <v>0</v>
      </c>
      <c r="M3030" t="str">
        <f t="shared" si="47"/>
        <v>After 2020</v>
      </c>
    </row>
    <row r="3031" spans="1:13" hidden="1">
      <c r="A3031" t="s">
        <v>4325</v>
      </c>
      <c r="B3031" t="s">
        <v>4326</v>
      </c>
      <c r="C3031" s="1">
        <v>45270</v>
      </c>
      <c r="D3031" s="2">
        <v>3560</v>
      </c>
      <c r="G3031" s="2">
        <v>119311487</v>
      </c>
      <c r="H3031" s="2">
        <v>439743</v>
      </c>
      <c r="L3031">
        <v>0</v>
      </c>
      <c r="M3031" t="str">
        <f t="shared" si="47"/>
        <v>After 2020</v>
      </c>
    </row>
    <row r="3032" spans="1:13" hidden="1">
      <c r="A3032" t="s">
        <v>4327</v>
      </c>
      <c r="B3032" t="s">
        <v>4328</v>
      </c>
      <c r="C3032" s="1">
        <v>44337</v>
      </c>
      <c r="D3032" s="2">
        <v>75717094</v>
      </c>
      <c r="E3032" s="2">
        <v>34136</v>
      </c>
      <c r="F3032">
        <v>55</v>
      </c>
      <c r="G3032" s="2">
        <v>216661579</v>
      </c>
      <c r="H3032" s="2">
        <v>1234087</v>
      </c>
      <c r="I3032" s="2">
        <v>50774936</v>
      </c>
      <c r="J3032">
        <v>42</v>
      </c>
      <c r="L3032">
        <v>1</v>
      </c>
      <c r="M3032" t="str">
        <f t="shared" si="47"/>
        <v>After 2020</v>
      </c>
    </row>
    <row r="3033" spans="1:13" hidden="1">
      <c r="A3033" t="s">
        <v>4329</v>
      </c>
      <c r="B3033" t="s">
        <v>781</v>
      </c>
      <c r="C3033" s="1">
        <v>44099</v>
      </c>
      <c r="D3033" s="2">
        <v>171728710</v>
      </c>
      <c r="E3033" s="2">
        <v>72794</v>
      </c>
      <c r="F3033">
        <v>56</v>
      </c>
      <c r="G3033" s="2">
        <v>121946777</v>
      </c>
      <c r="H3033" s="2">
        <v>1186806</v>
      </c>
      <c r="I3033" s="2">
        <v>8566421</v>
      </c>
      <c r="J3033">
        <v>40</v>
      </c>
      <c r="L3033">
        <v>1</v>
      </c>
      <c r="M3033" t="str">
        <f t="shared" si="47"/>
        <v>2010-2020</v>
      </c>
    </row>
    <row r="3034" spans="1:13">
      <c r="A3034" t="s">
        <v>4330</v>
      </c>
      <c r="B3034" t="s">
        <v>494</v>
      </c>
      <c r="C3034" s="1">
        <v>45093</v>
      </c>
      <c r="D3034" s="2">
        <v>95981326</v>
      </c>
      <c r="E3034" s="2">
        <v>10042</v>
      </c>
      <c r="F3034">
        <v>66</v>
      </c>
      <c r="G3034" s="2">
        <v>143134654</v>
      </c>
      <c r="H3034" s="2">
        <v>1478912</v>
      </c>
      <c r="I3034" s="2">
        <v>69044436</v>
      </c>
      <c r="J3034">
        <v>9</v>
      </c>
      <c r="K3034">
        <v>29</v>
      </c>
      <c r="L3034">
        <v>0</v>
      </c>
      <c r="M3034" t="str">
        <f t="shared" si="47"/>
        <v>After 2020</v>
      </c>
    </row>
    <row r="3035" spans="1:13" hidden="1">
      <c r="A3035" t="s">
        <v>4331</v>
      </c>
      <c r="B3035" t="s">
        <v>1497</v>
      </c>
      <c r="C3035" s="1">
        <v>45184</v>
      </c>
      <c r="D3035" s="2">
        <v>44316864</v>
      </c>
      <c r="E3035" s="2">
        <v>24103</v>
      </c>
      <c r="G3035" s="2">
        <v>10388436</v>
      </c>
      <c r="H3035" s="2">
        <v>105979</v>
      </c>
      <c r="J3035">
        <v>6</v>
      </c>
      <c r="L3035">
        <v>0</v>
      </c>
      <c r="M3035" t="str">
        <f t="shared" si="47"/>
        <v>After 2020</v>
      </c>
    </row>
    <row r="3036" spans="1:13" hidden="1">
      <c r="A3036" t="s">
        <v>4332</v>
      </c>
      <c r="B3036" t="s">
        <v>1186</v>
      </c>
      <c r="C3036" s="1">
        <v>45383</v>
      </c>
      <c r="D3036" s="2">
        <v>29604808</v>
      </c>
      <c r="E3036" s="2">
        <v>1636</v>
      </c>
      <c r="F3036">
        <v>72</v>
      </c>
      <c r="G3036" s="2">
        <v>28828792</v>
      </c>
      <c r="H3036" s="2">
        <v>677113</v>
      </c>
      <c r="J3036">
        <v>15</v>
      </c>
      <c r="L3036">
        <v>0</v>
      </c>
      <c r="M3036" t="str">
        <f t="shared" si="47"/>
        <v>After 2020</v>
      </c>
    </row>
    <row r="3037" spans="1:13">
      <c r="A3037" t="s">
        <v>4333</v>
      </c>
      <c r="B3037" t="s">
        <v>1008</v>
      </c>
      <c r="C3037" s="1">
        <v>43553</v>
      </c>
      <c r="D3037" s="2">
        <v>390907316</v>
      </c>
      <c r="E3037" s="2">
        <v>59994</v>
      </c>
      <c r="F3037">
        <v>67</v>
      </c>
      <c r="G3037" s="2">
        <v>302144296</v>
      </c>
      <c r="H3037" s="2">
        <v>3625031</v>
      </c>
      <c r="I3037" s="2">
        <v>2849728835</v>
      </c>
      <c r="J3037">
        <v>50</v>
      </c>
      <c r="K3037">
        <v>868</v>
      </c>
      <c r="L3037">
        <v>1</v>
      </c>
      <c r="M3037" t="str">
        <f t="shared" si="47"/>
        <v>2010-2020</v>
      </c>
    </row>
    <row r="3038" spans="1:13" hidden="1">
      <c r="A3038" t="s">
        <v>4334</v>
      </c>
      <c r="B3038" t="s">
        <v>2227</v>
      </c>
      <c r="C3038" s="1">
        <v>45259</v>
      </c>
      <c r="D3038" s="2">
        <v>94097213</v>
      </c>
      <c r="E3038" s="2">
        <v>9345</v>
      </c>
      <c r="G3038" s="2">
        <v>56612055</v>
      </c>
      <c r="H3038" s="2">
        <v>670867</v>
      </c>
      <c r="J3038">
        <v>1</v>
      </c>
      <c r="L3038">
        <v>0</v>
      </c>
      <c r="M3038" t="str">
        <f t="shared" si="47"/>
        <v>After 2020</v>
      </c>
    </row>
    <row r="3039" spans="1:13" hidden="1">
      <c r="A3039" t="s">
        <v>4335</v>
      </c>
      <c r="B3039" t="s">
        <v>163</v>
      </c>
      <c r="C3039" s="1">
        <v>45358</v>
      </c>
      <c r="D3039" s="2">
        <v>45905973</v>
      </c>
      <c r="E3039" s="2">
        <v>2184</v>
      </c>
      <c r="G3039" s="2">
        <v>34714612</v>
      </c>
      <c r="H3039" s="2">
        <v>273830</v>
      </c>
      <c r="J3039">
        <v>11</v>
      </c>
      <c r="K3039">
        <v>17</v>
      </c>
      <c r="L3039">
        <v>0</v>
      </c>
      <c r="M3039" t="str">
        <f t="shared" si="47"/>
        <v>After 2020</v>
      </c>
    </row>
    <row r="3040" spans="1:13" hidden="1">
      <c r="A3040" t="s">
        <v>4336</v>
      </c>
      <c r="B3040" t="s">
        <v>4337</v>
      </c>
      <c r="C3040" s="1">
        <v>43474</v>
      </c>
      <c r="D3040" s="2">
        <v>32433183</v>
      </c>
      <c r="E3040" s="2">
        <v>3830</v>
      </c>
      <c r="F3040">
        <v>50</v>
      </c>
      <c r="G3040" s="2">
        <v>691599357</v>
      </c>
      <c r="H3040" s="2">
        <v>5063166</v>
      </c>
      <c r="I3040" s="2">
        <v>216883079</v>
      </c>
      <c r="J3040">
        <v>2</v>
      </c>
      <c r="L3040">
        <v>0</v>
      </c>
      <c r="M3040" t="str">
        <f t="shared" si="47"/>
        <v>2010-2020</v>
      </c>
    </row>
    <row r="3041" spans="1:13">
      <c r="A3041" t="s">
        <v>4338</v>
      </c>
      <c r="B3041" t="s">
        <v>4339</v>
      </c>
      <c r="C3041" s="1">
        <v>44386</v>
      </c>
      <c r="D3041" s="2">
        <v>120964748</v>
      </c>
      <c r="E3041" s="2">
        <v>18114</v>
      </c>
      <c r="F3041">
        <v>61</v>
      </c>
      <c r="G3041" s="2">
        <v>13919928</v>
      </c>
      <c r="H3041" s="2">
        <v>116035</v>
      </c>
      <c r="I3041" s="2">
        <v>43546200</v>
      </c>
      <c r="J3041">
        <v>6</v>
      </c>
      <c r="K3041">
        <v>428</v>
      </c>
      <c r="L3041">
        <v>0</v>
      </c>
      <c r="M3041" t="str">
        <f t="shared" si="47"/>
        <v>After 2020</v>
      </c>
    </row>
    <row r="3042" spans="1:13" hidden="1">
      <c r="A3042" t="s">
        <v>38</v>
      </c>
      <c r="B3042" t="s">
        <v>84</v>
      </c>
      <c r="C3042" s="1">
        <v>45090</v>
      </c>
      <c r="D3042" s="2">
        <v>1648192461</v>
      </c>
      <c r="L3042">
        <v>1</v>
      </c>
      <c r="M3042" t="str">
        <f t="shared" si="47"/>
        <v>After 2020</v>
      </c>
    </row>
    <row r="3043" spans="1:13" hidden="1">
      <c r="A3043" t="s">
        <v>4340</v>
      </c>
      <c r="B3043" t="s">
        <v>157</v>
      </c>
      <c r="C3043" s="1">
        <v>45098</v>
      </c>
      <c r="D3043" s="2">
        <v>170834610</v>
      </c>
      <c r="E3043" s="2">
        <v>35849</v>
      </c>
      <c r="F3043">
        <v>65</v>
      </c>
      <c r="G3043" s="2">
        <v>7206357</v>
      </c>
      <c r="H3043" s="2">
        <v>63881</v>
      </c>
      <c r="J3043">
        <v>26</v>
      </c>
      <c r="K3043">
        <v>40</v>
      </c>
      <c r="L3043">
        <v>1</v>
      </c>
      <c r="M3043" t="str">
        <f t="shared" si="47"/>
        <v>After 2020</v>
      </c>
    </row>
    <row r="3044" spans="1:13">
      <c r="A3044" t="s">
        <v>4341</v>
      </c>
      <c r="B3044" t="s">
        <v>4021</v>
      </c>
      <c r="C3044" s="1">
        <v>40544</v>
      </c>
      <c r="D3044" s="2">
        <v>662305046</v>
      </c>
      <c r="E3044" s="2">
        <v>156823</v>
      </c>
      <c r="F3044">
        <v>72</v>
      </c>
      <c r="G3044" s="2">
        <v>722325299</v>
      </c>
      <c r="H3044" s="2">
        <v>3784855</v>
      </c>
      <c r="I3044" s="2">
        <v>139200114</v>
      </c>
      <c r="J3044">
        <v>117</v>
      </c>
      <c r="K3044">
        <v>73</v>
      </c>
      <c r="L3044">
        <v>0</v>
      </c>
      <c r="M3044" t="str">
        <f t="shared" si="47"/>
        <v>2010-2020</v>
      </c>
    </row>
    <row r="3045" spans="1:13" hidden="1">
      <c r="A3045" t="s">
        <v>4342</v>
      </c>
      <c r="B3045" t="s">
        <v>4343</v>
      </c>
      <c r="C3045" s="1">
        <v>45358</v>
      </c>
      <c r="D3045" s="2">
        <v>45545495</v>
      </c>
      <c r="E3045" s="2">
        <v>1965</v>
      </c>
      <c r="F3045">
        <v>74</v>
      </c>
      <c r="G3045" s="2">
        <v>40452826</v>
      </c>
      <c r="H3045" s="2">
        <v>252818</v>
      </c>
      <c r="J3045">
        <v>8</v>
      </c>
      <c r="L3045">
        <v>0</v>
      </c>
      <c r="M3045" t="str">
        <f t="shared" si="47"/>
        <v>After 2020</v>
      </c>
    </row>
    <row r="3046" spans="1:13">
      <c r="A3046" t="s">
        <v>4344</v>
      </c>
      <c r="B3046" t="s">
        <v>4345</v>
      </c>
      <c r="C3046" s="1">
        <v>41436</v>
      </c>
      <c r="D3046" s="2">
        <v>570026061</v>
      </c>
      <c r="E3046" s="2">
        <v>96205</v>
      </c>
      <c r="F3046">
        <v>66</v>
      </c>
      <c r="G3046" s="2">
        <v>264363262</v>
      </c>
      <c r="H3046" s="2">
        <v>2861659</v>
      </c>
      <c r="I3046" s="2">
        <v>9749942173</v>
      </c>
      <c r="J3046">
        <v>44</v>
      </c>
      <c r="K3046">
        <v>348</v>
      </c>
      <c r="L3046">
        <v>0</v>
      </c>
      <c r="M3046" t="str">
        <f t="shared" si="47"/>
        <v>2010-2020</v>
      </c>
    </row>
    <row r="3047" spans="1:13" hidden="1">
      <c r="A3047" t="s">
        <v>4346</v>
      </c>
      <c r="B3047" t="s">
        <v>4347</v>
      </c>
      <c r="C3047" s="1">
        <v>45450</v>
      </c>
      <c r="D3047" s="2">
        <v>8820808</v>
      </c>
      <c r="E3047">
        <v>2</v>
      </c>
      <c r="L3047">
        <v>0</v>
      </c>
      <c r="M3047" t="str">
        <f t="shared" si="47"/>
        <v>After 2020</v>
      </c>
    </row>
    <row r="3048" spans="1:13">
      <c r="A3048" t="s">
        <v>4348</v>
      </c>
      <c r="B3048" t="s">
        <v>1088</v>
      </c>
      <c r="C3048" s="1">
        <v>43826</v>
      </c>
      <c r="D3048" s="2">
        <v>415532384</v>
      </c>
      <c r="E3048" s="2">
        <v>143461</v>
      </c>
      <c r="F3048">
        <v>67</v>
      </c>
      <c r="G3048" s="2">
        <v>182358671</v>
      </c>
      <c r="H3048" s="2">
        <v>2007300</v>
      </c>
      <c r="I3048" s="2">
        <v>130747276</v>
      </c>
      <c r="J3048">
        <v>26</v>
      </c>
      <c r="K3048">
        <v>2</v>
      </c>
      <c r="L3048">
        <v>1</v>
      </c>
      <c r="M3048" t="str">
        <f t="shared" si="47"/>
        <v>2010-2020</v>
      </c>
    </row>
    <row r="3049" spans="1:13">
      <c r="A3049" t="s">
        <v>4349</v>
      </c>
      <c r="B3049" t="s">
        <v>4350</v>
      </c>
      <c r="C3049" s="1">
        <v>43931</v>
      </c>
      <c r="D3049" s="2">
        <v>250593875</v>
      </c>
      <c r="E3049" s="2">
        <v>25906</v>
      </c>
      <c r="F3049">
        <v>65</v>
      </c>
      <c r="G3049" s="2">
        <v>565294922</v>
      </c>
      <c r="H3049" s="2">
        <v>2855175</v>
      </c>
      <c r="I3049" s="2">
        <v>159172238</v>
      </c>
      <c r="J3049">
        <v>8</v>
      </c>
      <c r="K3049">
        <v>53</v>
      </c>
      <c r="L3049">
        <v>0</v>
      </c>
      <c r="M3049" t="str">
        <f t="shared" si="47"/>
        <v>2010-2020</v>
      </c>
    </row>
    <row r="3050" spans="1:13" hidden="1">
      <c r="A3050" t="s">
        <v>4351</v>
      </c>
      <c r="B3050" t="s">
        <v>4352</v>
      </c>
      <c r="C3050" s="1">
        <v>42263</v>
      </c>
      <c r="D3050" s="2">
        <v>87429</v>
      </c>
      <c r="E3050">
        <v>11</v>
      </c>
      <c r="G3050" s="2">
        <v>1932243086</v>
      </c>
      <c r="H3050" s="2">
        <v>14288920</v>
      </c>
      <c r="L3050">
        <v>0</v>
      </c>
      <c r="M3050" t="str">
        <f t="shared" si="47"/>
        <v>2010-2020</v>
      </c>
    </row>
    <row r="3051" spans="1:13" hidden="1">
      <c r="A3051" t="s">
        <v>4353</v>
      </c>
      <c r="B3051" t="s">
        <v>1705</v>
      </c>
      <c r="C3051" s="1">
        <v>44812</v>
      </c>
      <c r="D3051" s="2">
        <v>204236514</v>
      </c>
      <c r="E3051" s="2">
        <v>25243</v>
      </c>
      <c r="F3051">
        <v>58</v>
      </c>
      <c r="G3051" s="2">
        <v>179427174</v>
      </c>
      <c r="H3051" s="2">
        <v>968498</v>
      </c>
      <c r="I3051" s="2">
        <v>793805115</v>
      </c>
      <c r="J3051">
        <v>13</v>
      </c>
      <c r="L3051">
        <v>0</v>
      </c>
      <c r="M3051" t="str">
        <f t="shared" si="47"/>
        <v>After 2020</v>
      </c>
    </row>
    <row r="3052" spans="1:13">
      <c r="A3052" t="s">
        <v>4354</v>
      </c>
      <c r="B3052" t="s">
        <v>374</v>
      </c>
      <c r="C3052" s="1">
        <v>44966</v>
      </c>
      <c r="D3052" s="2">
        <v>44122161</v>
      </c>
      <c r="E3052" s="2">
        <v>13796</v>
      </c>
      <c r="F3052">
        <v>57</v>
      </c>
      <c r="G3052" s="2">
        <v>54277243</v>
      </c>
      <c r="H3052" s="2">
        <v>469883</v>
      </c>
      <c r="I3052" s="2">
        <v>600873369</v>
      </c>
      <c r="J3052">
        <v>29</v>
      </c>
      <c r="K3052">
        <v>163</v>
      </c>
      <c r="L3052">
        <v>0</v>
      </c>
      <c r="M3052" t="str">
        <f t="shared" si="47"/>
        <v>After 2020</v>
      </c>
    </row>
    <row r="3053" spans="1:13" hidden="1">
      <c r="A3053" t="s">
        <v>4355</v>
      </c>
      <c r="B3053" t="s">
        <v>2928</v>
      </c>
      <c r="C3053" s="1">
        <v>44124</v>
      </c>
      <c r="D3053" s="2">
        <v>77941531</v>
      </c>
      <c r="E3053" s="2">
        <v>7966</v>
      </c>
      <c r="F3053">
        <v>55</v>
      </c>
      <c r="G3053" s="2">
        <v>737123050</v>
      </c>
      <c r="H3053" s="2">
        <v>6472849</v>
      </c>
      <c r="J3053">
        <v>1</v>
      </c>
      <c r="L3053">
        <v>0</v>
      </c>
      <c r="M3053" t="str">
        <f t="shared" si="47"/>
        <v>2010-2020</v>
      </c>
    </row>
    <row r="3054" spans="1:13" hidden="1">
      <c r="A3054" t="s">
        <v>4356</v>
      </c>
      <c r="B3054" t="s">
        <v>4357</v>
      </c>
      <c r="C3054" s="1">
        <v>44883</v>
      </c>
      <c r="D3054" s="2">
        <v>99316941</v>
      </c>
      <c r="E3054" s="2">
        <v>58228</v>
      </c>
      <c r="F3054">
        <v>65</v>
      </c>
      <c r="G3054" s="2">
        <v>5711976</v>
      </c>
      <c r="H3054" s="2">
        <v>91362</v>
      </c>
      <c r="I3054" s="2">
        <v>304670358</v>
      </c>
      <c r="J3054">
        <v>28</v>
      </c>
      <c r="L3054">
        <v>1</v>
      </c>
      <c r="M3054" t="str">
        <f t="shared" si="47"/>
        <v>After 2020</v>
      </c>
    </row>
    <row r="3055" spans="1:13">
      <c r="A3055" t="s">
        <v>4358</v>
      </c>
      <c r="B3055" t="s">
        <v>236</v>
      </c>
      <c r="C3055" s="1">
        <v>42213</v>
      </c>
      <c r="D3055" s="2">
        <v>693552475</v>
      </c>
      <c r="E3055" s="2">
        <v>148244</v>
      </c>
      <c r="F3055">
        <v>68</v>
      </c>
      <c r="G3055" s="2">
        <v>484191598</v>
      </c>
      <c r="H3055" s="2">
        <v>3735154</v>
      </c>
      <c r="I3055" s="2">
        <v>100004969</v>
      </c>
      <c r="J3055">
        <v>129</v>
      </c>
      <c r="K3055">
        <v>18</v>
      </c>
      <c r="L3055">
        <v>1</v>
      </c>
      <c r="M3055" t="str">
        <f t="shared" si="47"/>
        <v>2010-2020</v>
      </c>
    </row>
    <row r="3056" spans="1:13" hidden="1">
      <c r="A3056" t="s">
        <v>4359</v>
      </c>
      <c r="B3056" t="s">
        <v>4360</v>
      </c>
      <c r="C3056" s="1">
        <v>45198</v>
      </c>
      <c r="D3056" s="2">
        <v>69340146</v>
      </c>
      <c r="E3056" s="2">
        <v>4747</v>
      </c>
      <c r="F3056">
        <v>71</v>
      </c>
      <c r="G3056" s="2">
        <v>102713271</v>
      </c>
      <c r="H3056" s="2">
        <v>935435</v>
      </c>
      <c r="I3056" s="2">
        <v>349668362</v>
      </c>
      <c r="J3056">
        <v>26</v>
      </c>
      <c r="L3056">
        <v>0</v>
      </c>
      <c r="M3056" t="str">
        <f t="shared" si="47"/>
        <v>After 2020</v>
      </c>
    </row>
    <row r="3057" spans="1:13" hidden="1">
      <c r="A3057" t="s">
        <v>4361</v>
      </c>
      <c r="B3057" t="s">
        <v>4362</v>
      </c>
      <c r="C3057" s="1">
        <v>44869</v>
      </c>
      <c r="D3057" s="2">
        <v>75577819</v>
      </c>
      <c r="E3057" s="2">
        <v>19796</v>
      </c>
      <c r="F3057">
        <v>55</v>
      </c>
      <c r="G3057" s="2">
        <v>143710823</v>
      </c>
      <c r="H3057" s="2">
        <v>3896344</v>
      </c>
      <c r="I3057" s="2">
        <v>1901333753</v>
      </c>
      <c r="J3057">
        <v>2</v>
      </c>
      <c r="L3057">
        <v>0</v>
      </c>
      <c r="M3057" t="str">
        <f t="shared" si="47"/>
        <v>After 2020</v>
      </c>
    </row>
    <row r="3058" spans="1:13">
      <c r="A3058" t="s">
        <v>4363</v>
      </c>
      <c r="B3058" t="s">
        <v>701</v>
      </c>
      <c r="C3058" s="1">
        <v>45100</v>
      </c>
      <c r="D3058" s="2">
        <v>41255598</v>
      </c>
      <c r="E3058" s="2">
        <v>13071</v>
      </c>
      <c r="F3058">
        <v>51</v>
      </c>
      <c r="G3058" s="2">
        <v>24244922</v>
      </c>
      <c r="H3058" s="2">
        <v>367061</v>
      </c>
      <c r="I3058" s="2">
        <v>1570567</v>
      </c>
      <c r="J3058">
        <v>22</v>
      </c>
      <c r="K3058">
        <v>151</v>
      </c>
      <c r="L3058">
        <v>1</v>
      </c>
      <c r="M3058" t="str">
        <f t="shared" si="47"/>
        <v>After 2020</v>
      </c>
    </row>
    <row r="3059" spans="1:13" hidden="1">
      <c r="A3059" t="s">
        <v>4364</v>
      </c>
      <c r="B3059" t="s">
        <v>4365</v>
      </c>
      <c r="C3059" s="1">
        <v>45000</v>
      </c>
      <c r="D3059" s="2">
        <v>2490145</v>
      </c>
      <c r="E3059">
        <v>953</v>
      </c>
      <c r="F3059">
        <v>36</v>
      </c>
      <c r="G3059" s="2">
        <v>4438330</v>
      </c>
      <c r="H3059" s="2">
        <v>15474</v>
      </c>
      <c r="I3059" s="2">
        <v>272142273</v>
      </c>
      <c r="L3059">
        <v>0</v>
      </c>
      <c r="M3059" t="str">
        <f t="shared" si="47"/>
        <v>After 2020</v>
      </c>
    </row>
    <row r="3060" spans="1:13" hidden="1">
      <c r="A3060" t="s">
        <v>4366</v>
      </c>
      <c r="B3060" t="s">
        <v>4367</v>
      </c>
      <c r="C3060" s="1">
        <v>45191</v>
      </c>
      <c r="D3060" s="2">
        <v>40556347</v>
      </c>
      <c r="E3060" s="2">
        <v>22280</v>
      </c>
      <c r="G3060" s="2">
        <v>2783520</v>
      </c>
      <c r="H3060" s="2">
        <v>55619</v>
      </c>
      <c r="I3060" s="2">
        <v>3583492</v>
      </c>
      <c r="J3060">
        <v>6</v>
      </c>
      <c r="L3060">
        <v>0</v>
      </c>
      <c r="M3060" t="str">
        <f t="shared" si="47"/>
        <v>After 2020</v>
      </c>
    </row>
    <row r="3061" spans="1:13" hidden="1">
      <c r="A3061" t="s">
        <v>4368</v>
      </c>
      <c r="B3061" t="s">
        <v>1648</v>
      </c>
      <c r="C3061" s="1">
        <v>45338</v>
      </c>
      <c r="D3061" s="2">
        <v>69417527</v>
      </c>
      <c r="E3061" s="2">
        <v>3193</v>
      </c>
      <c r="F3061">
        <v>66</v>
      </c>
      <c r="G3061" s="2">
        <v>43402536</v>
      </c>
      <c r="H3061" s="2">
        <v>358688</v>
      </c>
      <c r="J3061">
        <v>17</v>
      </c>
      <c r="L3061">
        <v>0</v>
      </c>
      <c r="M3061" t="str">
        <f t="shared" si="47"/>
        <v>After 2020</v>
      </c>
    </row>
    <row r="3062" spans="1:13">
      <c r="A3062" t="s">
        <v>4369</v>
      </c>
      <c r="B3062" t="s">
        <v>4370</v>
      </c>
      <c r="C3062" s="1">
        <v>42237</v>
      </c>
      <c r="D3062" s="2">
        <v>522954525</v>
      </c>
      <c r="E3062" s="2">
        <v>53226</v>
      </c>
      <c r="F3062">
        <v>73</v>
      </c>
      <c r="G3062" s="2">
        <v>1362091486</v>
      </c>
      <c r="H3062" s="2">
        <v>5868422</v>
      </c>
      <c r="I3062" s="2">
        <v>155253912</v>
      </c>
      <c r="J3062">
        <v>31</v>
      </c>
      <c r="K3062">
        <v>33</v>
      </c>
      <c r="L3062">
        <v>0</v>
      </c>
      <c r="M3062" t="str">
        <f t="shared" si="47"/>
        <v>2010-2020</v>
      </c>
    </row>
    <row r="3063" spans="1:13" hidden="1">
      <c r="A3063" t="s">
        <v>4371</v>
      </c>
      <c r="B3063" t="s">
        <v>2000</v>
      </c>
      <c r="C3063" s="1">
        <v>44189</v>
      </c>
      <c r="D3063" s="2">
        <v>32018123</v>
      </c>
      <c r="E3063" s="2">
        <v>2140</v>
      </c>
      <c r="F3063">
        <v>57</v>
      </c>
      <c r="G3063" s="2">
        <v>50238131</v>
      </c>
      <c r="H3063" s="2">
        <v>2961509</v>
      </c>
      <c r="I3063" s="2">
        <v>815938</v>
      </c>
      <c r="L3063">
        <v>0</v>
      </c>
      <c r="M3063" t="str">
        <f t="shared" si="47"/>
        <v>2010-2020</v>
      </c>
    </row>
    <row r="3064" spans="1:13" hidden="1">
      <c r="A3064" t="s">
        <v>4372</v>
      </c>
      <c r="B3064" t="s">
        <v>703</v>
      </c>
      <c r="C3064" s="1">
        <v>45261</v>
      </c>
      <c r="D3064" s="2">
        <v>45943524</v>
      </c>
      <c r="E3064" s="2">
        <v>11657</v>
      </c>
      <c r="G3064" s="2">
        <v>42010424</v>
      </c>
      <c r="H3064" s="2">
        <v>494545</v>
      </c>
      <c r="I3064" s="2">
        <v>6760</v>
      </c>
      <c r="J3064">
        <v>5</v>
      </c>
      <c r="K3064">
        <v>121</v>
      </c>
      <c r="L3064">
        <v>1</v>
      </c>
      <c r="M3064" t="str">
        <f t="shared" si="47"/>
        <v>After 2020</v>
      </c>
    </row>
    <row r="3065" spans="1:13">
      <c r="A3065" t="s">
        <v>4373</v>
      </c>
      <c r="B3065" t="s">
        <v>1373</v>
      </c>
      <c r="C3065" s="1">
        <v>44022</v>
      </c>
      <c r="D3065" s="2">
        <v>409441742</v>
      </c>
      <c r="E3065" s="2">
        <v>53950</v>
      </c>
      <c r="F3065">
        <v>63</v>
      </c>
      <c r="G3065" s="2">
        <v>147151901</v>
      </c>
      <c r="H3065" s="2">
        <v>1275444</v>
      </c>
      <c r="I3065" s="2">
        <v>68851923</v>
      </c>
      <c r="J3065">
        <v>100</v>
      </c>
      <c r="K3065">
        <v>127</v>
      </c>
      <c r="L3065">
        <v>0</v>
      </c>
      <c r="M3065" t="str">
        <f t="shared" si="47"/>
        <v>2010-2020</v>
      </c>
    </row>
    <row r="3066" spans="1:13" hidden="1">
      <c r="A3066" t="s">
        <v>4374</v>
      </c>
      <c r="B3066" t="s">
        <v>266</v>
      </c>
      <c r="C3066" s="1">
        <v>45177</v>
      </c>
      <c r="D3066" s="2">
        <v>231346336</v>
      </c>
      <c r="E3066" s="2">
        <v>18615</v>
      </c>
      <c r="G3066" s="2">
        <v>33144121</v>
      </c>
      <c r="H3066" s="2">
        <v>752778</v>
      </c>
      <c r="I3066" s="2">
        <v>73409116</v>
      </c>
      <c r="J3066">
        <v>9</v>
      </c>
      <c r="K3066">
        <v>3</v>
      </c>
      <c r="L3066">
        <v>1</v>
      </c>
      <c r="M3066" t="str">
        <f t="shared" si="47"/>
        <v>After 2020</v>
      </c>
    </row>
    <row r="3067" spans="1:13" hidden="1">
      <c r="A3067" t="s">
        <v>4375</v>
      </c>
      <c r="B3067" t="s">
        <v>3119</v>
      </c>
      <c r="C3067" s="1">
        <v>45006</v>
      </c>
      <c r="D3067" s="2">
        <v>127806442</v>
      </c>
      <c r="E3067" s="2">
        <v>39971</v>
      </c>
      <c r="F3067">
        <v>69</v>
      </c>
      <c r="J3067">
        <v>43</v>
      </c>
      <c r="L3067">
        <v>1</v>
      </c>
      <c r="M3067" t="str">
        <f t="shared" si="47"/>
        <v>After 2020</v>
      </c>
    </row>
    <row r="3068" spans="1:13" hidden="1">
      <c r="A3068" t="s">
        <v>4376</v>
      </c>
      <c r="B3068" t="s">
        <v>53</v>
      </c>
      <c r="C3068" s="1">
        <v>44148</v>
      </c>
      <c r="D3068" s="2">
        <v>300694036</v>
      </c>
      <c r="E3068" s="2">
        <v>111117</v>
      </c>
      <c r="F3068">
        <v>65</v>
      </c>
      <c r="G3068" s="2">
        <v>118481138</v>
      </c>
      <c r="H3068" s="2">
        <v>809622</v>
      </c>
      <c r="I3068" s="2">
        <v>87063670</v>
      </c>
      <c r="J3068">
        <v>58</v>
      </c>
      <c r="L3068">
        <v>1</v>
      </c>
      <c r="M3068" t="str">
        <f t="shared" si="47"/>
        <v>2010-2020</v>
      </c>
    </row>
    <row r="3069" spans="1:13">
      <c r="A3069" t="s">
        <v>4377</v>
      </c>
      <c r="B3069" t="s">
        <v>19</v>
      </c>
      <c r="C3069" s="1">
        <v>44694</v>
      </c>
      <c r="D3069" s="2">
        <v>201021118</v>
      </c>
      <c r="E3069" s="2">
        <v>64247</v>
      </c>
      <c r="F3069">
        <v>72</v>
      </c>
      <c r="G3069" s="2">
        <v>88574109</v>
      </c>
      <c r="H3069" s="2">
        <v>1615761</v>
      </c>
      <c r="I3069" s="2">
        <v>20521498</v>
      </c>
      <c r="J3069">
        <v>7</v>
      </c>
      <c r="K3069">
        <v>25</v>
      </c>
      <c r="L3069">
        <v>1</v>
      </c>
      <c r="M3069" t="str">
        <f t="shared" si="47"/>
        <v>After 2020</v>
      </c>
    </row>
    <row r="3070" spans="1:13" hidden="1">
      <c r="A3070" t="s">
        <v>4378</v>
      </c>
      <c r="B3070" t="s">
        <v>157</v>
      </c>
      <c r="C3070" s="1">
        <v>44454</v>
      </c>
      <c r="D3070" s="2">
        <v>27327435</v>
      </c>
      <c r="E3070" s="2">
        <v>12600</v>
      </c>
      <c r="F3070">
        <v>41</v>
      </c>
      <c r="G3070" s="2">
        <v>2169188</v>
      </c>
      <c r="H3070" s="2">
        <v>16383</v>
      </c>
      <c r="I3070" s="2">
        <v>8474261749</v>
      </c>
      <c r="J3070">
        <v>7</v>
      </c>
      <c r="L3070">
        <v>1</v>
      </c>
      <c r="M3070" t="str">
        <f t="shared" si="47"/>
        <v>After 2020</v>
      </c>
    </row>
    <row r="3071" spans="1:13" hidden="1">
      <c r="A3071" t="s">
        <v>4379</v>
      </c>
      <c r="B3071" t="s">
        <v>1314</v>
      </c>
      <c r="C3071" s="1">
        <v>45233</v>
      </c>
      <c r="D3071" s="2">
        <v>107659341</v>
      </c>
      <c r="E3071" s="2">
        <v>8465</v>
      </c>
      <c r="F3071">
        <v>71</v>
      </c>
      <c r="G3071" s="2">
        <v>60343754</v>
      </c>
      <c r="H3071" s="2">
        <v>259680</v>
      </c>
      <c r="I3071" s="2">
        <v>47619658</v>
      </c>
      <c r="J3071">
        <v>8</v>
      </c>
      <c r="L3071">
        <v>0</v>
      </c>
      <c r="M3071" t="str">
        <f t="shared" si="47"/>
        <v>After 2020</v>
      </c>
    </row>
    <row r="3072" spans="1:13">
      <c r="A3072" t="s">
        <v>4380</v>
      </c>
      <c r="B3072" t="s">
        <v>256</v>
      </c>
      <c r="C3072" s="1">
        <v>44897</v>
      </c>
      <c r="D3072" s="2">
        <v>146341441</v>
      </c>
      <c r="E3072" s="2">
        <v>27011</v>
      </c>
      <c r="F3072">
        <v>63</v>
      </c>
      <c r="G3072" s="2">
        <v>21962893</v>
      </c>
      <c r="H3072" s="2">
        <v>244265</v>
      </c>
      <c r="I3072" s="2">
        <v>358616039</v>
      </c>
      <c r="J3072">
        <v>44</v>
      </c>
      <c r="K3072">
        <v>8</v>
      </c>
      <c r="L3072">
        <v>0</v>
      </c>
      <c r="M3072" t="str">
        <f t="shared" si="47"/>
        <v>After 2020</v>
      </c>
    </row>
    <row r="3073" spans="1:13" hidden="1">
      <c r="A3073" t="s">
        <v>4381</v>
      </c>
      <c r="B3073" t="s">
        <v>1280</v>
      </c>
      <c r="C3073" s="1">
        <v>43434</v>
      </c>
      <c r="D3073" s="2">
        <v>2447043</v>
      </c>
      <c r="E3073">
        <v>627</v>
      </c>
      <c r="F3073">
        <v>18</v>
      </c>
      <c r="G3073" s="2">
        <v>1160920513</v>
      </c>
      <c r="H3073" s="2">
        <v>6813408</v>
      </c>
      <c r="J3073">
        <v>1</v>
      </c>
      <c r="L3073">
        <v>0</v>
      </c>
      <c r="M3073" t="str">
        <f t="shared" si="47"/>
        <v>2010-2020</v>
      </c>
    </row>
    <row r="3074" spans="1:13" hidden="1">
      <c r="A3074" t="s">
        <v>4382</v>
      </c>
      <c r="B3074" t="s">
        <v>4383</v>
      </c>
      <c r="C3074" s="1">
        <v>44792</v>
      </c>
      <c r="D3074" s="2">
        <v>262082601</v>
      </c>
      <c r="E3074" s="2">
        <v>29563</v>
      </c>
      <c r="F3074">
        <v>67</v>
      </c>
      <c r="G3074" s="2">
        <v>178440164</v>
      </c>
      <c r="H3074" s="2">
        <v>1191857</v>
      </c>
      <c r="I3074" s="2">
        <v>663874319</v>
      </c>
      <c r="J3074">
        <v>4</v>
      </c>
      <c r="L3074">
        <v>0</v>
      </c>
      <c r="M3074" t="str">
        <f t="shared" si="47"/>
        <v>After 2020</v>
      </c>
    </row>
    <row r="3075" spans="1:13" hidden="1">
      <c r="A3075" t="s">
        <v>4384</v>
      </c>
      <c r="B3075" t="s">
        <v>4385</v>
      </c>
      <c r="C3075" s="1">
        <v>43784</v>
      </c>
      <c r="D3075" s="2">
        <v>384524938</v>
      </c>
      <c r="E3075" s="2">
        <v>109325</v>
      </c>
      <c r="F3075">
        <v>63</v>
      </c>
      <c r="G3075" s="2">
        <v>123438646</v>
      </c>
      <c r="H3075" s="2">
        <v>1195085</v>
      </c>
      <c r="I3075" s="2">
        <v>290883332</v>
      </c>
      <c r="J3075">
        <v>50</v>
      </c>
      <c r="L3075">
        <v>1</v>
      </c>
      <c r="M3075" t="str">
        <f t="shared" ref="M3075:M3138" si="48">IF(YEAR(C3075)&lt;2010,"Before 2010",IF(YEAR(C3075)&lt;=2020,"2010-2020","After 2020"))</f>
        <v>2010-2020</v>
      </c>
    </row>
    <row r="3076" spans="1:13" hidden="1">
      <c r="A3076" t="s">
        <v>4386</v>
      </c>
      <c r="B3076" t="s">
        <v>1199</v>
      </c>
      <c r="C3076" s="1">
        <v>45064</v>
      </c>
      <c r="D3076" s="2">
        <v>144493101</v>
      </c>
      <c r="E3076" s="2">
        <v>18536</v>
      </c>
      <c r="F3076">
        <v>65</v>
      </c>
      <c r="G3076" s="2">
        <v>109364201</v>
      </c>
      <c r="H3076" s="2">
        <v>460758</v>
      </c>
      <c r="I3076" s="2">
        <v>58143056</v>
      </c>
      <c r="J3076">
        <v>18</v>
      </c>
      <c r="L3076">
        <v>0</v>
      </c>
      <c r="M3076" t="str">
        <f t="shared" si="48"/>
        <v>After 2020</v>
      </c>
    </row>
    <row r="3077" spans="1:13">
      <c r="A3077" t="s">
        <v>4387</v>
      </c>
      <c r="B3077" t="s">
        <v>173</v>
      </c>
      <c r="C3077" s="1">
        <v>44036</v>
      </c>
      <c r="D3077" s="2">
        <v>476699016</v>
      </c>
      <c r="E3077" s="2">
        <v>59108</v>
      </c>
      <c r="F3077">
        <v>56</v>
      </c>
      <c r="G3077" s="2">
        <v>371106551</v>
      </c>
      <c r="H3077" s="2">
        <v>2197396</v>
      </c>
      <c r="I3077" s="2">
        <v>201544043</v>
      </c>
      <c r="J3077">
        <v>77</v>
      </c>
      <c r="K3077">
        <v>102</v>
      </c>
      <c r="L3077">
        <v>0</v>
      </c>
      <c r="M3077" t="str">
        <f t="shared" si="48"/>
        <v>2010-2020</v>
      </c>
    </row>
    <row r="3078" spans="1:13" hidden="1">
      <c r="A3078" t="s">
        <v>4388</v>
      </c>
      <c r="B3078" t="s">
        <v>4389</v>
      </c>
      <c r="C3078" s="1">
        <v>43595</v>
      </c>
      <c r="D3078" s="2">
        <v>184246401</v>
      </c>
      <c r="E3078" s="2">
        <v>42246</v>
      </c>
      <c r="F3078">
        <v>53</v>
      </c>
      <c r="G3078" s="2">
        <v>26642994</v>
      </c>
      <c r="H3078" s="2">
        <v>675965</v>
      </c>
      <c r="I3078" s="2">
        <v>3451442440</v>
      </c>
      <c r="J3078">
        <v>5</v>
      </c>
      <c r="L3078">
        <v>1</v>
      </c>
      <c r="M3078" t="str">
        <f t="shared" si="48"/>
        <v>2010-2020</v>
      </c>
    </row>
    <row r="3079" spans="1:13" hidden="1">
      <c r="A3079" t="s">
        <v>4390</v>
      </c>
      <c r="B3079" t="s">
        <v>4391</v>
      </c>
      <c r="C3079" s="1">
        <v>45254</v>
      </c>
      <c r="D3079" s="2">
        <v>107595657</v>
      </c>
      <c r="E3079" s="2">
        <v>5279</v>
      </c>
      <c r="G3079" s="2">
        <v>78226331</v>
      </c>
      <c r="H3079" s="2">
        <v>1081336</v>
      </c>
      <c r="J3079">
        <v>3</v>
      </c>
      <c r="L3079">
        <v>0</v>
      </c>
      <c r="M3079" t="str">
        <f t="shared" si="48"/>
        <v>After 2020</v>
      </c>
    </row>
    <row r="3080" spans="1:13">
      <c r="A3080" t="s">
        <v>4392</v>
      </c>
      <c r="B3080" t="s">
        <v>322</v>
      </c>
      <c r="C3080" s="1">
        <v>42438</v>
      </c>
      <c r="D3080" s="2">
        <v>990118320</v>
      </c>
      <c r="E3080" s="2">
        <v>103455</v>
      </c>
      <c r="F3080">
        <v>65</v>
      </c>
      <c r="G3080" s="2">
        <v>111217546</v>
      </c>
      <c r="H3080" s="2">
        <v>1477414</v>
      </c>
      <c r="I3080" s="2">
        <v>548222747</v>
      </c>
      <c r="J3080">
        <v>171</v>
      </c>
      <c r="K3080" s="2">
        <v>1138</v>
      </c>
      <c r="L3080">
        <v>1</v>
      </c>
      <c r="M3080" t="str">
        <f t="shared" si="48"/>
        <v>2010-2020</v>
      </c>
    </row>
    <row r="3081" spans="1:13" hidden="1">
      <c r="A3081" t="s">
        <v>4393</v>
      </c>
      <c r="B3081" t="s">
        <v>981</v>
      </c>
      <c r="C3081" s="1">
        <v>45169</v>
      </c>
      <c r="D3081" s="2">
        <v>53809529</v>
      </c>
      <c r="E3081" s="2">
        <v>11521</v>
      </c>
      <c r="G3081" s="2">
        <v>44666270</v>
      </c>
      <c r="H3081" s="2">
        <v>223727</v>
      </c>
      <c r="I3081" s="2">
        <v>327422042</v>
      </c>
      <c r="J3081">
        <v>19</v>
      </c>
      <c r="K3081">
        <v>35</v>
      </c>
      <c r="L3081">
        <v>0</v>
      </c>
      <c r="M3081" t="str">
        <f t="shared" si="48"/>
        <v>After 2020</v>
      </c>
    </row>
    <row r="3082" spans="1:13" hidden="1">
      <c r="A3082" t="s">
        <v>4394</v>
      </c>
      <c r="B3082" t="s">
        <v>4395</v>
      </c>
      <c r="C3082" s="1">
        <v>45299</v>
      </c>
      <c r="D3082" s="2">
        <v>84049041</v>
      </c>
      <c r="E3082" s="2">
        <v>3331</v>
      </c>
      <c r="G3082" s="2">
        <v>62697238</v>
      </c>
      <c r="H3082" s="2">
        <v>284847</v>
      </c>
      <c r="J3082">
        <v>2</v>
      </c>
      <c r="L3082">
        <v>0</v>
      </c>
      <c r="M3082" t="str">
        <f t="shared" si="48"/>
        <v>After 2020</v>
      </c>
    </row>
    <row r="3083" spans="1:13" hidden="1">
      <c r="A3083" t="s">
        <v>4396</v>
      </c>
      <c r="B3083" t="s">
        <v>141</v>
      </c>
      <c r="C3083" s="1">
        <v>44687</v>
      </c>
      <c r="D3083" s="2">
        <v>342075557</v>
      </c>
      <c r="E3083" s="2">
        <v>42659</v>
      </c>
      <c r="F3083">
        <v>68</v>
      </c>
      <c r="G3083" s="2">
        <v>128273450</v>
      </c>
      <c r="H3083" s="2">
        <v>963861</v>
      </c>
      <c r="I3083" s="2">
        <v>1873295908</v>
      </c>
      <c r="J3083">
        <v>8</v>
      </c>
      <c r="L3083">
        <v>0</v>
      </c>
      <c r="M3083" t="str">
        <f t="shared" si="48"/>
        <v>After 2020</v>
      </c>
    </row>
    <row r="3084" spans="1:13" hidden="1">
      <c r="A3084" t="s">
        <v>4397</v>
      </c>
      <c r="B3084" t="s">
        <v>633</v>
      </c>
      <c r="C3084" s="1">
        <v>43298</v>
      </c>
      <c r="D3084" s="2">
        <v>432365949</v>
      </c>
      <c r="E3084" s="2">
        <v>52014</v>
      </c>
      <c r="F3084">
        <v>66</v>
      </c>
      <c r="G3084" s="2">
        <v>754077455</v>
      </c>
      <c r="H3084" s="2">
        <v>3984464</v>
      </c>
      <c r="I3084" s="2">
        <v>34316786</v>
      </c>
      <c r="J3084">
        <v>23</v>
      </c>
      <c r="L3084">
        <v>0</v>
      </c>
      <c r="M3084" t="str">
        <f t="shared" si="48"/>
        <v>2010-2020</v>
      </c>
    </row>
    <row r="3085" spans="1:13" hidden="1">
      <c r="A3085" t="s">
        <v>4398</v>
      </c>
      <c r="B3085" t="s">
        <v>4399</v>
      </c>
      <c r="C3085" s="1">
        <v>43062</v>
      </c>
      <c r="D3085" s="2">
        <v>516198914</v>
      </c>
      <c r="E3085" s="2">
        <v>110117</v>
      </c>
      <c r="F3085">
        <v>68</v>
      </c>
      <c r="G3085" s="2">
        <v>524696228</v>
      </c>
      <c r="H3085" s="2">
        <v>8076809</v>
      </c>
      <c r="I3085" s="2">
        <v>1835649149</v>
      </c>
      <c r="J3085">
        <v>3</v>
      </c>
      <c r="L3085">
        <v>0</v>
      </c>
      <c r="M3085" t="str">
        <f t="shared" si="48"/>
        <v>2010-2020</v>
      </c>
    </row>
    <row r="3086" spans="1:13" hidden="1">
      <c r="A3086" t="s">
        <v>4400</v>
      </c>
      <c r="B3086" t="s">
        <v>2600</v>
      </c>
      <c r="C3086" s="1">
        <v>44596</v>
      </c>
      <c r="D3086" s="2">
        <v>142809304</v>
      </c>
      <c r="E3086" s="2">
        <v>56014</v>
      </c>
      <c r="F3086">
        <v>64</v>
      </c>
      <c r="G3086" s="2">
        <v>47750136</v>
      </c>
      <c r="H3086" s="2">
        <v>294089</v>
      </c>
      <c r="I3086" s="2">
        <v>16804128</v>
      </c>
      <c r="J3086">
        <v>19</v>
      </c>
      <c r="L3086">
        <v>0</v>
      </c>
      <c r="M3086" t="str">
        <f t="shared" si="48"/>
        <v>After 2020</v>
      </c>
    </row>
    <row r="3087" spans="1:13">
      <c r="A3087" t="s">
        <v>4401</v>
      </c>
      <c r="B3087" t="s">
        <v>4402</v>
      </c>
      <c r="C3087" s="1">
        <v>44778</v>
      </c>
      <c r="D3087" s="2">
        <v>127772228</v>
      </c>
      <c r="E3087" s="2">
        <v>46233</v>
      </c>
      <c r="F3087">
        <v>64</v>
      </c>
      <c r="G3087" s="2">
        <v>45629160</v>
      </c>
      <c r="H3087" s="2">
        <v>599488</v>
      </c>
      <c r="I3087" s="2">
        <v>79443024</v>
      </c>
      <c r="J3087">
        <v>14</v>
      </c>
      <c r="K3087">
        <v>329</v>
      </c>
      <c r="L3087">
        <v>0</v>
      </c>
      <c r="M3087" t="str">
        <f t="shared" si="48"/>
        <v>After 2020</v>
      </c>
    </row>
    <row r="3088" spans="1:13" hidden="1">
      <c r="A3088" t="s">
        <v>4403</v>
      </c>
      <c r="B3088" t="s">
        <v>4404</v>
      </c>
      <c r="C3088" s="1">
        <v>45450</v>
      </c>
      <c r="L3088">
        <v>0</v>
      </c>
      <c r="M3088" t="str">
        <f t="shared" si="48"/>
        <v>After 2020</v>
      </c>
    </row>
    <row r="3089" spans="1:13">
      <c r="A3089" t="s">
        <v>4405</v>
      </c>
      <c r="B3089" t="s">
        <v>892</v>
      </c>
      <c r="C3089" s="1">
        <v>40867</v>
      </c>
      <c r="D3089" s="2">
        <v>924784325</v>
      </c>
      <c r="E3089" s="2">
        <v>92551</v>
      </c>
      <c r="F3089">
        <v>70</v>
      </c>
      <c r="G3089" s="2">
        <v>1537848233</v>
      </c>
      <c r="H3089" s="2">
        <v>7268122</v>
      </c>
      <c r="I3089" s="2">
        <v>663268482</v>
      </c>
      <c r="J3089">
        <v>80</v>
      </c>
      <c r="K3089">
        <v>15</v>
      </c>
      <c r="L3089">
        <v>0</v>
      </c>
      <c r="M3089" t="str">
        <f t="shared" si="48"/>
        <v>2010-2020</v>
      </c>
    </row>
    <row r="3090" spans="1:13">
      <c r="A3090" t="s">
        <v>4406</v>
      </c>
      <c r="B3090" t="s">
        <v>574</v>
      </c>
      <c r="C3090" s="1">
        <v>44617</v>
      </c>
      <c r="D3090" s="2">
        <v>175043767</v>
      </c>
      <c r="E3090" s="2">
        <v>35769</v>
      </c>
      <c r="F3090">
        <v>59</v>
      </c>
      <c r="G3090" s="2">
        <v>115406648</v>
      </c>
      <c r="H3090" s="2">
        <v>1162510</v>
      </c>
      <c r="I3090" s="2">
        <v>131915166</v>
      </c>
      <c r="J3090">
        <v>22</v>
      </c>
      <c r="K3090">
        <v>322</v>
      </c>
      <c r="L3090">
        <v>1</v>
      </c>
      <c r="M3090" t="str">
        <f t="shared" si="48"/>
        <v>After 2020</v>
      </c>
    </row>
    <row r="3091" spans="1:13" hidden="1">
      <c r="A3091" t="s">
        <v>4407</v>
      </c>
      <c r="B3091" t="s">
        <v>1705</v>
      </c>
      <c r="C3091" s="1">
        <v>45428</v>
      </c>
      <c r="D3091" s="2">
        <v>13528794</v>
      </c>
      <c r="E3091">
        <v>949</v>
      </c>
      <c r="F3091">
        <v>72</v>
      </c>
      <c r="G3091" s="2">
        <v>9458897</v>
      </c>
      <c r="H3091" s="2">
        <v>170412</v>
      </c>
      <c r="J3091">
        <v>17</v>
      </c>
      <c r="K3091">
        <v>16</v>
      </c>
      <c r="L3091">
        <v>0</v>
      </c>
      <c r="M3091" t="str">
        <f t="shared" si="48"/>
        <v>After 2020</v>
      </c>
    </row>
    <row r="3092" spans="1:13" hidden="1">
      <c r="A3092" t="s">
        <v>4408</v>
      </c>
      <c r="B3092" t="s">
        <v>4409</v>
      </c>
      <c r="C3092" s="1">
        <v>45028</v>
      </c>
      <c r="D3092" s="2">
        <v>174154846</v>
      </c>
      <c r="E3092" s="2">
        <v>31199</v>
      </c>
      <c r="F3092">
        <v>14</v>
      </c>
      <c r="G3092" s="2">
        <v>152441</v>
      </c>
      <c r="H3092" s="2">
        <v>3007</v>
      </c>
      <c r="I3092" s="2">
        <v>2771</v>
      </c>
      <c r="J3092">
        <v>18</v>
      </c>
      <c r="L3092">
        <v>0</v>
      </c>
      <c r="M3092" t="str">
        <f t="shared" si="48"/>
        <v>After 2020</v>
      </c>
    </row>
    <row r="3093" spans="1:13" hidden="1">
      <c r="A3093" t="s">
        <v>4410</v>
      </c>
      <c r="B3093" t="s">
        <v>4411</v>
      </c>
      <c r="C3093" s="1">
        <v>44974</v>
      </c>
      <c r="D3093" s="2">
        <v>19938326</v>
      </c>
      <c r="E3093" s="2">
        <v>1442</v>
      </c>
      <c r="F3093">
        <v>51</v>
      </c>
      <c r="G3093" s="2">
        <v>277255089</v>
      </c>
      <c r="H3093" s="2">
        <v>1866540</v>
      </c>
      <c r="I3093" s="2">
        <v>77382</v>
      </c>
      <c r="L3093">
        <v>0</v>
      </c>
      <c r="M3093" t="str">
        <f t="shared" si="48"/>
        <v>After 2020</v>
      </c>
    </row>
    <row r="3094" spans="1:13" hidden="1">
      <c r="A3094" t="s">
        <v>4412</v>
      </c>
      <c r="B3094" t="s">
        <v>1320</v>
      </c>
      <c r="C3094" s="1">
        <v>45212</v>
      </c>
      <c r="D3094" s="2">
        <v>76642740</v>
      </c>
      <c r="E3094" s="2">
        <v>6264</v>
      </c>
      <c r="G3094" s="2">
        <v>100549018</v>
      </c>
      <c r="H3094" s="2">
        <v>1160121</v>
      </c>
      <c r="I3094" s="2">
        <v>111352056</v>
      </c>
      <c r="J3094">
        <v>7</v>
      </c>
      <c r="K3094">
        <v>31</v>
      </c>
      <c r="L3094">
        <v>0</v>
      </c>
      <c r="M3094" t="str">
        <f t="shared" si="48"/>
        <v>After 2020</v>
      </c>
    </row>
    <row r="3095" spans="1:13" hidden="1">
      <c r="A3095" t="s">
        <v>4413</v>
      </c>
      <c r="B3095" t="s">
        <v>4414</v>
      </c>
      <c r="C3095" s="1">
        <v>45380</v>
      </c>
      <c r="D3095" s="2">
        <v>49161062</v>
      </c>
      <c r="E3095" s="2">
        <v>3056</v>
      </c>
      <c r="F3095">
        <v>74</v>
      </c>
      <c r="G3095" s="2">
        <v>20068962</v>
      </c>
      <c r="H3095" s="2">
        <v>94182</v>
      </c>
      <c r="J3095">
        <v>6</v>
      </c>
      <c r="L3095">
        <v>0</v>
      </c>
      <c r="M3095" t="str">
        <f t="shared" si="48"/>
        <v>After 2020</v>
      </c>
    </row>
    <row r="3096" spans="1:13" hidden="1">
      <c r="A3096" t="s">
        <v>4415</v>
      </c>
      <c r="B3096" t="s">
        <v>4416</v>
      </c>
      <c r="C3096" s="1">
        <v>42736</v>
      </c>
      <c r="D3096" s="2">
        <v>22218209</v>
      </c>
      <c r="E3096" s="2">
        <v>7241</v>
      </c>
      <c r="F3096">
        <v>32</v>
      </c>
      <c r="G3096" s="2">
        <v>21093595</v>
      </c>
      <c r="H3096" s="2">
        <v>188510</v>
      </c>
      <c r="I3096" s="2">
        <v>4873210023</v>
      </c>
      <c r="J3096">
        <v>3</v>
      </c>
      <c r="L3096">
        <v>0</v>
      </c>
      <c r="M3096" t="str">
        <f t="shared" si="48"/>
        <v>2010-2020</v>
      </c>
    </row>
    <row r="3097" spans="1:13">
      <c r="A3097" t="s">
        <v>4417</v>
      </c>
      <c r="B3097" t="s">
        <v>4418</v>
      </c>
      <c r="C3097" s="1">
        <v>45257</v>
      </c>
      <c r="D3097" s="2">
        <v>43428134</v>
      </c>
      <c r="E3097" s="2">
        <v>4684</v>
      </c>
      <c r="F3097">
        <v>74</v>
      </c>
      <c r="G3097" s="2">
        <v>80614524</v>
      </c>
      <c r="H3097" s="2">
        <v>579330</v>
      </c>
      <c r="I3097" s="2">
        <v>76236081</v>
      </c>
      <c r="J3097">
        <v>8</v>
      </c>
      <c r="K3097">
        <v>11</v>
      </c>
      <c r="L3097">
        <v>0</v>
      </c>
      <c r="M3097" t="str">
        <f t="shared" si="48"/>
        <v>After 2020</v>
      </c>
    </row>
    <row r="3098" spans="1:13" hidden="1">
      <c r="A3098" t="s">
        <v>4072</v>
      </c>
      <c r="B3098" t="s">
        <v>4419</v>
      </c>
      <c r="C3098" s="1">
        <v>45363</v>
      </c>
      <c r="D3098" s="2">
        <v>3636983</v>
      </c>
      <c r="E3098">
        <v>776</v>
      </c>
      <c r="G3098" s="2">
        <v>39164465</v>
      </c>
      <c r="H3098" s="2">
        <v>229600</v>
      </c>
      <c r="I3098" s="2">
        <v>3865</v>
      </c>
      <c r="J3098">
        <v>14</v>
      </c>
      <c r="L3098">
        <v>0</v>
      </c>
      <c r="M3098" t="str">
        <f t="shared" si="48"/>
        <v>After 2020</v>
      </c>
    </row>
    <row r="3099" spans="1:13">
      <c r="A3099" t="s">
        <v>4420</v>
      </c>
      <c r="B3099" t="s">
        <v>4421</v>
      </c>
      <c r="C3099" s="1">
        <v>42314</v>
      </c>
      <c r="D3099" s="2">
        <v>384977271</v>
      </c>
      <c r="E3099" s="2">
        <v>71685</v>
      </c>
      <c r="F3099">
        <v>61</v>
      </c>
      <c r="G3099" s="2">
        <v>54470349</v>
      </c>
      <c r="H3099" s="2">
        <v>646820</v>
      </c>
      <c r="I3099" s="2">
        <v>129310076</v>
      </c>
      <c r="J3099">
        <v>46</v>
      </c>
      <c r="K3099">
        <v>28</v>
      </c>
      <c r="L3099">
        <v>1</v>
      </c>
      <c r="M3099" t="str">
        <f t="shared" si="48"/>
        <v>2010-2020</v>
      </c>
    </row>
    <row r="3100" spans="1:13" hidden="1">
      <c r="A3100" t="s">
        <v>4422</v>
      </c>
      <c r="B3100" t="s">
        <v>3651</v>
      </c>
      <c r="C3100" s="1">
        <v>44764</v>
      </c>
      <c r="D3100" s="2">
        <v>240912994</v>
      </c>
      <c r="E3100" s="2">
        <v>69587</v>
      </c>
      <c r="F3100">
        <v>70</v>
      </c>
      <c r="G3100" s="2">
        <v>12082132</v>
      </c>
      <c r="H3100" s="2">
        <v>177490</v>
      </c>
      <c r="J3100">
        <v>1</v>
      </c>
      <c r="L3100">
        <v>1</v>
      </c>
      <c r="M3100" t="str">
        <f t="shared" si="48"/>
        <v>After 2020</v>
      </c>
    </row>
    <row r="3101" spans="1:13" hidden="1">
      <c r="A3101" t="s">
        <v>4423</v>
      </c>
      <c r="B3101" t="s">
        <v>4424</v>
      </c>
      <c r="C3101" s="1">
        <v>45015</v>
      </c>
      <c r="D3101" s="2">
        <v>178044172</v>
      </c>
      <c r="E3101" s="2">
        <v>26553</v>
      </c>
      <c r="F3101">
        <v>66</v>
      </c>
      <c r="G3101" s="2">
        <v>104014904</v>
      </c>
      <c r="H3101" s="2">
        <v>542875</v>
      </c>
      <c r="I3101" s="2">
        <v>41424590</v>
      </c>
      <c r="J3101">
        <v>10</v>
      </c>
      <c r="L3101">
        <v>0</v>
      </c>
      <c r="M3101" t="str">
        <f t="shared" si="48"/>
        <v>After 2020</v>
      </c>
    </row>
    <row r="3102" spans="1:13">
      <c r="A3102" t="s">
        <v>4425</v>
      </c>
      <c r="B3102" t="s">
        <v>2377</v>
      </c>
      <c r="C3102" s="1">
        <v>45030</v>
      </c>
      <c r="D3102" s="2">
        <v>88138772</v>
      </c>
      <c r="E3102" s="2">
        <v>28324</v>
      </c>
      <c r="F3102">
        <v>60</v>
      </c>
      <c r="G3102" s="2">
        <v>11033927</v>
      </c>
      <c r="H3102" s="2">
        <v>210406</v>
      </c>
      <c r="I3102" s="2">
        <v>1170468833</v>
      </c>
      <c r="J3102">
        <v>11</v>
      </c>
      <c r="K3102">
        <v>438</v>
      </c>
      <c r="L3102">
        <v>1</v>
      </c>
      <c r="M3102" t="str">
        <f t="shared" si="48"/>
        <v>After 2020</v>
      </c>
    </row>
    <row r="3103" spans="1:13">
      <c r="A3103" t="s">
        <v>4426</v>
      </c>
      <c r="B3103" t="s">
        <v>4427</v>
      </c>
      <c r="C3103" s="1">
        <v>43658</v>
      </c>
      <c r="D3103" s="2">
        <v>153042459</v>
      </c>
      <c r="E3103" s="2">
        <v>29703</v>
      </c>
      <c r="F3103">
        <v>56</v>
      </c>
      <c r="G3103" s="2">
        <v>254751675</v>
      </c>
      <c r="H3103" s="2">
        <v>1876800</v>
      </c>
      <c r="I3103" s="2">
        <v>39684144</v>
      </c>
      <c r="J3103">
        <v>21</v>
      </c>
      <c r="K3103">
        <v>59</v>
      </c>
      <c r="L3103">
        <v>1</v>
      </c>
      <c r="M3103" t="str">
        <f t="shared" si="48"/>
        <v>2010-2020</v>
      </c>
    </row>
    <row r="3104" spans="1:13" hidden="1">
      <c r="A3104" t="s">
        <v>4428</v>
      </c>
      <c r="B3104" t="s">
        <v>318</v>
      </c>
      <c r="C3104" s="1">
        <v>45163</v>
      </c>
      <c r="D3104" s="2">
        <v>159880836</v>
      </c>
      <c r="E3104" s="2">
        <v>20120</v>
      </c>
      <c r="F3104">
        <v>74</v>
      </c>
      <c r="G3104" s="2">
        <v>4864924</v>
      </c>
      <c r="H3104" s="2">
        <v>23934</v>
      </c>
      <c r="I3104" s="2">
        <v>53019644</v>
      </c>
      <c r="J3104">
        <v>15</v>
      </c>
      <c r="L3104">
        <v>1</v>
      </c>
      <c r="M3104" t="str">
        <f t="shared" si="48"/>
        <v>After 2020</v>
      </c>
    </row>
    <row r="3105" spans="1:13">
      <c r="A3105" t="s">
        <v>4429</v>
      </c>
      <c r="B3105" t="s">
        <v>3123</v>
      </c>
      <c r="C3105" s="1">
        <v>45023</v>
      </c>
      <c r="D3105" s="2">
        <v>86574948</v>
      </c>
      <c r="E3105" s="2">
        <v>38354</v>
      </c>
      <c r="F3105">
        <v>61</v>
      </c>
      <c r="G3105" s="2">
        <v>39472824</v>
      </c>
      <c r="H3105" s="2">
        <v>473206</v>
      </c>
      <c r="I3105" s="2">
        <v>269475247</v>
      </c>
      <c r="J3105">
        <v>13</v>
      </c>
      <c r="K3105">
        <v>505</v>
      </c>
      <c r="L3105">
        <v>1</v>
      </c>
      <c r="M3105" t="str">
        <f t="shared" si="48"/>
        <v>After 2020</v>
      </c>
    </row>
    <row r="3106" spans="1:13" hidden="1">
      <c r="A3106" t="s">
        <v>4430</v>
      </c>
      <c r="B3106" t="s">
        <v>288</v>
      </c>
      <c r="C3106" s="1">
        <v>44211</v>
      </c>
      <c r="D3106" s="2">
        <v>235609054</v>
      </c>
      <c r="E3106" s="2">
        <v>72440</v>
      </c>
      <c r="F3106">
        <v>61</v>
      </c>
      <c r="G3106" s="2">
        <v>16271248</v>
      </c>
      <c r="H3106" s="2">
        <v>258435</v>
      </c>
      <c r="I3106" s="2">
        <v>25701260</v>
      </c>
      <c r="J3106">
        <v>46</v>
      </c>
      <c r="L3106">
        <v>1</v>
      </c>
      <c r="M3106" t="str">
        <f t="shared" si="48"/>
        <v>After 2020</v>
      </c>
    </row>
    <row r="3107" spans="1:13">
      <c r="A3107" t="s">
        <v>4431</v>
      </c>
      <c r="B3107" t="s">
        <v>4432</v>
      </c>
      <c r="C3107" s="1">
        <v>41876</v>
      </c>
      <c r="D3107" s="2">
        <v>394458820</v>
      </c>
      <c r="E3107" s="2">
        <v>62418</v>
      </c>
      <c r="F3107">
        <v>67</v>
      </c>
      <c r="G3107" s="2">
        <v>98862086</v>
      </c>
      <c r="H3107" s="2">
        <v>1030038</v>
      </c>
      <c r="I3107" s="2">
        <v>8421746009</v>
      </c>
      <c r="J3107">
        <v>12</v>
      </c>
      <c r="K3107">
        <v>16</v>
      </c>
      <c r="L3107">
        <v>1</v>
      </c>
      <c r="M3107" t="str">
        <f t="shared" si="48"/>
        <v>2010-2020</v>
      </c>
    </row>
    <row r="3108" spans="1:13" hidden="1">
      <c r="A3108" t="s">
        <v>4433</v>
      </c>
      <c r="B3108" t="s">
        <v>2493</v>
      </c>
      <c r="C3108" s="1">
        <v>45443</v>
      </c>
      <c r="D3108" s="2">
        <v>3884887</v>
      </c>
      <c r="E3108">
        <v>789</v>
      </c>
      <c r="G3108">
        <v>913</v>
      </c>
      <c r="H3108">
        <v>25</v>
      </c>
      <c r="I3108" s="2">
        <v>878600</v>
      </c>
      <c r="J3108">
        <v>13</v>
      </c>
      <c r="K3108">
        <v>1</v>
      </c>
      <c r="L3108">
        <v>1</v>
      </c>
      <c r="M3108" t="str">
        <f t="shared" si="48"/>
        <v>After 2020</v>
      </c>
    </row>
    <row r="3109" spans="1:13" hidden="1">
      <c r="A3109" t="s">
        <v>4434</v>
      </c>
      <c r="B3109" t="s">
        <v>4435</v>
      </c>
      <c r="C3109" s="1">
        <v>45423</v>
      </c>
      <c r="D3109" s="2">
        <v>5148212</v>
      </c>
      <c r="E3109">
        <v>132</v>
      </c>
      <c r="F3109">
        <v>62</v>
      </c>
      <c r="G3109" s="2">
        <v>17414927</v>
      </c>
      <c r="H3109" s="2">
        <v>85018</v>
      </c>
      <c r="J3109">
        <v>5</v>
      </c>
      <c r="L3109">
        <v>0</v>
      </c>
      <c r="M3109" t="str">
        <f t="shared" si="48"/>
        <v>After 2020</v>
      </c>
    </row>
    <row r="3110" spans="1:13">
      <c r="A3110" t="s">
        <v>4436</v>
      </c>
      <c r="B3110" t="s">
        <v>3099</v>
      </c>
      <c r="C3110" s="1">
        <v>45345</v>
      </c>
      <c r="D3110" s="2">
        <v>41953270</v>
      </c>
      <c r="E3110" s="2">
        <v>5213</v>
      </c>
      <c r="F3110">
        <v>27</v>
      </c>
      <c r="G3110" s="2">
        <v>7636074</v>
      </c>
      <c r="H3110" s="2">
        <v>62806</v>
      </c>
      <c r="I3110" s="2">
        <v>4502124</v>
      </c>
      <c r="J3110">
        <v>8</v>
      </c>
      <c r="K3110">
        <v>53</v>
      </c>
      <c r="L3110">
        <v>0</v>
      </c>
      <c r="M3110" t="str">
        <f t="shared" si="48"/>
        <v>After 2020</v>
      </c>
    </row>
    <row r="3111" spans="1:13" hidden="1">
      <c r="A3111" t="s">
        <v>4437</v>
      </c>
      <c r="B3111" t="s">
        <v>4438</v>
      </c>
      <c r="C3111" s="1">
        <v>45406</v>
      </c>
      <c r="D3111" s="2">
        <v>13407929</v>
      </c>
      <c r="E3111">
        <v>208</v>
      </c>
      <c r="F3111">
        <v>69</v>
      </c>
      <c r="G3111" s="2">
        <v>26313692</v>
      </c>
      <c r="H3111" s="2">
        <v>118371</v>
      </c>
      <c r="J3111">
        <v>6</v>
      </c>
      <c r="L3111">
        <v>0</v>
      </c>
      <c r="M3111" t="str">
        <f t="shared" si="48"/>
        <v>After 2020</v>
      </c>
    </row>
    <row r="3112" spans="1:13" hidden="1">
      <c r="A3112" t="s">
        <v>4439</v>
      </c>
      <c r="B3112" t="s">
        <v>592</v>
      </c>
      <c r="C3112" s="1">
        <v>44854</v>
      </c>
      <c r="D3112" s="2">
        <v>43407503</v>
      </c>
      <c r="E3112" s="2">
        <v>1590</v>
      </c>
      <c r="F3112">
        <v>22</v>
      </c>
      <c r="G3112" s="2">
        <v>100299695</v>
      </c>
      <c r="H3112" s="2">
        <v>476630</v>
      </c>
      <c r="I3112" s="2">
        <v>1042434233</v>
      </c>
      <c r="L3112">
        <v>0</v>
      </c>
      <c r="M3112" t="str">
        <f t="shared" si="48"/>
        <v>After 2020</v>
      </c>
    </row>
    <row r="3113" spans="1:13">
      <c r="A3113" t="s">
        <v>4440</v>
      </c>
      <c r="B3113" t="s">
        <v>141</v>
      </c>
      <c r="C3113" s="1">
        <v>43890</v>
      </c>
      <c r="D3113" s="2">
        <v>718032755</v>
      </c>
      <c r="E3113" s="2">
        <v>88205</v>
      </c>
      <c r="F3113">
        <v>68</v>
      </c>
      <c r="G3113" s="2">
        <v>304269630</v>
      </c>
      <c r="H3113" s="2">
        <v>2445183</v>
      </c>
      <c r="I3113" s="2">
        <v>59989029</v>
      </c>
      <c r="J3113">
        <v>75</v>
      </c>
      <c r="K3113">
        <v>157</v>
      </c>
      <c r="L3113">
        <v>1</v>
      </c>
      <c r="M3113" t="str">
        <f t="shared" si="48"/>
        <v>2010-2020</v>
      </c>
    </row>
    <row r="3114" spans="1:13">
      <c r="A3114" t="s">
        <v>4441</v>
      </c>
      <c r="B3114" t="s">
        <v>141</v>
      </c>
      <c r="C3114" s="1">
        <v>44162</v>
      </c>
      <c r="D3114" s="2">
        <v>717202437</v>
      </c>
      <c r="E3114" s="2">
        <v>80289</v>
      </c>
      <c r="F3114">
        <v>71</v>
      </c>
      <c r="G3114" s="2">
        <v>213527195</v>
      </c>
      <c r="H3114" s="2">
        <v>1587764</v>
      </c>
      <c r="I3114" s="2">
        <v>253170602</v>
      </c>
      <c r="J3114">
        <v>57</v>
      </c>
      <c r="K3114">
        <v>249</v>
      </c>
      <c r="L3114">
        <v>1</v>
      </c>
      <c r="M3114" t="str">
        <f t="shared" si="48"/>
        <v>2010-2020</v>
      </c>
    </row>
    <row r="3115" spans="1:13">
      <c r="A3115" t="s">
        <v>4442</v>
      </c>
      <c r="B3115" t="s">
        <v>449</v>
      </c>
      <c r="C3115" s="1">
        <v>44659</v>
      </c>
      <c r="D3115" s="2">
        <v>121466936</v>
      </c>
      <c r="E3115" s="2">
        <v>55063</v>
      </c>
      <c r="F3115">
        <v>58</v>
      </c>
      <c r="G3115" s="2">
        <v>124159378</v>
      </c>
      <c r="H3115" s="2">
        <v>927806</v>
      </c>
      <c r="I3115" s="2">
        <v>46858425</v>
      </c>
      <c r="J3115">
        <v>34</v>
      </c>
      <c r="K3115">
        <v>183</v>
      </c>
      <c r="L3115">
        <v>1</v>
      </c>
      <c r="M3115" t="str">
        <f t="shared" si="48"/>
        <v>After 2020</v>
      </c>
    </row>
    <row r="3116" spans="1:13" hidden="1">
      <c r="A3116" t="s">
        <v>4443</v>
      </c>
      <c r="B3116" t="s">
        <v>462</v>
      </c>
      <c r="C3116" s="1">
        <v>44876</v>
      </c>
      <c r="D3116" s="2">
        <v>19182347</v>
      </c>
      <c r="E3116" s="2">
        <v>11089</v>
      </c>
      <c r="F3116">
        <v>50</v>
      </c>
      <c r="G3116" s="2">
        <v>280395336</v>
      </c>
      <c r="H3116" s="2">
        <v>3005798</v>
      </c>
      <c r="J3116">
        <v>1</v>
      </c>
      <c r="L3116">
        <v>1</v>
      </c>
      <c r="M3116" t="str">
        <f t="shared" si="48"/>
        <v>After 2020</v>
      </c>
    </row>
    <row r="3117" spans="1:13">
      <c r="A3117" t="s">
        <v>4444</v>
      </c>
      <c r="B3117" t="s">
        <v>631</v>
      </c>
      <c r="C3117" s="1">
        <v>41640</v>
      </c>
      <c r="D3117" s="2">
        <v>934248345</v>
      </c>
      <c r="E3117" s="2">
        <v>132560</v>
      </c>
      <c r="F3117">
        <v>73</v>
      </c>
      <c r="G3117" s="2">
        <v>875518093</v>
      </c>
      <c r="H3117" s="2">
        <v>3588736</v>
      </c>
      <c r="I3117" s="2">
        <v>98339758</v>
      </c>
      <c r="J3117">
        <v>90</v>
      </c>
      <c r="K3117">
        <v>37</v>
      </c>
      <c r="L3117">
        <v>0</v>
      </c>
      <c r="M3117" t="str">
        <f t="shared" si="48"/>
        <v>2010-2020</v>
      </c>
    </row>
    <row r="3118" spans="1:13">
      <c r="A3118" t="s">
        <v>4445</v>
      </c>
      <c r="B3118" t="s">
        <v>4021</v>
      </c>
      <c r="C3118" s="1">
        <v>39392</v>
      </c>
      <c r="D3118" s="2">
        <v>1057114779</v>
      </c>
      <c r="E3118" s="2">
        <v>244989</v>
      </c>
      <c r="F3118">
        <v>76</v>
      </c>
      <c r="G3118" s="2">
        <v>519089248</v>
      </c>
      <c r="H3118" s="2">
        <v>3897751</v>
      </c>
      <c r="I3118" s="2">
        <v>2202590339</v>
      </c>
      <c r="J3118">
        <v>115</v>
      </c>
      <c r="K3118">
        <v>208</v>
      </c>
      <c r="L3118">
        <v>0</v>
      </c>
      <c r="M3118" t="str">
        <f t="shared" si="48"/>
        <v>Before 2010</v>
      </c>
    </row>
    <row r="3119" spans="1:13" hidden="1">
      <c r="A3119" t="s">
        <v>4446</v>
      </c>
      <c r="B3119" t="s">
        <v>4447</v>
      </c>
      <c r="C3119" s="1">
        <v>44908</v>
      </c>
      <c r="D3119" s="2">
        <v>2375</v>
      </c>
      <c r="E3119">
        <v>4</v>
      </c>
      <c r="F3119">
        <v>2</v>
      </c>
      <c r="G3119" s="2">
        <v>341933075</v>
      </c>
      <c r="H3119" s="2">
        <v>2997158</v>
      </c>
      <c r="L3119">
        <v>0</v>
      </c>
      <c r="M3119" t="str">
        <f t="shared" si="48"/>
        <v>After 2020</v>
      </c>
    </row>
    <row r="3120" spans="1:13">
      <c r="A3120" t="s">
        <v>4448</v>
      </c>
      <c r="B3120" t="s">
        <v>1932</v>
      </c>
      <c r="C3120" s="1">
        <v>44294</v>
      </c>
      <c r="D3120" s="2">
        <v>235729934</v>
      </c>
      <c r="E3120" s="2">
        <v>64455</v>
      </c>
      <c r="F3120">
        <v>67</v>
      </c>
      <c r="G3120" s="2">
        <v>50135254</v>
      </c>
      <c r="H3120" s="2">
        <v>444622</v>
      </c>
      <c r="I3120" s="2">
        <v>2710660328</v>
      </c>
      <c r="J3120">
        <v>17</v>
      </c>
      <c r="K3120">
        <v>28</v>
      </c>
      <c r="L3120">
        <v>1</v>
      </c>
      <c r="M3120" t="str">
        <f t="shared" si="48"/>
        <v>After 2020</v>
      </c>
    </row>
    <row r="3121" spans="1:13">
      <c r="A3121" t="s">
        <v>4449</v>
      </c>
      <c r="B3121" t="s">
        <v>260</v>
      </c>
      <c r="C3121" s="1">
        <v>42495</v>
      </c>
      <c r="D3121" s="2">
        <v>486842946</v>
      </c>
      <c r="E3121" s="2">
        <v>65826</v>
      </c>
      <c r="F3121">
        <v>67</v>
      </c>
      <c r="G3121" s="2">
        <v>93314560</v>
      </c>
      <c r="H3121" s="2">
        <v>723960</v>
      </c>
      <c r="I3121" s="2">
        <v>1329533689</v>
      </c>
      <c r="J3121">
        <v>66</v>
      </c>
      <c r="K3121">
        <v>51</v>
      </c>
      <c r="L3121">
        <v>0</v>
      </c>
      <c r="M3121" t="str">
        <f t="shared" si="48"/>
        <v>2010-2020</v>
      </c>
    </row>
    <row r="3122" spans="1:13" hidden="1">
      <c r="A3122" t="s">
        <v>4450</v>
      </c>
      <c r="B3122" t="s">
        <v>976</v>
      </c>
      <c r="C3122" s="1">
        <v>44971</v>
      </c>
      <c r="D3122" s="2">
        <v>15832405</v>
      </c>
      <c r="E3122" s="2">
        <v>2361</v>
      </c>
      <c r="F3122">
        <v>51</v>
      </c>
      <c r="G3122" s="2">
        <v>68240319</v>
      </c>
      <c r="H3122" s="2">
        <v>287155</v>
      </c>
      <c r="I3122" s="2">
        <v>515579710</v>
      </c>
      <c r="J3122">
        <v>2</v>
      </c>
      <c r="L3122">
        <v>0</v>
      </c>
      <c r="M3122" t="str">
        <f t="shared" si="48"/>
        <v>After 2020</v>
      </c>
    </row>
    <row r="3123" spans="1:13" hidden="1">
      <c r="A3123" t="s">
        <v>4451</v>
      </c>
      <c r="B3123" t="s">
        <v>1641</v>
      </c>
      <c r="C3123" s="1">
        <v>45166</v>
      </c>
      <c r="D3123" s="2">
        <v>170061927</v>
      </c>
      <c r="E3123" s="2">
        <v>25409</v>
      </c>
      <c r="G3123" s="2">
        <v>16584925</v>
      </c>
      <c r="H3123" s="2">
        <v>164836</v>
      </c>
      <c r="I3123" s="2">
        <v>38178869</v>
      </c>
      <c r="J3123">
        <v>17</v>
      </c>
      <c r="L3123">
        <v>0</v>
      </c>
      <c r="M3123" t="str">
        <f t="shared" si="48"/>
        <v>After 2020</v>
      </c>
    </row>
    <row r="3124" spans="1:13" hidden="1">
      <c r="A3124" t="s">
        <v>4452</v>
      </c>
      <c r="B3124" t="s">
        <v>4453</v>
      </c>
      <c r="C3124" s="1">
        <v>45203</v>
      </c>
      <c r="D3124" s="2">
        <v>76033359</v>
      </c>
      <c r="E3124" s="2">
        <v>12861</v>
      </c>
      <c r="G3124" s="2">
        <v>31829453</v>
      </c>
      <c r="H3124" s="2">
        <v>822171</v>
      </c>
      <c r="I3124" s="2">
        <v>1172424744</v>
      </c>
      <c r="J3124">
        <v>8</v>
      </c>
      <c r="K3124">
        <v>7</v>
      </c>
      <c r="L3124">
        <v>0</v>
      </c>
      <c r="M3124" t="str">
        <f t="shared" si="48"/>
        <v>After 2020</v>
      </c>
    </row>
    <row r="3125" spans="1:13" hidden="1">
      <c r="A3125" t="s">
        <v>4454</v>
      </c>
      <c r="B3125" t="s">
        <v>4455</v>
      </c>
      <c r="C3125" s="1">
        <v>45380</v>
      </c>
      <c r="D3125" s="2">
        <v>33733960</v>
      </c>
      <c r="E3125" s="2">
        <v>3360</v>
      </c>
      <c r="G3125" s="2">
        <v>3422164</v>
      </c>
      <c r="H3125" s="2">
        <v>40432</v>
      </c>
      <c r="J3125">
        <v>6</v>
      </c>
      <c r="K3125">
        <v>82</v>
      </c>
      <c r="L3125">
        <v>0</v>
      </c>
      <c r="M3125" t="str">
        <f t="shared" si="48"/>
        <v>After 2020</v>
      </c>
    </row>
    <row r="3126" spans="1:13" hidden="1">
      <c r="A3126" t="s">
        <v>4456</v>
      </c>
      <c r="B3126" t="s">
        <v>4457</v>
      </c>
      <c r="C3126" s="1">
        <v>44988</v>
      </c>
      <c r="D3126" s="2">
        <v>8104</v>
      </c>
      <c r="E3126">
        <v>15</v>
      </c>
      <c r="F3126">
        <v>2</v>
      </c>
      <c r="G3126" s="2">
        <v>270595775</v>
      </c>
      <c r="H3126" s="2">
        <v>379224</v>
      </c>
      <c r="L3126">
        <v>0</v>
      </c>
      <c r="M3126" t="str">
        <f t="shared" si="48"/>
        <v>After 2020</v>
      </c>
    </row>
    <row r="3127" spans="1:13" hidden="1">
      <c r="A3127" t="s">
        <v>4458</v>
      </c>
      <c r="B3127" t="s">
        <v>295</v>
      </c>
      <c r="C3127" s="1">
        <v>44729</v>
      </c>
      <c r="D3127" s="2">
        <v>971473231</v>
      </c>
      <c r="E3127" s="2">
        <v>8682</v>
      </c>
      <c r="F3127">
        <v>48</v>
      </c>
      <c r="G3127" s="2">
        <v>66659649</v>
      </c>
      <c r="H3127" s="2">
        <v>434146</v>
      </c>
      <c r="J3127">
        <v>30</v>
      </c>
      <c r="L3127">
        <v>0</v>
      </c>
      <c r="M3127" t="str">
        <f t="shared" si="48"/>
        <v>After 2020</v>
      </c>
    </row>
    <row r="3128" spans="1:13" hidden="1">
      <c r="A3128" t="s">
        <v>4459</v>
      </c>
      <c r="B3128" t="s">
        <v>4460</v>
      </c>
      <c r="C3128" s="1">
        <v>45037</v>
      </c>
      <c r="D3128" s="2">
        <v>15579</v>
      </c>
      <c r="E3128">
        <v>55</v>
      </c>
      <c r="F3128">
        <v>10</v>
      </c>
      <c r="G3128" s="2">
        <v>244394638</v>
      </c>
      <c r="H3128" s="2">
        <v>4972045</v>
      </c>
      <c r="L3128">
        <v>0</v>
      </c>
      <c r="M3128" t="str">
        <f t="shared" si="48"/>
        <v>After 2020</v>
      </c>
    </row>
    <row r="3129" spans="1:13">
      <c r="A3129" t="s">
        <v>4461</v>
      </c>
      <c r="B3129" t="s">
        <v>4462</v>
      </c>
      <c r="C3129" s="1">
        <v>43271</v>
      </c>
      <c r="D3129" s="2">
        <v>374553396</v>
      </c>
      <c r="E3129" s="2">
        <v>66679</v>
      </c>
      <c r="F3129">
        <v>13</v>
      </c>
      <c r="G3129" s="2">
        <v>406426712</v>
      </c>
      <c r="H3129" s="2">
        <v>4151817</v>
      </c>
      <c r="I3129" s="2">
        <v>578801821</v>
      </c>
      <c r="J3129">
        <v>26</v>
      </c>
      <c r="K3129">
        <v>4</v>
      </c>
      <c r="L3129">
        <v>1</v>
      </c>
      <c r="M3129" t="str">
        <f t="shared" si="48"/>
        <v>2010-2020</v>
      </c>
    </row>
    <row r="3130" spans="1:13" hidden="1">
      <c r="A3130" t="s">
        <v>4463</v>
      </c>
      <c r="B3130" t="s">
        <v>4464</v>
      </c>
      <c r="C3130" s="1">
        <v>43783</v>
      </c>
      <c r="D3130" s="2">
        <v>693675</v>
      </c>
      <c r="E3130">
        <v>146</v>
      </c>
      <c r="F3130">
        <v>23</v>
      </c>
      <c r="G3130" s="2">
        <v>943370184</v>
      </c>
      <c r="H3130" s="2">
        <v>4708766</v>
      </c>
      <c r="I3130" s="2">
        <v>23009253</v>
      </c>
      <c r="L3130">
        <v>0</v>
      </c>
      <c r="M3130" t="str">
        <f t="shared" si="48"/>
        <v>2010-2020</v>
      </c>
    </row>
    <row r="3131" spans="1:13" hidden="1">
      <c r="A3131" t="s">
        <v>4465</v>
      </c>
      <c r="B3131" t="s">
        <v>245</v>
      </c>
      <c r="C3131" s="1">
        <v>45394</v>
      </c>
      <c r="D3131" s="2">
        <v>34203987</v>
      </c>
      <c r="E3131" s="2">
        <v>2978</v>
      </c>
      <c r="J3131">
        <v>32</v>
      </c>
      <c r="L3131">
        <v>0</v>
      </c>
      <c r="M3131" t="str">
        <f t="shared" si="48"/>
        <v>After 2020</v>
      </c>
    </row>
    <row r="3132" spans="1:13">
      <c r="A3132" t="s">
        <v>4466</v>
      </c>
      <c r="B3132" t="s">
        <v>4467</v>
      </c>
      <c r="C3132" s="1">
        <v>45114</v>
      </c>
      <c r="D3132" s="2">
        <v>86564714</v>
      </c>
      <c r="E3132" s="2">
        <v>20203</v>
      </c>
      <c r="F3132">
        <v>71</v>
      </c>
      <c r="G3132" s="2">
        <v>7626020</v>
      </c>
      <c r="H3132" s="2">
        <v>64694</v>
      </c>
      <c r="I3132" s="2">
        <v>2191926</v>
      </c>
      <c r="J3132">
        <v>43</v>
      </c>
      <c r="K3132">
        <v>24</v>
      </c>
      <c r="L3132">
        <v>0</v>
      </c>
      <c r="M3132" t="str">
        <f t="shared" si="48"/>
        <v>After 2020</v>
      </c>
    </row>
    <row r="3133" spans="1:13" hidden="1">
      <c r="A3133" t="s">
        <v>4468</v>
      </c>
      <c r="B3133" t="s">
        <v>4469</v>
      </c>
      <c r="C3133" s="1">
        <v>44979</v>
      </c>
      <c r="D3133" s="2">
        <v>2814</v>
      </c>
      <c r="E3133">
        <v>3</v>
      </c>
      <c r="G3133" s="2">
        <v>291721339</v>
      </c>
      <c r="H3133" s="2">
        <v>1078955</v>
      </c>
      <c r="L3133">
        <v>0</v>
      </c>
      <c r="M3133" t="str">
        <f t="shared" si="48"/>
        <v>After 2020</v>
      </c>
    </row>
    <row r="3134" spans="1:13">
      <c r="A3134" t="s">
        <v>4470</v>
      </c>
      <c r="B3134" t="s">
        <v>449</v>
      </c>
      <c r="C3134" s="1">
        <v>43889</v>
      </c>
      <c r="D3134" s="2">
        <v>254130819</v>
      </c>
      <c r="E3134" s="2">
        <v>82768</v>
      </c>
      <c r="F3134">
        <v>56</v>
      </c>
      <c r="G3134" s="2">
        <v>268797796</v>
      </c>
      <c r="H3134" s="2">
        <v>3273095</v>
      </c>
      <c r="I3134" s="2">
        <v>106366054</v>
      </c>
      <c r="J3134">
        <v>54</v>
      </c>
      <c r="K3134">
        <v>95</v>
      </c>
      <c r="L3134">
        <v>1</v>
      </c>
      <c r="M3134" t="str">
        <f t="shared" si="48"/>
        <v>2010-2020</v>
      </c>
    </row>
    <row r="3135" spans="1:13">
      <c r="A3135" t="s">
        <v>4471</v>
      </c>
      <c r="B3135" t="s">
        <v>787</v>
      </c>
      <c r="C3135" s="1">
        <v>44722</v>
      </c>
      <c r="D3135" s="2">
        <v>172589732</v>
      </c>
      <c r="E3135" s="2">
        <v>67514</v>
      </c>
      <c r="F3135">
        <v>61</v>
      </c>
      <c r="G3135" s="2">
        <v>21990862</v>
      </c>
      <c r="H3135" s="2">
        <v>343936</v>
      </c>
      <c r="I3135" s="2">
        <v>338747583</v>
      </c>
      <c r="J3135">
        <v>21</v>
      </c>
      <c r="K3135">
        <v>4</v>
      </c>
      <c r="L3135">
        <v>1</v>
      </c>
      <c r="M3135" t="str">
        <f t="shared" si="48"/>
        <v>After 2020</v>
      </c>
    </row>
    <row r="3136" spans="1:13">
      <c r="A3136" t="s">
        <v>4472</v>
      </c>
      <c r="B3136" t="s">
        <v>1857</v>
      </c>
      <c r="C3136" s="1">
        <v>44437</v>
      </c>
      <c r="D3136" s="2">
        <v>266927787</v>
      </c>
      <c r="E3136" s="2">
        <v>105664</v>
      </c>
      <c r="F3136">
        <v>62</v>
      </c>
      <c r="G3136" s="2">
        <v>39769157</v>
      </c>
      <c r="H3136" s="2">
        <v>574676</v>
      </c>
      <c r="I3136" s="2">
        <v>93786735</v>
      </c>
      <c r="J3136">
        <v>27</v>
      </c>
      <c r="K3136">
        <v>74</v>
      </c>
      <c r="L3136">
        <v>0</v>
      </c>
      <c r="M3136" t="str">
        <f t="shared" si="48"/>
        <v>After 2020</v>
      </c>
    </row>
    <row r="3137" spans="1:13" hidden="1">
      <c r="A3137" t="s">
        <v>4473</v>
      </c>
      <c r="B3137" t="s">
        <v>4474</v>
      </c>
      <c r="C3137" s="1">
        <v>45029</v>
      </c>
      <c r="D3137" s="2">
        <v>153105498</v>
      </c>
      <c r="E3137" s="2">
        <v>29888</v>
      </c>
      <c r="F3137">
        <v>63</v>
      </c>
      <c r="G3137" s="2">
        <v>47288100</v>
      </c>
      <c r="H3137" s="2">
        <v>290046</v>
      </c>
      <c r="I3137" s="2">
        <v>286515216</v>
      </c>
      <c r="J3137">
        <v>31</v>
      </c>
      <c r="L3137">
        <v>0</v>
      </c>
      <c r="M3137" t="str">
        <f t="shared" si="48"/>
        <v>After 2020</v>
      </c>
    </row>
    <row r="3138" spans="1:13">
      <c r="A3138" t="s">
        <v>4475</v>
      </c>
      <c r="B3138" t="s">
        <v>4476</v>
      </c>
      <c r="C3138" s="1">
        <v>39448</v>
      </c>
      <c r="D3138" s="2">
        <v>1427050913</v>
      </c>
      <c r="E3138" s="2">
        <v>265075</v>
      </c>
      <c r="F3138">
        <v>79</v>
      </c>
      <c r="G3138" s="2">
        <v>683904891</v>
      </c>
      <c r="H3138" s="2">
        <v>3402940</v>
      </c>
      <c r="I3138" s="2">
        <v>391021166</v>
      </c>
      <c r="J3138">
        <v>205</v>
      </c>
      <c r="K3138">
        <v>144</v>
      </c>
      <c r="L3138">
        <v>0</v>
      </c>
      <c r="M3138" t="str">
        <f t="shared" si="48"/>
        <v>Before 2010</v>
      </c>
    </row>
    <row r="3139" spans="1:13" hidden="1">
      <c r="A3139" t="s">
        <v>4477</v>
      </c>
      <c r="B3139" t="s">
        <v>4478</v>
      </c>
      <c r="C3139" s="1">
        <v>45013</v>
      </c>
      <c r="E3139">
        <v>5</v>
      </c>
      <c r="G3139" s="2">
        <v>274862350</v>
      </c>
      <c r="H3139" s="2">
        <v>604907</v>
      </c>
      <c r="L3139">
        <v>1</v>
      </c>
      <c r="M3139" t="str">
        <f t="shared" ref="M3139:M3202" si="49">IF(YEAR(C3139)&lt;2010,"Before 2010",IF(YEAR(C3139)&lt;=2020,"2010-2020","After 2020"))</f>
        <v>After 2020</v>
      </c>
    </row>
    <row r="3140" spans="1:13">
      <c r="A3140" t="s">
        <v>4479</v>
      </c>
      <c r="B3140" t="s">
        <v>4480</v>
      </c>
      <c r="C3140" s="1">
        <v>40900</v>
      </c>
      <c r="D3140" s="2">
        <v>474420154</v>
      </c>
      <c r="E3140" s="2">
        <v>97650</v>
      </c>
      <c r="F3140">
        <v>64</v>
      </c>
      <c r="G3140" s="2">
        <v>1122789221</v>
      </c>
      <c r="H3140" s="2">
        <v>8747570</v>
      </c>
      <c r="I3140" s="2">
        <v>1383691192</v>
      </c>
      <c r="J3140">
        <v>89</v>
      </c>
      <c r="K3140">
        <v>24</v>
      </c>
      <c r="L3140">
        <v>1</v>
      </c>
      <c r="M3140" t="str">
        <f t="shared" si="49"/>
        <v>2010-2020</v>
      </c>
    </row>
    <row r="3141" spans="1:13" hidden="1">
      <c r="A3141" t="s">
        <v>4481</v>
      </c>
      <c r="B3141" t="s">
        <v>3123</v>
      </c>
      <c r="C3141" s="1">
        <v>45324</v>
      </c>
      <c r="D3141" s="2">
        <v>56789868</v>
      </c>
      <c r="E3141" s="2">
        <v>12822</v>
      </c>
      <c r="G3141" s="2">
        <v>1611737</v>
      </c>
      <c r="H3141" s="2">
        <v>30207</v>
      </c>
      <c r="J3141">
        <v>9</v>
      </c>
      <c r="K3141">
        <v>211</v>
      </c>
      <c r="L3141">
        <v>1</v>
      </c>
      <c r="M3141" t="str">
        <f t="shared" si="49"/>
        <v>After 2020</v>
      </c>
    </row>
    <row r="3142" spans="1:13" hidden="1">
      <c r="A3142" t="s">
        <v>4482</v>
      </c>
      <c r="B3142" t="s">
        <v>129</v>
      </c>
      <c r="C3142" s="1">
        <v>44897</v>
      </c>
      <c r="D3142" s="2">
        <v>197477305</v>
      </c>
      <c r="E3142" s="2">
        <v>62497</v>
      </c>
      <c r="F3142">
        <v>68</v>
      </c>
      <c r="G3142" s="2">
        <v>187253</v>
      </c>
      <c r="H3142" s="2">
        <v>3826</v>
      </c>
      <c r="I3142" s="2">
        <v>19317127</v>
      </c>
      <c r="J3142">
        <v>6</v>
      </c>
      <c r="L3142">
        <v>1</v>
      </c>
      <c r="M3142" t="str">
        <f t="shared" si="49"/>
        <v>After 2020</v>
      </c>
    </row>
    <row r="3143" spans="1:13" hidden="1">
      <c r="A3143" t="s">
        <v>4483</v>
      </c>
      <c r="B3143" t="s">
        <v>4484</v>
      </c>
      <c r="C3143" s="1">
        <v>44820</v>
      </c>
      <c r="D3143" s="2">
        <v>546633</v>
      </c>
      <c r="E3143">
        <v>253</v>
      </c>
      <c r="F3143">
        <v>28</v>
      </c>
      <c r="G3143" s="2">
        <v>98636</v>
      </c>
      <c r="H3143" s="2">
        <v>1771</v>
      </c>
      <c r="I3143" s="2">
        <v>276763604</v>
      </c>
      <c r="L3143">
        <v>1</v>
      </c>
      <c r="M3143" t="str">
        <f t="shared" si="49"/>
        <v>After 2020</v>
      </c>
    </row>
    <row r="3144" spans="1:13" hidden="1">
      <c r="A3144" t="s">
        <v>4485</v>
      </c>
      <c r="B3144" t="s">
        <v>444</v>
      </c>
      <c r="C3144" s="1">
        <v>45435</v>
      </c>
      <c r="D3144" s="2">
        <v>10100645</v>
      </c>
      <c r="E3144" s="2">
        <v>1174</v>
      </c>
      <c r="G3144" s="2">
        <v>5360562</v>
      </c>
      <c r="H3144" s="2">
        <v>111835</v>
      </c>
      <c r="J3144">
        <v>50</v>
      </c>
      <c r="K3144">
        <v>4</v>
      </c>
      <c r="L3144">
        <v>0</v>
      </c>
      <c r="M3144" t="str">
        <f t="shared" si="49"/>
        <v>After 2020</v>
      </c>
    </row>
    <row r="3145" spans="1:13">
      <c r="A3145" t="s">
        <v>4486</v>
      </c>
      <c r="B3145" t="s">
        <v>631</v>
      </c>
      <c r="C3145" s="1">
        <v>43476</v>
      </c>
      <c r="D3145" s="2">
        <v>670319557</v>
      </c>
      <c r="E3145" s="2">
        <v>100046</v>
      </c>
      <c r="F3145">
        <v>65</v>
      </c>
      <c r="G3145" s="2">
        <v>432616080</v>
      </c>
      <c r="H3145" s="2">
        <v>2355880</v>
      </c>
      <c r="I3145" s="2">
        <v>29055589</v>
      </c>
      <c r="J3145">
        <v>135</v>
      </c>
      <c r="K3145">
        <v>11</v>
      </c>
      <c r="L3145">
        <v>0</v>
      </c>
      <c r="M3145" t="str">
        <f t="shared" si="49"/>
        <v>2010-2020</v>
      </c>
    </row>
    <row r="3146" spans="1:13">
      <c r="A3146" t="s">
        <v>4487</v>
      </c>
      <c r="B3146" t="s">
        <v>1008</v>
      </c>
      <c r="C3146" s="1">
        <v>43999</v>
      </c>
      <c r="D3146" s="2">
        <v>243703179</v>
      </c>
      <c r="E3146" s="2">
        <v>39210</v>
      </c>
      <c r="F3146">
        <v>60</v>
      </c>
      <c r="G3146" s="2">
        <v>134077658</v>
      </c>
      <c r="H3146" s="2">
        <v>1546430</v>
      </c>
      <c r="I3146" s="2">
        <v>2416911466</v>
      </c>
      <c r="J3146">
        <v>73</v>
      </c>
      <c r="K3146">
        <v>648</v>
      </c>
      <c r="L3146">
        <v>1</v>
      </c>
      <c r="M3146" t="str">
        <f t="shared" si="49"/>
        <v>2010-2020</v>
      </c>
    </row>
    <row r="3147" spans="1:13">
      <c r="A3147" t="s">
        <v>4488</v>
      </c>
      <c r="B3147" t="s">
        <v>4489</v>
      </c>
      <c r="C3147" s="1">
        <v>42958</v>
      </c>
      <c r="D3147" s="2">
        <v>253490559</v>
      </c>
      <c r="E3147" s="2">
        <v>78414</v>
      </c>
      <c r="F3147">
        <v>20</v>
      </c>
      <c r="G3147" s="2">
        <v>157050046</v>
      </c>
      <c r="H3147" s="2">
        <v>2249067</v>
      </c>
      <c r="I3147" s="2">
        <v>4610799658</v>
      </c>
      <c r="J3147">
        <v>16</v>
      </c>
      <c r="K3147">
        <v>59</v>
      </c>
      <c r="L3147">
        <v>1</v>
      </c>
      <c r="M3147" t="str">
        <f t="shared" si="49"/>
        <v>2010-2020</v>
      </c>
    </row>
    <row r="3148" spans="1:13" hidden="1">
      <c r="A3148" t="s">
        <v>4490</v>
      </c>
      <c r="B3148" t="s">
        <v>4491</v>
      </c>
      <c r="C3148" s="1">
        <v>45380</v>
      </c>
      <c r="D3148" s="2">
        <v>47329404</v>
      </c>
      <c r="E3148" s="2">
        <v>3965</v>
      </c>
      <c r="F3148">
        <v>77</v>
      </c>
      <c r="G3148" s="2">
        <v>15452676</v>
      </c>
      <c r="H3148" s="2">
        <v>90162</v>
      </c>
      <c r="J3148">
        <v>2</v>
      </c>
      <c r="L3148">
        <v>1</v>
      </c>
      <c r="M3148" t="str">
        <f t="shared" si="49"/>
        <v>After 2020</v>
      </c>
    </row>
    <row r="3149" spans="1:13" hidden="1">
      <c r="A3149" t="s">
        <v>4492</v>
      </c>
      <c r="B3149" t="s">
        <v>141</v>
      </c>
      <c r="C3149" s="1">
        <v>43890</v>
      </c>
      <c r="D3149" s="2">
        <v>563826995</v>
      </c>
      <c r="E3149" s="2">
        <v>75780</v>
      </c>
      <c r="F3149">
        <v>71</v>
      </c>
      <c r="G3149" s="2">
        <v>349516218</v>
      </c>
      <c r="H3149" s="2">
        <v>2323510</v>
      </c>
      <c r="I3149" s="2">
        <v>44061028</v>
      </c>
      <c r="J3149">
        <v>33</v>
      </c>
      <c r="L3149">
        <v>1</v>
      </c>
      <c r="M3149" t="str">
        <f t="shared" si="49"/>
        <v>2010-2020</v>
      </c>
    </row>
    <row r="3150" spans="1:13">
      <c r="A3150" t="s">
        <v>4493</v>
      </c>
      <c r="B3150" t="s">
        <v>3695</v>
      </c>
      <c r="C3150" s="1">
        <v>44357</v>
      </c>
      <c r="D3150" s="2">
        <v>345069681</v>
      </c>
      <c r="E3150" s="2">
        <v>77169</v>
      </c>
      <c r="F3150">
        <v>67</v>
      </c>
      <c r="G3150" s="2">
        <v>112087139</v>
      </c>
      <c r="H3150" s="2">
        <v>1939007</v>
      </c>
      <c r="I3150" s="2">
        <v>1652650346</v>
      </c>
      <c r="J3150">
        <v>29</v>
      </c>
      <c r="K3150">
        <v>32</v>
      </c>
      <c r="L3150">
        <v>1</v>
      </c>
      <c r="M3150" t="str">
        <f t="shared" si="49"/>
        <v>After 2020</v>
      </c>
    </row>
    <row r="3151" spans="1:13" hidden="1">
      <c r="A3151" t="s">
        <v>4494</v>
      </c>
      <c r="B3151" t="s">
        <v>4495</v>
      </c>
      <c r="C3151" s="1">
        <v>45346</v>
      </c>
      <c r="D3151" s="2">
        <v>10459553</v>
      </c>
      <c r="E3151">
        <v>360</v>
      </c>
      <c r="F3151">
        <v>65</v>
      </c>
      <c r="G3151" s="2">
        <v>53298480</v>
      </c>
      <c r="H3151" s="2">
        <v>230317</v>
      </c>
      <c r="J3151">
        <v>2</v>
      </c>
      <c r="L3151">
        <v>0</v>
      </c>
      <c r="M3151" t="str">
        <f t="shared" si="49"/>
        <v>After 2020</v>
      </c>
    </row>
    <row r="3152" spans="1:13" hidden="1">
      <c r="A3152" t="s">
        <v>4496</v>
      </c>
      <c r="B3152" t="s">
        <v>1427</v>
      </c>
      <c r="C3152" s="1">
        <v>45393</v>
      </c>
      <c r="D3152" s="2">
        <v>1540667</v>
      </c>
      <c r="E3152">
        <v>28</v>
      </c>
      <c r="G3152" s="2">
        <v>35669549</v>
      </c>
      <c r="H3152" s="2">
        <v>389761</v>
      </c>
      <c r="L3152">
        <v>0</v>
      </c>
      <c r="M3152" t="str">
        <f t="shared" si="49"/>
        <v>After 2020</v>
      </c>
    </row>
    <row r="3153" spans="1:13">
      <c r="A3153" t="s">
        <v>4497</v>
      </c>
      <c r="B3153" t="s">
        <v>755</v>
      </c>
      <c r="C3153" s="1">
        <v>44841</v>
      </c>
      <c r="D3153" s="2">
        <v>195260412</v>
      </c>
      <c r="E3153" s="2">
        <v>19052</v>
      </c>
      <c r="F3153">
        <v>66</v>
      </c>
      <c r="G3153" s="2">
        <v>188978133</v>
      </c>
      <c r="H3153" s="2">
        <v>3724486</v>
      </c>
      <c r="I3153" s="2">
        <v>1397216002</v>
      </c>
      <c r="J3153">
        <v>9</v>
      </c>
      <c r="K3153">
        <v>134</v>
      </c>
      <c r="L3153">
        <v>0</v>
      </c>
      <c r="M3153" t="str">
        <f t="shared" si="49"/>
        <v>After 2020</v>
      </c>
    </row>
    <row r="3154" spans="1:13" hidden="1">
      <c r="A3154" t="s">
        <v>4498</v>
      </c>
      <c r="B3154" t="s">
        <v>4499</v>
      </c>
      <c r="C3154" s="1">
        <v>44491</v>
      </c>
      <c r="D3154" s="2">
        <v>476476352</v>
      </c>
      <c r="E3154" s="2">
        <v>98305</v>
      </c>
      <c r="F3154">
        <v>78</v>
      </c>
      <c r="G3154" s="2">
        <v>780251</v>
      </c>
      <c r="H3154" s="2">
        <v>8207</v>
      </c>
      <c r="I3154" s="2">
        <v>12295262</v>
      </c>
      <c r="J3154">
        <v>16</v>
      </c>
      <c r="L3154">
        <v>0</v>
      </c>
      <c r="M3154" t="str">
        <f t="shared" si="49"/>
        <v>After 2020</v>
      </c>
    </row>
    <row r="3155" spans="1:13">
      <c r="A3155" t="s">
        <v>4500</v>
      </c>
      <c r="B3155" t="s">
        <v>1852</v>
      </c>
      <c r="C3155" s="1">
        <v>45177</v>
      </c>
      <c r="D3155" s="2">
        <v>371463000</v>
      </c>
      <c r="E3155" s="2">
        <v>9688</v>
      </c>
      <c r="F3155">
        <v>77</v>
      </c>
      <c r="G3155" s="2">
        <v>55364757</v>
      </c>
      <c r="H3155" s="2">
        <v>2775274</v>
      </c>
      <c r="I3155" s="2">
        <v>4288273</v>
      </c>
      <c r="J3155">
        <v>9</v>
      </c>
      <c r="K3155">
        <v>14</v>
      </c>
      <c r="L3155">
        <v>0</v>
      </c>
      <c r="M3155" t="str">
        <f t="shared" si="49"/>
        <v>After 2020</v>
      </c>
    </row>
    <row r="3156" spans="1:13" hidden="1">
      <c r="A3156" t="s">
        <v>4501</v>
      </c>
      <c r="B3156" t="s">
        <v>1436</v>
      </c>
      <c r="C3156" s="1">
        <v>41206</v>
      </c>
      <c r="D3156" s="2">
        <v>803286487</v>
      </c>
      <c r="E3156" s="2">
        <v>157238</v>
      </c>
      <c r="F3156">
        <v>70</v>
      </c>
      <c r="G3156" s="2">
        <v>376403733</v>
      </c>
      <c r="H3156" s="2">
        <v>2672337</v>
      </c>
      <c r="I3156" s="2">
        <v>49465552</v>
      </c>
      <c r="J3156">
        <v>79</v>
      </c>
      <c r="L3156">
        <v>1</v>
      </c>
      <c r="M3156" t="str">
        <f t="shared" si="49"/>
        <v>2010-2020</v>
      </c>
    </row>
    <row r="3157" spans="1:13">
      <c r="A3157" t="s">
        <v>4502</v>
      </c>
      <c r="B3157" t="s">
        <v>2131</v>
      </c>
      <c r="C3157" s="1">
        <v>44764</v>
      </c>
      <c r="D3157" s="2">
        <v>65786757</v>
      </c>
      <c r="E3157" s="2">
        <v>28190</v>
      </c>
      <c r="F3157">
        <v>56</v>
      </c>
      <c r="G3157" s="2">
        <v>27754329</v>
      </c>
      <c r="H3157" s="2">
        <v>216369</v>
      </c>
      <c r="I3157" s="2">
        <v>203863372</v>
      </c>
      <c r="J3157">
        <v>2</v>
      </c>
      <c r="K3157">
        <v>493</v>
      </c>
      <c r="L3157">
        <v>1</v>
      </c>
      <c r="M3157" t="str">
        <f t="shared" si="49"/>
        <v>After 2020</v>
      </c>
    </row>
    <row r="3158" spans="1:13" hidden="1">
      <c r="A3158" t="s">
        <v>4503</v>
      </c>
      <c r="B3158" t="s">
        <v>1102</v>
      </c>
      <c r="C3158" s="1">
        <v>44715</v>
      </c>
      <c r="D3158" s="2">
        <v>223422665</v>
      </c>
      <c r="E3158" s="2">
        <v>24041</v>
      </c>
      <c r="F3158">
        <v>66</v>
      </c>
      <c r="G3158" s="2">
        <v>236583955</v>
      </c>
      <c r="H3158" s="2">
        <v>923052</v>
      </c>
      <c r="I3158" s="2">
        <v>60653564</v>
      </c>
      <c r="J3158">
        <v>8</v>
      </c>
      <c r="L3158">
        <v>1</v>
      </c>
      <c r="M3158" t="str">
        <f t="shared" si="49"/>
        <v>After 2020</v>
      </c>
    </row>
    <row r="3159" spans="1:13">
      <c r="A3159" t="s">
        <v>4504</v>
      </c>
      <c r="B3159" t="s">
        <v>4505</v>
      </c>
      <c r="C3159" s="1">
        <v>41275</v>
      </c>
      <c r="D3159" s="2">
        <v>999525686</v>
      </c>
      <c r="E3159" s="2">
        <v>147511</v>
      </c>
      <c r="F3159">
        <v>74</v>
      </c>
      <c r="G3159" s="2">
        <v>349753696</v>
      </c>
      <c r="H3159" s="2">
        <v>3326207</v>
      </c>
      <c r="I3159" s="2">
        <v>329470084</v>
      </c>
      <c r="J3159">
        <v>109</v>
      </c>
      <c r="K3159">
        <v>541</v>
      </c>
      <c r="L3159">
        <v>0</v>
      </c>
      <c r="M3159" t="str">
        <f t="shared" si="49"/>
        <v>2010-2020</v>
      </c>
    </row>
    <row r="3160" spans="1:13">
      <c r="A3160" t="s">
        <v>4506</v>
      </c>
      <c r="B3160" t="s">
        <v>4507</v>
      </c>
      <c r="C3160" s="1">
        <v>43483</v>
      </c>
      <c r="D3160" s="2">
        <v>439281048</v>
      </c>
      <c r="E3160" s="2">
        <v>44726</v>
      </c>
      <c r="F3160">
        <v>75</v>
      </c>
      <c r="G3160" s="2">
        <v>225336788</v>
      </c>
      <c r="H3160" s="2">
        <v>1288065</v>
      </c>
      <c r="I3160" s="2">
        <v>60781778</v>
      </c>
      <c r="J3160">
        <v>30</v>
      </c>
      <c r="K3160">
        <v>155</v>
      </c>
      <c r="L3160">
        <v>0</v>
      </c>
      <c r="M3160" t="str">
        <f t="shared" si="49"/>
        <v>2010-2020</v>
      </c>
    </row>
    <row r="3161" spans="1:13" hidden="1">
      <c r="A3161" t="s">
        <v>4508</v>
      </c>
      <c r="B3161" t="s">
        <v>1460</v>
      </c>
      <c r="C3161" s="1">
        <v>43825</v>
      </c>
      <c r="D3161" s="2">
        <v>129283318</v>
      </c>
      <c r="E3161" s="2">
        <v>9852</v>
      </c>
      <c r="F3161">
        <v>57</v>
      </c>
      <c r="G3161" s="2">
        <v>835213852</v>
      </c>
      <c r="H3161" s="2">
        <v>4972865</v>
      </c>
      <c r="I3161" s="2">
        <v>71482445</v>
      </c>
      <c r="J3161">
        <v>12</v>
      </c>
      <c r="L3161">
        <v>0</v>
      </c>
      <c r="M3161" t="str">
        <f t="shared" si="49"/>
        <v>2010-2020</v>
      </c>
    </row>
    <row r="3162" spans="1:13" hidden="1">
      <c r="A3162" t="s">
        <v>4509</v>
      </c>
      <c r="B3162" t="s">
        <v>4510</v>
      </c>
      <c r="C3162" s="1">
        <v>45071</v>
      </c>
      <c r="D3162" s="2">
        <v>110960415</v>
      </c>
      <c r="E3162" s="2">
        <v>19488</v>
      </c>
      <c r="F3162">
        <v>56</v>
      </c>
      <c r="G3162" s="2">
        <v>24459499</v>
      </c>
      <c r="H3162" s="2">
        <v>297749</v>
      </c>
      <c r="I3162" s="2">
        <v>2161832887</v>
      </c>
      <c r="J3162">
        <v>9</v>
      </c>
      <c r="L3162">
        <v>1</v>
      </c>
      <c r="M3162" t="str">
        <f t="shared" si="49"/>
        <v>After 2020</v>
      </c>
    </row>
    <row r="3163" spans="1:13" hidden="1">
      <c r="A3163" t="s">
        <v>4511</v>
      </c>
      <c r="B3163" t="s">
        <v>4512</v>
      </c>
      <c r="C3163" s="1">
        <v>45079</v>
      </c>
      <c r="D3163" s="2">
        <v>107498014</v>
      </c>
      <c r="E3163" s="2">
        <v>21969</v>
      </c>
      <c r="F3163">
        <v>61</v>
      </c>
      <c r="G3163" s="2">
        <v>72443764</v>
      </c>
      <c r="H3163" s="2">
        <v>387673</v>
      </c>
      <c r="I3163" s="2">
        <v>3247</v>
      </c>
      <c r="J3163">
        <v>15</v>
      </c>
      <c r="L3163">
        <v>1</v>
      </c>
      <c r="M3163" t="str">
        <f t="shared" si="49"/>
        <v>After 2020</v>
      </c>
    </row>
    <row r="3164" spans="1:13">
      <c r="A3164" t="s">
        <v>4513</v>
      </c>
      <c r="B3164" t="s">
        <v>2250</v>
      </c>
      <c r="C3164" s="1">
        <v>41275</v>
      </c>
      <c r="D3164" s="2">
        <v>826593536</v>
      </c>
      <c r="E3164" s="2">
        <v>101501</v>
      </c>
      <c r="F3164">
        <v>74</v>
      </c>
      <c r="G3164" s="2">
        <v>898024937</v>
      </c>
      <c r="H3164" s="2">
        <v>7520556</v>
      </c>
      <c r="I3164" s="2">
        <v>792708732</v>
      </c>
      <c r="J3164">
        <v>35</v>
      </c>
      <c r="K3164">
        <v>80</v>
      </c>
      <c r="L3164">
        <v>0</v>
      </c>
      <c r="M3164" t="str">
        <f t="shared" si="49"/>
        <v>2010-2020</v>
      </c>
    </row>
    <row r="3165" spans="1:13" hidden="1">
      <c r="A3165" t="s">
        <v>4514</v>
      </c>
      <c r="B3165" t="s">
        <v>4515</v>
      </c>
      <c r="C3165" s="1">
        <v>44386</v>
      </c>
      <c r="D3165" s="2">
        <v>526025120</v>
      </c>
      <c r="E3165" s="2">
        <v>46184</v>
      </c>
      <c r="F3165">
        <v>67</v>
      </c>
      <c r="G3165" s="2">
        <v>160959114</v>
      </c>
      <c r="H3165" s="2">
        <v>2763162</v>
      </c>
      <c r="I3165" s="2">
        <v>2209200556</v>
      </c>
      <c r="J3165">
        <v>36</v>
      </c>
      <c r="L3165">
        <v>0</v>
      </c>
      <c r="M3165" t="str">
        <f t="shared" si="49"/>
        <v>After 2020</v>
      </c>
    </row>
    <row r="3166" spans="1:13">
      <c r="A3166" t="s">
        <v>4516</v>
      </c>
      <c r="B3166" t="s">
        <v>221</v>
      </c>
      <c r="C3166" s="1">
        <v>43593</v>
      </c>
      <c r="D3166" s="2">
        <v>553360461</v>
      </c>
      <c r="E3166" s="2">
        <v>75237</v>
      </c>
      <c r="F3166">
        <v>76</v>
      </c>
      <c r="G3166" s="2">
        <v>147127840</v>
      </c>
      <c r="H3166" s="2">
        <v>639927</v>
      </c>
      <c r="I3166" s="2">
        <v>145930628</v>
      </c>
      <c r="J3166">
        <v>55</v>
      </c>
      <c r="K3166">
        <v>74</v>
      </c>
      <c r="L3166">
        <v>0</v>
      </c>
      <c r="M3166" t="str">
        <f t="shared" si="49"/>
        <v>2010-2020</v>
      </c>
    </row>
    <row r="3167" spans="1:13" hidden="1">
      <c r="A3167" t="s">
        <v>4517</v>
      </c>
      <c r="B3167" t="s">
        <v>1862</v>
      </c>
      <c r="C3167" s="1">
        <v>44372</v>
      </c>
      <c r="D3167" s="2">
        <v>331749982</v>
      </c>
      <c r="E3167" s="2">
        <v>109121</v>
      </c>
      <c r="F3167">
        <v>68</v>
      </c>
      <c r="G3167" s="2">
        <v>38053954</v>
      </c>
      <c r="H3167" s="2">
        <v>997774</v>
      </c>
      <c r="I3167" s="2">
        <v>93000</v>
      </c>
      <c r="J3167">
        <v>47</v>
      </c>
      <c r="L3167">
        <v>1</v>
      </c>
      <c r="M3167" t="str">
        <f t="shared" si="49"/>
        <v>After 2020</v>
      </c>
    </row>
    <row r="3168" spans="1:13" hidden="1">
      <c r="A3168" t="s">
        <v>4518</v>
      </c>
      <c r="B3168" t="s">
        <v>4519</v>
      </c>
      <c r="C3168" s="1">
        <v>44932</v>
      </c>
      <c r="D3168" s="2">
        <v>2974</v>
      </c>
      <c r="E3168">
        <v>2</v>
      </c>
      <c r="G3168" s="2">
        <v>321063828</v>
      </c>
      <c r="H3168" s="2">
        <v>2131997</v>
      </c>
      <c r="L3168">
        <v>1</v>
      </c>
      <c r="M3168" t="str">
        <f t="shared" si="49"/>
        <v>After 2020</v>
      </c>
    </row>
    <row r="3169" spans="1:13">
      <c r="A3169" t="s">
        <v>4520</v>
      </c>
      <c r="B3169" t="s">
        <v>4280</v>
      </c>
      <c r="C3169" s="1">
        <v>45128</v>
      </c>
      <c r="D3169" s="2">
        <v>90619651</v>
      </c>
      <c r="E3169" s="2">
        <v>18945</v>
      </c>
      <c r="F3169">
        <v>64</v>
      </c>
      <c r="G3169" s="2">
        <v>22682156</v>
      </c>
      <c r="H3169" s="2">
        <v>238539</v>
      </c>
      <c r="I3169" s="2">
        <v>17165352</v>
      </c>
      <c r="J3169">
        <v>16</v>
      </c>
      <c r="K3169">
        <v>25</v>
      </c>
      <c r="L3169">
        <v>0</v>
      </c>
      <c r="M3169" t="str">
        <f t="shared" si="49"/>
        <v>After 2020</v>
      </c>
    </row>
    <row r="3170" spans="1:13">
      <c r="A3170" t="s">
        <v>4521</v>
      </c>
      <c r="B3170" t="s">
        <v>61</v>
      </c>
      <c r="C3170" s="1">
        <v>44855</v>
      </c>
      <c r="D3170" s="2">
        <v>429910250</v>
      </c>
      <c r="E3170" s="2">
        <v>32432</v>
      </c>
      <c r="F3170">
        <v>64</v>
      </c>
      <c r="G3170" s="2">
        <v>60531630</v>
      </c>
      <c r="H3170" s="2">
        <v>1025941</v>
      </c>
      <c r="I3170" s="2">
        <v>380293826</v>
      </c>
      <c r="J3170">
        <v>55</v>
      </c>
      <c r="K3170">
        <v>5</v>
      </c>
      <c r="L3170">
        <v>1</v>
      </c>
      <c r="M3170" t="str">
        <f t="shared" si="49"/>
        <v>After 2020</v>
      </c>
    </row>
    <row r="3171" spans="1:13">
      <c r="A3171" t="s">
        <v>4522</v>
      </c>
      <c r="B3171" t="s">
        <v>418</v>
      </c>
      <c r="C3171" s="1">
        <v>43118</v>
      </c>
      <c r="D3171" s="2">
        <v>659555409</v>
      </c>
      <c r="E3171" s="2">
        <v>71359</v>
      </c>
      <c r="F3171">
        <v>65</v>
      </c>
      <c r="G3171" s="2">
        <v>156299320</v>
      </c>
      <c r="H3171" s="2">
        <v>884906</v>
      </c>
      <c r="I3171" s="2">
        <v>493591477</v>
      </c>
      <c r="J3171">
        <v>66</v>
      </c>
      <c r="K3171">
        <v>113</v>
      </c>
      <c r="L3171">
        <v>0</v>
      </c>
      <c r="M3171" t="str">
        <f t="shared" si="49"/>
        <v>2010-2020</v>
      </c>
    </row>
    <row r="3172" spans="1:13" hidden="1">
      <c r="A3172" t="s">
        <v>4523</v>
      </c>
      <c r="B3172" t="s">
        <v>2222</v>
      </c>
      <c r="C3172" s="1">
        <v>45359</v>
      </c>
      <c r="D3172" s="2">
        <v>52602574</v>
      </c>
      <c r="E3172" s="2">
        <v>6219</v>
      </c>
      <c r="F3172">
        <v>75</v>
      </c>
      <c r="G3172" s="2">
        <v>17482603</v>
      </c>
      <c r="H3172" s="2">
        <v>146275</v>
      </c>
      <c r="J3172">
        <v>7</v>
      </c>
      <c r="L3172">
        <v>0</v>
      </c>
      <c r="M3172" t="str">
        <f t="shared" si="49"/>
        <v>After 2020</v>
      </c>
    </row>
    <row r="3173" spans="1:13">
      <c r="A3173" t="s">
        <v>4524</v>
      </c>
      <c r="B3173" t="s">
        <v>1976</v>
      </c>
      <c r="C3173" s="1">
        <v>43854</v>
      </c>
      <c r="D3173" s="2">
        <v>397893665</v>
      </c>
      <c r="E3173" s="2">
        <v>79817</v>
      </c>
      <c r="F3173">
        <v>58</v>
      </c>
      <c r="G3173" s="2">
        <v>290277607</v>
      </c>
      <c r="H3173" s="2">
        <v>3908510</v>
      </c>
      <c r="I3173" s="2">
        <v>509242456</v>
      </c>
      <c r="J3173">
        <v>44</v>
      </c>
      <c r="K3173">
        <v>182</v>
      </c>
      <c r="L3173">
        <v>0</v>
      </c>
      <c r="M3173" t="str">
        <f t="shared" si="49"/>
        <v>2010-2020</v>
      </c>
    </row>
    <row r="3174" spans="1:13" hidden="1">
      <c r="A3174" t="s">
        <v>4525</v>
      </c>
      <c r="B3174">
        <v>41</v>
      </c>
      <c r="C3174" s="1">
        <v>45142</v>
      </c>
      <c r="D3174" s="2">
        <v>104897425</v>
      </c>
      <c r="E3174" s="2">
        <v>27545</v>
      </c>
      <c r="F3174">
        <v>64</v>
      </c>
      <c r="G3174" s="2">
        <v>13379053</v>
      </c>
      <c r="H3174" s="2">
        <v>149424</v>
      </c>
      <c r="J3174">
        <v>14</v>
      </c>
      <c r="K3174">
        <v>246</v>
      </c>
      <c r="L3174">
        <v>1</v>
      </c>
      <c r="M3174" t="str">
        <f t="shared" si="49"/>
        <v>After 2020</v>
      </c>
    </row>
    <row r="3175" spans="1:13" hidden="1">
      <c r="A3175" t="s">
        <v>4526</v>
      </c>
      <c r="B3175" t="s">
        <v>4527</v>
      </c>
      <c r="C3175" s="1">
        <v>45449</v>
      </c>
      <c r="D3175" s="2">
        <v>10747498</v>
      </c>
      <c r="E3175">
        <v>1</v>
      </c>
      <c r="L3175">
        <v>0</v>
      </c>
      <c r="M3175" t="str">
        <f t="shared" si="49"/>
        <v>After 2020</v>
      </c>
    </row>
    <row r="3176" spans="1:13" hidden="1">
      <c r="A3176" t="s">
        <v>4528</v>
      </c>
      <c r="B3176" t="s">
        <v>849</v>
      </c>
      <c r="C3176" s="1">
        <v>45260</v>
      </c>
      <c r="D3176" s="2">
        <v>31809079</v>
      </c>
      <c r="E3176" s="2">
        <v>3576</v>
      </c>
      <c r="G3176" s="2">
        <v>10988995</v>
      </c>
      <c r="H3176" s="2">
        <v>145198</v>
      </c>
      <c r="J3176">
        <v>11</v>
      </c>
      <c r="L3176">
        <v>0</v>
      </c>
      <c r="M3176" t="str">
        <f t="shared" si="49"/>
        <v>After 2020</v>
      </c>
    </row>
    <row r="3177" spans="1:13" hidden="1">
      <c r="A3177" t="s">
        <v>4529</v>
      </c>
      <c r="B3177" t="s">
        <v>4530</v>
      </c>
      <c r="C3177" s="1">
        <v>45359</v>
      </c>
      <c r="D3177" s="2">
        <v>853397</v>
      </c>
      <c r="E3177">
        <v>26</v>
      </c>
      <c r="G3177" s="2">
        <v>41848181</v>
      </c>
      <c r="H3177" s="2">
        <v>493092</v>
      </c>
      <c r="I3177" s="2">
        <v>94888400</v>
      </c>
      <c r="L3177">
        <v>0</v>
      </c>
      <c r="M3177" t="str">
        <f t="shared" si="49"/>
        <v>After 2020</v>
      </c>
    </row>
    <row r="3178" spans="1:13" hidden="1">
      <c r="A3178" t="s">
        <v>4531</v>
      </c>
      <c r="B3178" t="s">
        <v>4532</v>
      </c>
      <c r="C3178" s="1">
        <v>45268</v>
      </c>
      <c r="D3178" s="2">
        <v>33319902</v>
      </c>
      <c r="E3178" s="2">
        <v>18834</v>
      </c>
      <c r="G3178" s="2">
        <v>10789548</v>
      </c>
      <c r="H3178" s="2">
        <v>308054</v>
      </c>
      <c r="J3178">
        <v>12</v>
      </c>
      <c r="K3178">
        <v>1</v>
      </c>
      <c r="L3178">
        <v>1</v>
      </c>
      <c r="M3178" t="str">
        <f t="shared" si="49"/>
        <v>After 2020</v>
      </c>
    </row>
    <row r="3179" spans="1:13" hidden="1">
      <c r="A3179" t="s">
        <v>4533</v>
      </c>
      <c r="B3179" t="s">
        <v>182</v>
      </c>
      <c r="C3179" s="1">
        <v>44106</v>
      </c>
      <c r="D3179" s="2">
        <v>433309786</v>
      </c>
      <c r="E3179" s="2">
        <v>137820</v>
      </c>
      <c r="F3179">
        <v>73</v>
      </c>
      <c r="G3179" s="2">
        <v>35285134</v>
      </c>
      <c r="H3179" s="2">
        <v>512311</v>
      </c>
      <c r="I3179" s="2">
        <v>59408058</v>
      </c>
      <c r="J3179">
        <v>17</v>
      </c>
      <c r="L3179">
        <v>1</v>
      </c>
      <c r="M3179" t="str">
        <f t="shared" si="49"/>
        <v>2010-2020</v>
      </c>
    </row>
    <row r="3180" spans="1:13" hidden="1">
      <c r="A3180" t="s">
        <v>4534</v>
      </c>
      <c r="B3180" t="s">
        <v>295</v>
      </c>
      <c r="C3180" s="1">
        <v>45205</v>
      </c>
      <c r="D3180" s="2">
        <v>59262518</v>
      </c>
      <c r="E3180" s="2">
        <v>22927</v>
      </c>
      <c r="G3180" s="2">
        <v>10706220</v>
      </c>
      <c r="H3180" s="2">
        <v>108566</v>
      </c>
      <c r="I3180" s="2">
        <v>88944</v>
      </c>
      <c r="J3180">
        <v>3</v>
      </c>
      <c r="K3180">
        <v>37</v>
      </c>
      <c r="L3180">
        <v>1</v>
      </c>
      <c r="M3180" t="str">
        <f t="shared" si="49"/>
        <v>After 2020</v>
      </c>
    </row>
    <row r="3181" spans="1:13" hidden="1">
      <c r="A3181" t="s">
        <v>4535</v>
      </c>
      <c r="B3181" t="s">
        <v>4536</v>
      </c>
      <c r="C3181" s="1">
        <v>44764</v>
      </c>
      <c r="D3181" s="2">
        <v>29375</v>
      </c>
      <c r="E3181">
        <v>43</v>
      </c>
      <c r="F3181">
        <v>1</v>
      </c>
      <c r="G3181" s="2">
        <v>410777646</v>
      </c>
      <c r="H3181" s="2">
        <v>4011926</v>
      </c>
      <c r="L3181">
        <v>0</v>
      </c>
      <c r="M3181" t="str">
        <f t="shared" si="49"/>
        <v>After 2020</v>
      </c>
    </row>
    <row r="3182" spans="1:13">
      <c r="A3182" t="s">
        <v>4537</v>
      </c>
      <c r="B3182" t="s">
        <v>295</v>
      </c>
      <c r="C3182" s="1">
        <v>42762</v>
      </c>
      <c r="D3182" s="2">
        <v>967826246</v>
      </c>
      <c r="E3182" s="2">
        <v>87948</v>
      </c>
      <c r="F3182">
        <v>65</v>
      </c>
      <c r="G3182" s="2">
        <v>56482887</v>
      </c>
      <c r="H3182" s="2">
        <v>560879</v>
      </c>
      <c r="I3182" s="2">
        <v>41423093</v>
      </c>
      <c r="J3182">
        <v>121</v>
      </c>
      <c r="K3182">
        <v>73</v>
      </c>
      <c r="L3182">
        <v>1</v>
      </c>
      <c r="M3182" t="str">
        <f t="shared" si="49"/>
        <v>2010-2020</v>
      </c>
    </row>
    <row r="3183" spans="1:13" hidden="1">
      <c r="A3183" t="s">
        <v>4538</v>
      </c>
      <c r="B3183" t="s">
        <v>4539</v>
      </c>
      <c r="C3183" s="1">
        <v>44671</v>
      </c>
      <c r="D3183" s="2">
        <v>1612356</v>
      </c>
      <c r="E3183">
        <v>389</v>
      </c>
      <c r="F3183">
        <v>31</v>
      </c>
      <c r="G3183" s="2">
        <v>1805510</v>
      </c>
      <c r="H3183" s="2">
        <v>42902</v>
      </c>
      <c r="I3183" s="2">
        <v>267788636</v>
      </c>
      <c r="L3183">
        <v>0</v>
      </c>
      <c r="M3183" t="str">
        <f t="shared" si="49"/>
        <v>After 2020</v>
      </c>
    </row>
    <row r="3184" spans="1:13">
      <c r="A3184" t="s">
        <v>4540</v>
      </c>
      <c r="B3184" t="s">
        <v>2998</v>
      </c>
      <c r="C3184" s="1">
        <v>45107</v>
      </c>
      <c r="D3184" s="2">
        <v>107592134</v>
      </c>
      <c r="E3184" s="2">
        <v>16131</v>
      </c>
      <c r="F3184">
        <v>69</v>
      </c>
      <c r="G3184" s="2">
        <v>8821525</v>
      </c>
      <c r="H3184" s="2">
        <v>79472</v>
      </c>
      <c r="I3184" s="2">
        <v>16562873</v>
      </c>
      <c r="J3184">
        <v>37</v>
      </c>
      <c r="K3184" s="2">
        <v>1298</v>
      </c>
      <c r="L3184">
        <v>0</v>
      </c>
      <c r="M3184" t="str">
        <f t="shared" si="49"/>
        <v>After 2020</v>
      </c>
    </row>
    <row r="3185" spans="1:13" hidden="1">
      <c r="A3185" t="s">
        <v>4541</v>
      </c>
      <c r="B3185" t="s">
        <v>4542</v>
      </c>
      <c r="C3185" s="1">
        <v>45176</v>
      </c>
      <c r="D3185" s="2">
        <v>101571557</v>
      </c>
      <c r="E3185" s="2">
        <v>21592</v>
      </c>
      <c r="G3185" s="2">
        <v>36830690</v>
      </c>
      <c r="H3185" s="2">
        <v>390578</v>
      </c>
      <c r="I3185" s="2">
        <v>254571104</v>
      </c>
      <c r="J3185">
        <v>11</v>
      </c>
      <c r="L3185">
        <v>1</v>
      </c>
      <c r="M3185" t="str">
        <f t="shared" si="49"/>
        <v>After 2020</v>
      </c>
    </row>
    <row r="3186" spans="1:13" hidden="1">
      <c r="A3186" t="s">
        <v>4543</v>
      </c>
      <c r="B3186" t="s">
        <v>3408</v>
      </c>
      <c r="C3186" s="1">
        <v>44715</v>
      </c>
      <c r="D3186" s="2">
        <v>219756697</v>
      </c>
      <c r="E3186" s="2">
        <v>31819</v>
      </c>
      <c r="F3186">
        <v>60</v>
      </c>
      <c r="G3186" s="2">
        <v>247152121</v>
      </c>
      <c r="H3186" s="2">
        <v>1745948</v>
      </c>
      <c r="I3186" s="2">
        <v>149298</v>
      </c>
      <c r="J3186">
        <v>22</v>
      </c>
      <c r="L3186">
        <v>0</v>
      </c>
      <c r="M3186" t="str">
        <f t="shared" si="49"/>
        <v>After 2020</v>
      </c>
    </row>
    <row r="3187" spans="1:13">
      <c r="A3187">
        <v>2002</v>
      </c>
      <c r="B3187" t="s">
        <v>3309</v>
      </c>
      <c r="C3187" s="1">
        <v>42005</v>
      </c>
      <c r="D3187" s="2">
        <v>1531490541</v>
      </c>
      <c r="E3187" s="2">
        <v>115663</v>
      </c>
      <c r="F3187">
        <v>73</v>
      </c>
      <c r="G3187" s="2">
        <v>391667255</v>
      </c>
      <c r="H3187" s="2">
        <v>3102373</v>
      </c>
      <c r="I3187" s="2">
        <v>892595513</v>
      </c>
      <c r="J3187">
        <v>93</v>
      </c>
      <c r="K3187">
        <v>104</v>
      </c>
      <c r="L3187">
        <v>0</v>
      </c>
      <c r="M3187" t="str">
        <f t="shared" si="49"/>
        <v>2010-2020</v>
      </c>
    </row>
    <row r="3188" spans="1:13" hidden="1">
      <c r="A3188" t="s">
        <v>4544</v>
      </c>
      <c r="B3188" t="s">
        <v>4545</v>
      </c>
      <c r="C3188" s="1">
        <v>45093</v>
      </c>
      <c r="D3188" s="2">
        <v>48751057</v>
      </c>
      <c r="E3188" s="2">
        <v>4008</v>
      </c>
      <c r="F3188">
        <v>67</v>
      </c>
      <c r="G3188" s="2">
        <v>10591144</v>
      </c>
      <c r="H3188" s="2">
        <v>107010</v>
      </c>
      <c r="J3188">
        <v>14</v>
      </c>
      <c r="K3188">
        <v>10</v>
      </c>
      <c r="L3188">
        <v>0</v>
      </c>
      <c r="M3188" t="str">
        <f t="shared" si="49"/>
        <v>After 2020</v>
      </c>
    </row>
    <row r="3189" spans="1:13" hidden="1">
      <c r="A3189" t="s">
        <v>4546</v>
      </c>
      <c r="B3189" t="s">
        <v>4547</v>
      </c>
      <c r="C3189" s="1">
        <v>44564</v>
      </c>
      <c r="D3189" s="2">
        <v>241291389</v>
      </c>
      <c r="E3189" s="2">
        <v>32449</v>
      </c>
      <c r="F3189">
        <v>67</v>
      </c>
      <c r="G3189" s="2">
        <v>297484348</v>
      </c>
      <c r="H3189" s="2">
        <v>1868447</v>
      </c>
      <c r="I3189" s="2">
        <v>308712763</v>
      </c>
      <c r="J3189">
        <v>4</v>
      </c>
      <c r="L3189">
        <v>0</v>
      </c>
      <c r="M3189" t="str">
        <f t="shared" si="49"/>
        <v>After 2020</v>
      </c>
    </row>
    <row r="3190" spans="1:13" hidden="1">
      <c r="A3190" t="s">
        <v>4548</v>
      </c>
      <c r="B3190" t="s">
        <v>867</v>
      </c>
      <c r="C3190" s="1">
        <v>45079</v>
      </c>
      <c r="D3190" s="2">
        <v>38159739</v>
      </c>
      <c r="E3190" s="2">
        <v>5961</v>
      </c>
      <c r="F3190">
        <v>68</v>
      </c>
      <c r="G3190" s="2">
        <v>11185849</v>
      </c>
      <c r="H3190" s="2">
        <v>140706</v>
      </c>
      <c r="I3190" s="2">
        <v>16169973</v>
      </c>
      <c r="K3190">
        <v>123</v>
      </c>
      <c r="L3190">
        <v>0</v>
      </c>
      <c r="M3190" t="str">
        <f t="shared" si="49"/>
        <v>After 2020</v>
      </c>
    </row>
    <row r="3191" spans="1:13" hidden="1">
      <c r="A3191" t="s">
        <v>4549</v>
      </c>
      <c r="B3191" t="s">
        <v>195</v>
      </c>
      <c r="C3191" s="1">
        <v>45430</v>
      </c>
      <c r="D3191" s="2">
        <v>11107400</v>
      </c>
      <c r="E3191">
        <v>614</v>
      </c>
      <c r="G3191" s="2">
        <v>10855044</v>
      </c>
      <c r="H3191" s="2">
        <v>227373</v>
      </c>
      <c r="J3191">
        <v>5</v>
      </c>
      <c r="L3191">
        <v>0</v>
      </c>
      <c r="M3191" t="str">
        <f t="shared" si="49"/>
        <v>After 2020</v>
      </c>
    </row>
    <row r="3192" spans="1:13">
      <c r="A3192" t="s">
        <v>2079</v>
      </c>
      <c r="B3192" t="s">
        <v>479</v>
      </c>
      <c r="C3192" s="1">
        <v>41275</v>
      </c>
      <c r="D3192" s="2">
        <v>1445950326</v>
      </c>
      <c r="E3192" s="2">
        <v>185843</v>
      </c>
      <c r="F3192">
        <v>74</v>
      </c>
      <c r="G3192" s="2">
        <v>248178591</v>
      </c>
      <c r="H3192" s="2">
        <v>2292757</v>
      </c>
      <c r="I3192" s="2">
        <v>984530315</v>
      </c>
      <c r="J3192">
        <v>102</v>
      </c>
      <c r="K3192">
        <v>453</v>
      </c>
      <c r="L3192">
        <v>0</v>
      </c>
      <c r="M3192" t="str">
        <f t="shared" si="49"/>
        <v>2010-2020</v>
      </c>
    </row>
    <row r="3193" spans="1:13" hidden="1">
      <c r="A3193" t="s">
        <v>545</v>
      </c>
      <c r="B3193" t="s">
        <v>546</v>
      </c>
      <c r="C3193" s="1">
        <v>44850</v>
      </c>
      <c r="D3193" s="2">
        <v>665145968</v>
      </c>
      <c r="E3193" s="2">
        <v>5887</v>
      </c>
      <c r="F3193">
        <v>46</v>
      </c>
      <c r="J3193">
        <v>18</v>
      </c>
      <c r="L3193">
        <v>0</v>
      </c>
      <c r="M3193" t="str">
        <f t="shared" si="49"/>
        <v>After 2020</v>
      </c>
    </row>
    <row r="3194" spans="1:13">
      <c r="A3194" t="s">
        <v>4550</v>
      </c>
      <c r="B3194" t="s">
        <v>4551</v>
      </c>
      <c r="C3194" s="1">
        <v>43497</v>
      </c>
      <c r="D3194" s="2">
        <v>842749499</v>
      </c>
      <c r="E3194" s="2">
        <v>158456</v>
      </c>
      <c r="F3194">
        <v>76</v>
      </c>
      <c r="G3194" s="2">
        <v>125641322</v>
      </c>
      <c r="H3194" s="2">
        <v>2266385</v>
      </c>
      <c r="I3194" s="2">
        <v>342062376</v>
      </c>
      <c r="J3194">
        <v>68</v>
      </c>
      <c r="K3194">
        <v>64</v>
      </c>
      <c r="L3194">
        <v>0</v>
      </c>
      <c r="M3194" t="str">
        <f t="shared" si="49"/>
        <v>2010-2020</v>
      </c>
    </row>
    <row r="3195" spans="1:13">
      <c r="A3195" t="s">
        <v>4552</v>
      </c>
      <c r="B3195" t="s">
        <v>434</v>
      </c>
      <c r="C3195" s="1">
        <v>43228</v>
      </c>
      <c r="D3195" s="2">
        <v>707551397</v>
      </c>
      <c r="E3195" s="2">
        <v>148441</v>
      </c>
      <c r="F3195">
        <v>21</v>
      </c>
      <c r="G3195" s="2">
        <v>222319540</v>
      </c>
      <c r="H3195" s="2">
        <v>2598192</v>
      </c>
      <c r="I3195" s="2">
        <v>186530347</v>
      </c>
      <c r="J3195">
        <v>22</v>
      </c>
      <c r="K3195">
        <v>56</v>
      </c>
      <c r="L3195">
        <v>1</v>
      </c>
      <c r="M3195" t="str">
        <f t="shared" si="49"/>
        <v>2010-2020</v>
      </c>
    </row>
    <row r="3196" spans="1:13" hidden="1">
      <c r="A3196" t="s">
        <v>4553</v>
      </c>
      <c r="B3196" t="s">
        <v>4554</v>
      </c>
      <c r="C3196" s="1">
        <v>43364</v>
      </c>
      <c r="D3196" s="2">
        <v>527760843</v>
      </c>
      <c r="E3196" s="2">
        <v>46844</v>
      </c>
      <c r="F3196">
        <v>59</v>
      </c>
      <c r="G3196" s="2">
        <v>684308632</v>
      </c>
      <c r="H3196" s="2">
        <v>3187514</v>
      </c>
      <c r="I3196" s="2">
        <v>367325979</v>
      </c>
      <c r="J3196">
        <v>64</v>
      </c>
      <c r="L3196">
        <v>0</v>
      </c>
      <c r="M3196" t="str">
        <f t="shared" si="49"/>
        <v>2010-2020</v>
      </c>
    </row>
    <row r="3197" spans="1:13" hidden="1">
      <c r="A3197" t="s">
        <v>4555</v>
      </c>
      <c r="B3197" t="s">
        <v>81</v>
      </c>
      <c r="C3197" s="1">
        <v>45359</v>
      </c>
      <c r="D3197" s="2">
        <v>113104452</v>
      </c>
      <c r="E3197" s="2">
        <v>5316</v>
      </c>
      <c r="G3197" s="2">
        <v>12373294</v>
      </c>
      <c r="H3197" s="2">
        <v>199529</v>
      </c>
      <c r="J3197">
        <v>7</v>
      </c>
      <c r="L3197">
        <v>0</v>
      </c>
      <c r="M3197" t="str">
        <f t="shared" si="49"/>
        <v>After 2020</v>
      </c>
    </row>
    <row r="3198" spans="1:13">
      <c r="A3198" t="s">
        <v>4556</v>
      </c>
      <c r="B3198" t="s">
        <v>1217</v>
      </c>
      <c r="C3198" s="1">
        <v>43899</v>
      </c>
      <c r="D3198" s="2">
        <v>297150374</v>
      </c>
      <c r="E3198" s="2">
        <v>25519</v>
      </c>
      <c r="F3198">
        <v>62</v>
      </c>
      <c r="G3198" s="2">
        <v>586564510</v>
      </c>
      <c r="H3198" s="2">
        <v>4724003</v>
      </c>
      <c r="I3198" s="2">
        <v>403373148</v>
      </c>
      <c r="J3198">
        <v>31</v>
      </c>
      <c r="K3198">
        <v>45</v>
      </c>
      <c r="L3198">
        <v>0</v>
      </c>
      <c r="M3198" t="str">
        <f t="shared" si="49"/>
        <v>2010-2020</v>
      </c>
    </row>
    <row r="3199" spans="1:13">
      <c r="A3199" t="s">
        <v>4557</v>
      </c>
      <c r="B3199" t="s">
        <v>61</v>
      </c>
      <c r="C3199" s="1">
        <v>40909</v>
      </c>
      <c r="D3199" s="2">
        <v>669895431</v>
      </c>
      <c r="E3199" s="2">
        <v>82898</v>
      </c>
      <c r="F3199">
        <v>67</v>
      </c>
      <c r="G3199" s="2">
        <v>909093534</v>
      </c>
      <c r="H3199" s="2">
        <v>5048332</v>
      </c>
      <c r="I3199" s="2">
        <v>328889314</v>
      </c>
      <c r="J3199">
        <v>90</v>
      </c>
      <c r="K3199">
        <v>290</v>
      </c>
      <c r="L3199">
        <v>0</v>
      </c>
      <c r="M3199" t="str">
        <f t="shared" si="49"/>
        <v>2010-2020</v>
      </c>
    </row>
    <row r="3200" spans="1:13">
      <c r="A3200" t="s">
        <v>4558</v>
      </c>
      <c r="B3200" t="s">
        <v>121</v>
      </c>
      <c r="C3200" s="1">
        <v>44357</v>
      </c>
      <c r="D3200" s="2">
        <v>142352659</v>
      </c>
      <c r="E3200" s="2">
        <v>80632</v>
      </c>
      <c r="F3200">
        <v>58</v>
      </c>
      <c r="G3200" s="2">
        <v>105833149</v>
      </c>
      <c r="H3200" s="2">
        <v>819235</v>
      </c>
      <c r="I3200" s="2">
        <v>129897849</v>
      </c>
      <c r="J3200">
        <v>96</v>
      </c>
      <c r="K3200">
        <v>85</v>
      </c>
      <c r="L3200">
        <v>1</v>
      </c>
      <c r="M3200" t="str">
        <f t="shared" si="49"/>
        <v>After 2020</v>
      </c>
    </row>
    <row r="3201" spans="1:13">
      <c r="A3201" t="s">
        <v>4559</v>
      </c>
      <c r="B3201" t="s">
        <v>384</v>
      </c>
      <c r="C3201" s="1">
        <v>44946</v>
      </c>
      <c r="D3201" s="2">
        <v>306952759</v>
      </c>
      <c r="E3201" s="2">
        <v>43759</v>
      </c>
      <c r="F3201">
        <v>68</v>
      </c>
      <c r="G3201" s="2">
        <v>32391738</v>
      </c>
      <c r="H3201" s="2">
        <v>149460</v>
      </c>
      <c r="I3201" s="2">
        <v>101766021</v>
      </c>
      <c r="J3201">
        <v>8</v>
      </c>
      <c r="K3201">
        <v>322</v>
      </c>
      <c r="L3201">
        <v>0</v>
      </c>
      <c r="M3201" t="str">
        <f t="shared" si="49"/>
        <v>After 2020</v>
      </c>
    </row>
    <row r="3202" spans="1:13" hidden="1">
      <c r="A3202" t="s">
        <v>4560</v>
      </c>
      <c r="B3202" t="s">
        <v>4561</v>
      </c>
      <c r="C3202" s="1">
        <v>45044</v>
      </c>
      <c r="D3202" s="2">
        <v>46356684</v>
      </c>
      <c r="E3202" s="2">
        <v>18454</v>
      </c>
      <c r="F3202">
        <v>53</v>
      </c>
      <c r="G3202" s="2">
        <v>74548185</v>
      </c>
      <c r="H3202" s="2">
        <v>462187</v>
      </c>
      <c r="I3202" s="2">
        <v>1429881947</v>
      </c>
      <c r="J3202">
        <v>9</v>
      </c>
      <c r="L3202">
        <v>0</v>
      </c>
      <c r="M3202" t="str">
        <f t="shared" si="49"/>
        <v>After 2020</v>
      </c>
    </row>
    <row r="3203" spans="1:13" hidden="1">
      <c r="A3203" t="s">
        <v>4562</v>
      </c>
      <c r="B3203" t="s">
        <v>4563</v>
      </c>
      <c r="C3203" s="1">
        <v>45344</v>
      </c>
      <c r="D3203" s="2">
        <v>68349764</v>
      </c>
      <c r="E3203" s="2">
        <v>7210</v>
      </c>
      <c r="F3203">
        <v>8</v>
      </c>
      <c r="G3203" s="2">
        <v>16821942</v>
      </c>
      <c r="H3203" s="2">
        <v>150277</v>
      </c>
      <c r="I3203" s="2">
        <v>10013585</v>
      </c>
      <c r="J3203">
        <v>13</v>
      </c>
      <c r="L3203">
        <v>1</v>
      </c>
      <c r="M3203" t="str">
        <f t="shared" ref="M3203:M3266" si="50">IF(YEAR(C3203)&lt;2010,"Before 2010",IF(YEAR(C3203)&lt;=2020,"2010-2020","After 2020"))</f>
        <v>After 2020</v>
      </c>
    </row>
    <row r="3204" spans="1:13" hidden="1">
      <c r="A3204" t="s">
        <v>4564</v>
      </c>
      <c r="B3204" t="s">
        <v>163</v>
      </c>
      <c r="C3204" s="1">
        <v>45071</v>
      </c>
      <c r="D3204" s="2">
        <v>129573063</v>
      </c>
      <c r="E3204" s="2">
        <v>9240</v>
      </c>
      <c r="F3204">
        <v>63</v>
      </c>
      <c r="G3204" s="2">
        <v>124184578</v>
      </c>
      <c r="H3204" s="2">
        <v>417710</v>
      </c>
      <c r="I3204" s="2">
        <v>168267163</v>
      </c>
      <c r="J3204">
        <v>8</v>
      </c>
      <c r="L3204">
        <v>0</v>
      </c>
      <c r="M3204" t="str">
        <f t="shared" si="50"/>
        <v>After 2020</v>
      </c>
    </row>
    <row r="3205" spans="1:13" hidden="1">
      <c r="A3205" t="s">
        <v>4565</v>
      </c>
      <c r="B3205" t="s">
        <v>4566</v>
      </c>
      <c r="C3205" s="1">
        <v>44701</v>
      </c>
      <c r="D3205" s="2">
        <v>839345554</v>
      </c>
      <c r="E3205">
        <v>295</v>
      </c>
      <c r="F3205">
        <v>23</v>
      </c>
      <c r="J3205">
        <v>13</v>
      </c>
      <c r="L3205">
        <v>0</v>
      </c>
      <c r="M3205" t="str">
        <f t="shared" si="50"/>
        <v>After 2020</v>
      </c>
    </row>
    <row r="3206" spans="1:13">
      <c r="A3206" t="s">
        <v>4567</v>
      </c>
      <c r="B3206" t="s">
        <v>617</v>
      </c>
      <c r="C3206" s="1">
        <v>44805</v>
      </c>
      <c r="D3206" s="2">
        <v>106218899</v>
      </c>
      <c r="E3206" s="2">
        <v>18622</v>
      </c>
      <c r="F3206">
        <v>60</v>
      </c>
      <c r="G3206" s="2">
        <v>54371720</v>
      </c>
      <c r="H3206" s="2">
        <v>527297</v>
      </c>
      <c r="I3206" s="2">
        <v>44940300</v>
      </c>
      <c r="J3206">
        <v>39</v>
      </c>
      <c r="K3206">
        <v>847</v>
      </c>
      <c r="L3206">
        <v>0</v>
      </c>
      <c r="M3206" t="str">
        <f t="shared" si="50"/>
        <v>After 2020</v>
      </c>
    </row>
    <row r="3207" spans="1:13" hidden="1">
      <c r="A3207" t="s">
        <v>4568</v>
      </c>
      <c r="B3207" t="s">
        <v>182</v>
      </c>
      <c r="C3207" s="1">
        <v>45301</v>
      </c>
      <c r="D3207" s="2">
        <v>51365907</v>
      </c>
      <c r="E3207" s="2">
        <v>12559</v>
      </c>
      <c r="G3207" s="2">
        <v>10673012</v>
      </c>
      <c r="H3207" s="2">
        <v>128410</v>
      </c>
      <c r="J3207">
        <v>14</v>
      </c>
      <c r="L3207">
        <v>1</v>
      </c>
      <c r="M3207" t="str">
        <f t="shared" si="50"/>
        <v>After 2020</v>
      </c>
    </row>
    <row r="3208" spans="1:13" hidden="1">
      <c r="A3208" t="s">
        <v>4569</v>
      </c>
      <c r="B3208" t="s">
        <v>449</v>
      </c>
      <c r="C3208" s="1">
        <v>43889</v>
      </c>
      <c r="D3208" s="2">
        <v>241293946</v>
      </c>
      <c r="E3208" s="2">
        <v>87019</v>
      </c>
      <c r="F3208">
        <v>70</v>
      </c>
      <c r="G3208" s="2">
        <v>54454355</v>
      </c>
      <c r="H3208" s="2">
        <v>416677</v>
      </c>
      <c r="I3208" s="2">
        <v>80675570</v>
      </c>
      <c r="J3208">
        <v>29</v>
      </c>
      <c r="L3208">
        <v>1</v>
      </c>
      <c r="M3208" t="str">
        <f t="shared" si="50"/>
        <v>2010-2020</v>
      </c>
    </row>
    <row r="3209" spans="1:13">
      <c r="A3209" t="s">
        <v>4570</v>
      </c>
      <c r="B3209" t="s">
        <v>3335</v>
      </c>
      <c r="C3209" s="1">
        <v>42461</v>
      </c>
      <c r="D3209" s="2">
        <v>872428879</v>
      </c>
      <c r="E3209" s="2">
        <v>85665</v>
      </c>
      <c r="F3209">
        <v>60</v>
      </c>
      <c r="G3209" s="2">
        <v>114782349</v>
      </c>
      <c r="H3209" s="2">
        <v>1125843</v>
      </c>
      <c r="I3209" s="2">
        <v>239961275</v>
      </c>
      <c r="J3209">
        <v>89</v>
      </c>
      <c r="K3209">
        <v>21</v>
      </c>
      <c r="L3209">
        <v>0</v>
      </c>
      <c r="M3209" t="str">
        <f t="shared" si="50"/>
        <v>2010-2020</v>
      </c>
    </row>
    <row r="3210" spans="1:13">
      <c r="A3210" t="s">
        <v>4571</v>
      </c>
      <c r="B3210" t="s">
        <v>318</v>
      </c>
      <c r="C3210" s="1">
        <v>44757</v>
      </c>
      <c r="D3210" s="2">
        <v>283406755</v>
      </c>
      <c r="E3210" s="2">
        <v>35672</v>
      </c>
      <c r="F3210">
        <v>77</v>
      </c>
      <c r="G3210" s="2">
        <v>62279409</v>
      </c>
      <c r="H3210" s="2">
        <v>254008</v>
      </c>
      <c r="I3210" s="2">
        <v>49171406</v>
      </c>
      <c r="J3210">
        <v>12</v>
      </c>
      <c r="K3210">
        <v>22</v>
      </c>
      <c r="L3210">
        <v>0</v>
      </c>
      <c r="M3210" t="str">
        <f t="shared" si="50"/>
        <v>After 2020</v>
      </c>
    </row>
    <row r="3211" spans="1:13" hidden="1">
      <c r="A3211" t="s">
        <v>4572</v>
      </c>
      <c r="B3211" t="s">
        <v>1680</v>
      </c>
      <c r="C3211" s="1">
        <v>40575</v>
      </c>
      <c r="D3211" s="2">
        <v>420074095</v>
      </c>
      <c r="E3211" s="2">
        <v>84668</v>
      </c>
      <c r="F3211">
        <v>65</v>
      </c>
      <c r="G3211" s="2">
        <v>571911363</v>
      </c>
      <c r="H3211" s="2">
        <v>3726047</v>
      </c>
      <c r="I3211" s="2">
        <v>634498093</v>
      </c>
      <c r="J3211">
        <v>37</v>
      </c>
      <c r="L3211">
        <v>1</v>
      </c>
      <c r="M3211" t="str">
        <f t="shared" si="50"/>
        <v>2010-2020</v>
      </c>
    </row>
    <row r="3212" spans="1:13">
      <c r="A3212" t="s">
        <v>4573</v>
      </c>
      <c r="B3212" t="s">
        <v>61</v>
      </c>
      <c r="C3212" s="1">
        <v>41640</v>
      </c>
      <c r="D3212" s="2">
        <v>1216966135</v>
      </c>
      <c r="E3212" s="2">
        <v>92577</v>
      </c>
      <c r="F3212">
        <v>74</v>
      </c>
      <c r="G3212" s="2">
        <v>848555837</v>
      </c>
      <c r="H3212" s="2">
        <v>4212951</v>
      </c>
      <c r="I3212" s="2">
        <v>428073160</v>
      </c>
      <c r="J3212">
        <v>116</v>
      </c>
      <c r="K3212">
        <v>117</v>
      </c>
      <c r="L3212">
        <v>0</v>
      </c>
      <c r="M3212" t="str">
        <f t="shared" si="50"/>
        <v>2010-2020</v>
      </c>
    </row>
    <row r="3213" spans="1:13">
      <c r="A3213" t="s">
        <v>4574</v>
      </c>
      <c r="B3213" t="s">
        <v>735</v>
      </c>
      <c r="C3213" s="1">
        <v>45015</v>
      </c>
      <c r="D3213" s="2">
        <v>65174919</v>
      </c>
      <c r="E3213" s="2">
        <v>13131</v>
      </c>
      <c r="F3213">
        <v>64</v>
      </c>
      <c r="G3213" s="2">
        <v>37986567</v>
      </c>
      <c r="H3213" s="2">
        <v>363870</v>
      </c>
      <c r="I3213" s="2">
        <v>479919203</v>
      </c>
      <c r="J3213">
        <v>43</v>
      </c>
      <c r="K3213">
        <v>34</v>
      </c>
      <c r="L3213">
        <v>0</v>
      </c>
      <c r="M3213" t="str">
        <f t="shared" si="50"/>
        <v>After 2020</v>
      </c>
    </row>
    <row r="3214" spans="1:13">
      <c r="A3214" t="s">
        <v>4575</v>
      </c>
      <c r="B3214" t="s">
        <v>305</v>
      </c>
      <c r="C3214" s="1">
        <v>40179</v>
      </c>
      <c r="D3214" s="2">
        <v>1313545266</v>
      </c>
      <c r="E3214" s="2">
        <v>193103</v>
      </c>
      <c r="F3214">
        <v>73</v>
      </c>
      <c r="G3214" s="2">
        <v>1310515665</v>
      </c>
      <c r="H3214" s="2">
        <v>6898904</v>
      </c>
      <c r="I3214" s="2">
        <v>147790820</v>
      </c>
      <c r="J3214">
        <v>60</v>
      </c>
      <c r="K3214">
        <v>257</v>
      </c>
      <c r="L3214">
        <v>0</v>
      </c>
      <c r="M3214" t="str">
        <f t="shared" si="50"/>
        <v>2010-2020</v>
      </c>
    </row>
    <row r="3215" spans="1:13" hidden="1">
      <c r="A3215" t="s">
        <v>4576</v>
      </c>
      <c r="B3215" t="s">
        <v>1890</v>
      </c>
      <c r="C3215" s="1">
        <v>43392</v>
      </c>
      <c r="D3215" s="2">
        <v>526007719</v>
      </c>
      <c r="E3215" s="2">
        <v>118927</v>
      </c>
      <c r="F3215">
        <v>71</v>
      </c>
      <c r="G3215" s="2">
        <v>123695264</v>
      </c>
      <c r="H3215" s="2">
        <v>1202616</v>
      </c>
      <c r="I3215" s="2">
        <v>705148582</v>
      </c>
      <c r="J3215">
        <v>27</v>
      </c>
      <c r="L3215">
        <v>1</v>
      </c>
      <c r="M3215" t="str">
        <f t="shared" si="50"/>
        <v>2010-2020</v>
      </c>
    </row>
    <row r="3216" spans="1:13">
      <c r="A3216" t="s">
        <v>4577</v>
      </c>
      <c r="B3216" t="s">
        <v>1412</v>
      </c>
      <c r="C3216" s="1">
        <v>43960</v>
      </c>
      <c r="D3216" s="2">
        <v>705672746</v>
      </c>
      <c r="E3216" s="2">
        <v>84469</v>
      </c>
      <c r="F3216">
        <v>70</v>
      </c>
      <c r="G3216" s="2">
        <v>271113088</v>
      </c>
      <c r="H3216" s="2">
        <v>1055058</v>
      </c>
      <c r="I3216" s="2">
        <v>124603506</v>
      </c>
      <c r="J3216">
        <v>79</v>
      </c>
      <c r="K3216">
        <v>20</v>
      </c>
      <c r="L3216">
        <v>1</v>
      </c>
      <c r="M3216" t="str">
        <f t="shared" si="50"/>
        <v>2010-2020</v>
      </c>
    </row>
    <row r="3217" spans="1:13" hidden="1">
      <c r="A3217" t="s">
        <v>217</v>
      </c>
      <c r="B3217" t="s">
        <v>161</v>
      </c>
      <c r="C3217" s="1">
        <v>44400</v>
      </c>
      <c r="D3217" s="2">
        <v>2014959725</v>
      </c>
      <c r="E3217" s="2">
        <v>7808</v>
      </c>
      <c r="F3217">
        <v>48</v>
      </c>
      <c r="G3217" s="2">
        <v>85254240</v>
      </c>
      <c r="H3217" s="2">
        <v>910332</v>
      </c>
      <c r="J3217">
        <v>56</v>
      </c>
      <c r="L3217">
        <v>0</v>
      </c>
      <c r="M3217" t="str">
        <f t="shared" si="50"/>
        <v>After 2020</v>
      </c>
    </row>
    <row r="3218" spans="1:13" hidden="1">
      <c r="A3218" t="s">
        <v>4578</v>
      </c>
      <c r="B3218" t="s">
        <v>99</v>
      </c>
      <c r="C3218" s="1">
        <v>45422</v>
      </c>
      <c r="D3218" s="2">
        <v>18861338</v>
      </c>
      <c r="E3218" s="2">
        <v>3421</v>
      </c>
      <c r="G3218" s="2">
        <v>1708354</v>
      </c>
      <c r="H3218" s="2">
        <v>29123</v>
      </c>
      <c r="K3218">
        <v>3</v>
      </c>
      <c r="L3218">
        <v>1</v>
      </c>
      <c r="M3218" t="str">
        <f t="shared" si="50"/>
        <v>After 2020</v>
      </c>
    </row>
    <row r="3219" spans="1:13" hidden="1">
      <c r="A3219" t="s">
        <v>4579</v>
      </c>
      <c r="B3219" t="s">
        <v>4580</v>
      </c>
      <c r="C3219" s="1">
        <v>40544</v>
      </c>
      <c r="D3219" s="2">
        <v>1050676021</v>
      </c>
      <c r="E3219" s="2">
        <v>222725</v>
      </c>
      <c r="F3219">
        <v>75</v>
      </c>
      <c r="G3219" s="2">
        <v>95461283</v>
      </c>
      <c r="H3219" s="2">
        <v>924094</v>
      </c>
      <c r="I3219" s="2">
        <v>162004699</v>
      </c>
      <c r="J3219">
        <v>96</v>
      </c>
      <c r="L3219">
        <v>0</v>
      </c>
      <c r="M3219" t="str">
        <f t="shared" si="50"/>
        <v>2010-2020</v>
      </c>
    </row>
    <row r="3220" spans="1:13" hidden="1">
      <c r="A3220" t="s">
        <v>4581</v>
      </c>
      <c r="B3220" t="s">
        <v>2321</v>
      </c>
      <c r="C3220" s="1">
        <v>45149</v>
      </c>
      <c r="D3220" s="2">
        <v>73979851</v>
      </c>
      <c r="E3220" s="2">
        <v>22621</v>
      </c>
      <c r="F3220">
        <v>67</v>
      </c>
      <c r="G3220" s="2">
        <v>50747796</v>
      </c>
      <c r="H3220" s="2">
        <v>693723</v>
      </c>
      <c r="I3220" s="2">
        <v>3352332</v>
      </c>
      <c r="K3220">
        <v>55</v>
      </c>
      <c r="L3220">
        <v>1</v>
      </c>
      <c r="M3220" t="str">
        <f t="shared" si="50"/>
        <v>After 2020</v>
      </c>
    </row>
    <row r="3221" spans="1:13" hidden="1">
      <c r="A3221" t="s">
        <v>4582</v>
      </c>
      <c r="B3221" t="s">
        <v>4583</v>
      </c>
      <c r="C3221" s="1">
        <v>45359</v>
      </c>
      <c r="D3221" s="2">
        <v>34343044</v>
      </c>
      <c r="E3221" s="2">
        <v>5156</v>
      </c>
      <c r="G3221" s="2">
        <v>11778991</v>
      </c>
      <c r="H3221" s="2">
        <v>285840</v>
      </c>
      <c r="I3221" s="2">
        <v>6100000</v>
      </c>
      <c r="J3221">
        <v>1</v>
      </c>
      <c r="L3221">
        <v>0</v>
      </c>
      <c r="M3221" t="str">
        <f t="shared" si="50"/>
        <v>After 2020</v>
      </c>
    </row>
    <row r="3222" spans="1:13" hidden="1">
      <c r="A3222" t="s">
        <v>4584</v>
      </c>
      <c r="B3222" t="s">
        <v>4585</v>
      </c>
      <c r="C3222" s="1">
        <v>44958</v>
      </c>
      <c r="E3222">
        <v>101</v>
      </c>
      <c r="F3222">
        <v>19</v>
      </c>
      <c r="I3222" s="2">
        <v>153005807</v>
      </c>
      <c r="L3222">
        <v>0</v>
      </c>
      <c r="M3222" t="str">
        <f t="shared" si="50"/>
        <v>After 2020</v>
      </c>
    </row>
    <row r="3223" spans="1:13">
      <c r="A3223" t="s">
        <v>4586</v>
      </c>
      <c r="B3223" t="s">
        <v>546</v>
      </c>
      <c r="C3223" s="1">
        <v>45107</v>
      </c>
      <c r="D3223" s="2">
        <v>73140012</v>
      </c>
      <c r="E3223" s="2">
        <v>38585</v>
      </c>
      <c r="F3223">
        <v>62</v>
      </c>
      <c r="G3223" s="2">
        <v>4645872</v>
      </c>
      <c r="H3223" s="2">
        <v>99384</v>
      </c>
      <c r="I3223" s="2">
        <v>75770759</v>
      </c>
      <c r="J3223">
        <v>30</v>
      </c>
      <c r="K3223">
        <v>17</v>
      </c>
      <c r="L3223">
        <v>1</v>
      </c>
      <c r="M3223" t="str">
        <f t="shared" si="50"/>
        <v>After 2020</v>
      </c>
    </row>
    <row r="3224" spans="1:13" hidden="1">
      <c r="A3224" t="s">
        <v>4587</v>
      </c>
      <c r="B3224" t="s">
        <v>1368</v>
      </c>
      <c r="C3224" s="1">
        <v>43259</v>
      </c>
      <c r="D3224" s="2">
        <v>61704511</v>
      </c>
      <c r="E3224" s="2">
        <v>4273</v>
      </c>
      <c r="F3224">
        <v>53</v>
      </c>
      <c r="G3224" s="2">
        <v>1185240552</v>
      </c>
      <c r="H3224" s="2">
        <v>3361490</v>
      </c>
      <c r="I3224" s="2">
        <v>402111</v>
      </c>
      <c r="L3224">
        <v>0</v>
      </c>
      <c r="M3224" t="str">
        <f t="shared" si="50"/>
        <v>2010-2020</v>
      </c>
    </row>
    <row r="3225" spans="1:13" hidden="1">
      <c r="A3225" t="s">
        <v>4588</v>
      </c>
      <c r="B3225" t="s">
        <v>2600</v>
      </c>
      <c r="C3225" s="1">
        <v>43083</v>
      </c>
      <c r="D3225" s="2">
        <v>450102131</v>
      </c>
      <c r="E3225" s="2">
        <v>176711</v>
      </c>
      <c r="F3225">
        <v>65</v>
      </c>
      <c r="I3225" s="2">
        <v>513770838</v>
      </c>
      <c r="J3225">
        <v>68</v>
      </c>
      <c r="L3225">
        <v>0</v>
      </c>
      <c r="M3225" t="str">
        <f t="shared" si="50"/>
        <v>2010-2020</v>
      </c>
    </row>
    <row r="3226" spans="1:13" hidden="1">
      <c r="A3226" t="s">
        <v>4589</v>
      </c>
      <c r="B3226" t="s">
        <v>1807</v>
      </c>
      <c r="C3226" s="1">
        <v>45320</v>
      </c>
      <c r="D3226" s="2">
        <v>33867992</v>
      </c>
      <c r="E3226" s="2">
        <v>7982</v>
      </c>
      <c r="F3226">
        <v>69</v>
      </c>
      <c r="I3226" s="2">
        <v>407405367</v>
      </c>
      <c r="J3226">
        <v>21</v>
      </c>
      <c r="K3226">
        <v>3</v>
      </c>
      <c r="L3226">
        <v>0</v>
      </c>
      <c r="M3226" t="str">
        <f t="shared" si="50"/>
        <v>After 2020</v>
      </c>
    </row>
    <row r="3227" spans="1:13">
      <c r="A3227" t="s">
        <v>366</v>
      </c>
      <c r="B3227" t="s">
        <v>28</v>
      </c>
      <c r="C3227" s="1">
        <v>37257</v>
      </c>
      <c r="D3227" s="2">
        <v>2146682342</v>
      </c>
      <c r="E3227" s="2">
        <v>397228</v>
      </c>
      <c r="F3227">
        <v>83</v>
      </c>
      <c r="G3227" s="2">
        <v>347730526</v>
      </c>
      <c r="H3227" s="2">
        <v>3552978</v>
      </c>
      <c r="I3227" s="2">
        <v>177890147</v>
      </c>
      <c r="J3227">
        <v>118</v>
      </c>
      <c r="K3227">
        <v>69</v>
      </c>
      <c r="L3227">
        <v>1</v>
      </c>
      <c r="M3227" t="str">
        <f t="shared" si="50"/>
        <v>Before 2010</v>
      </c>
    </row>
    <row r="3228" spans="1:13" hidden="1">
      <c r="A3228" t="s">
        <v>4590</v>
      </c>
      <c r="B3228" t="s">
        <v>4591</v>
      </c>
      <c r="C3228" s="1">
        <v>43021</v>
      </c>
      <c r="D3228" s="2">
        <v>616379687</v>
      </c>
      <c r="E3228" s="2">
        <v>98086</v>
      </c>
      <c r="F3228">
        <v>65</v>
      </c>
      <c r="G3228" s="2">
        <v>348579880</v>
      </c>
      <c r="H3228" s="2">
        <v>3152170</v>
      </c>
      <c r="I3228" s="2">
        <v>205457689</v>
      </c>
      <c r="J3228">
        <v>70</v>
      </c>
      <c r="L3228">
        <v>0</v>
      </c>
      <c r="M3228" t="str">
        <f t="shared" si="50"/>
        <v>2010-2020</v>
      </c>
    </row>
    <row r="3229" spans="1:13">
      <c r="A3229" t="s">
        <v>4592</v>
      </c>
      <c r="B3229" t="s">
        <v>170</v>
      </c>
      <c r="C3229" s="1">
        <v>42881</v>
      </c>
      <c r="D3229" s="2">
        <v>338782953</v>
      </c>
      <c r="E3229" s="2">
        <v>37015</v>
      </c>
      <c r="F3229">
        <v>64</v>
      </c>
      <c r="G3229" s="2">
        <v>1100136050</v>
      </c>
      <c r="H3229" s="2">
        <v>4740945</v>
      </c>
      <c r="I3229" s="2">
        <v>99920646</v>
      </c>
      <c r="J3229">
        <v>25</v>
      </c>
      <c r="K3229">
        <v>7</v>
      </c>
      <c r="L3229">
        <v>1</v>
      </c>
      <c r="M3229" t="str">
        <f t="shared" si="50"/>
        <v>2010-2020</v>
      </c>
    </row>
    <row r="3230" spans="1:13">
      <c r="A3230" t="s">
        <v>4593</v>
      </c>
      <c r="B3230" t="s">
        <v>2694</v>
      </c>
      <c r="C3230" s="1">
        <v>43343</v>
      </c>
      <c r="D3230" s="2">
        <v>503187980</v>
      </c>
      <c r="E3230" s="2">
        <v>36629</v>
      </c>
      <c r="F3230">
        <v>65</v>
      </c>
      <c r="G3230" s="2">
        <v>857645221</v>
      </c>
      <c r="H3230" s="2">
        <v>2562683</v>
      </c>
      <c r="I3230" s="2">
        <v>40522645</v>
      </c>
      <c r="J3230">
        <v>43</v>
      </c>
      <c r="K3230">
        <v>74</v>
      </c>
      <c r="L3230">
        <v>0</v>
      </c>
      <c r="M3230" t="str">
        <f t="shared" si="50"/>
        <v>2010-2020</v>
      </c>
    </row>
    <row r="3231" spans="1:13">
      <c r="A3231" t="s">
        <v>4594</v>
      </c>
      <c r="B3231" t="s">
        <v>3471</v>
      </c>
      <c r="C3231" s="1">
        <v>42237</v>
      </c>
      <c r="D3231" s="2">
        <v>840781611</v>
      </c>
      <c r="E3231" s="2">
        <v>93600</v>
      </c>
      <c r="F3231">
        <v>64</v>
      </c>
      <c r="G3231" s="2">
        <v>32641573</v>
      </c>
      <c r="H3231" s="2">
        <v>335427</v>
      </c>
      <c r="I3231" s="2">
        <v>160655710</v>
      </c>
      <c r="J3231">
        <v>66</v>
      </c>
      <c r="K3231">
        <v>21</v>
      </c>
      <c r="L3231">
        <v>0</v>
      </c>
      <c r="M3231" t="str">
        <f t="shared" si="50"/>
        <v>2010-2020</v>
      </c>
    </row>
    <row r="3232" spans="1:13" hidden="1">
      <c r="A3232" t="s">
        <v>4595</v>
      </c>
      <c r="B3232" t="s">
        <v>4596</v>
      </c>
      <c r="C3232" s="1">
        <v>43742</v>
      </c>
      <c r="D3232" s="2">
        <v>1060319450</v>
      </c>
      <c r="E3232" s="2">
        <v>93637</v>
      </c>
      <c r="F3232">
        <v>67</v>
      </c>
      <c r="G3232" s="2">
        <v>361854211</v>
      </c>
      <c r="H3232" s="2">
        <v>3836505</v>
      </c>
      <c r="I3232" s="2">
        <v>64709989</v>
      </c>
      <c r="K3232">
        <v>311</v>
      </c>
      <c r="L3232">
        <v>0</v>
      </c>
      <c r="M3232" t="str">
        <f t="shared" si="50"/>
        <v>2010-2020</v>
      </c>
    </row>
    <row r="3233" spans="1:13" hidden="1">
      <c r="A3233" t="s">
        <v>4597</v>
      </c>
      <c r="B3233" t="s">
        <v>4598</v>
      </c>
      <c r="C3233" s="1">
        <v>42879</v>
      </c>
      <c r="D3233" s="2">
        <v>1346174222</v>
      </c>
      <c r="E3233" s="2">
        <v>180267</v>
      </c>
      <c r="F3233">
        <v>75</v>
      </c>
      <c r="G3233" s="2">
        <v>68221936</v>
      </c>
      <c r="H3233" s="2">
        <v>484565</v>
      </c>
      <c r="I3233" s="2">
        <v>87048066</v>
      </c>
      <c r="J3233">
        <v>157</v>
      </c>
      <c r="L3233">
        <v>0</v>
      </c>
      <c r="M3233" t="str">
        <f t="shared" si="50"/>
        <v>2010-2020</v>
      </c>
    </row>
    <row r="3234" spans="1:13" hidden="1">
      <c r="A3234" t="s">
        <v>4599</v>
      </c>
      <c r="B3234" t="s">
        <v>695</v>
      </c>
      <c r="C3234" s="1">
        <v>45352</v>
      </c>
      <c r="D3234" s="2">
        <v>23065156</v>
      </c>
      <c r="E3234" s="2">
        <v>5493</v>
      </c>
      <c r="G3234" s="2">
        <v>9568515</v>
      </c>
      <c r="H3234" s="2">
        <v>227421</v>
      </c>
      <c r="J3234">
        <v>14</v>
      </c>
      <c r="K3234">
        <v>44</v>
      </c>
      <c r="L3234">
        <v>1</v>
      </c>
      <c r="M3234" t="str">
        <f t="shared" si="50"/>
        <v>After 2020</v>
      </c>
    </row>
    <row r="3235" spans="1:13">
      <c r="A3235" t="s">
        <v>4600</v>
      </c>
      <c r="B3235" t="s">
        <v>4601</v>
      </c>
      <c r="C3235" s="1">
        <v>45008</v>
      </c>
      <c r="D3235" s="2">
        <v>33044062</v>
      </c>
      <c r="E3235" s="2">
        <v>11085</v>
      </c>
      <c r="F3235">
        <v>6</v>
      </c>
      <c r="G3235" s="2">
        <v>17304165</v>
      </c>
      <c r="H3235" s="2">
        <v>306669</v>
      </c>
      <c r="I3235" s="2">
        <v>2490290769</v>
      </c>
      <c r="J3235">
        <v>1</v>
      </c>
      <c r="K3235">
        <v>25</v>
      </c>
      <c r="L3235">
        <v>0</v>
      </c>
      <c r="M3235" t="str">
        <f t="shared" si="50"/>
        <v>After 2020</v>
      </c>
    </row>
    <row r="3236" spans="1:13">
      <c r="A3236" t="s">
        <v>4602</v>
      </c>
      <c r="B3236" t="s">
        <v>4603</v>
      </c>
      <c r="C3236" s="1">
        <v>43552</v>
      </c>
      <c r="D3236" s="2">
        <v>346737588</v>
      </c>
      <c r="E3236" s="2">
        <v>25823</v>
      </c>
      <c r="F3236">
        <v>62</v>
      </c>
      <c r="G3236" s="2">
        <v>859633229</v>
      </c>
      <c r="H3236" s="2">
        <v>5596983</v>
      </c>
      <c r="I3236" s="2">
        <v>141133651</v>
      </c>
      <c r="J3236">
        <v>26</v>
      </c>
      <c r="K3236">
        <v>18</v>
      </c>
      <c r="L3236">
        <v>0</v>
      </c>
      <c r="M3236" t="str">
        <f t="shared" si="50"/>
        <v>2010-2020</v>
      </c>
    </row>
    <row r="3237" spans="1:13">
      <c r="A3237" t="s">
        <v>4604</v>
      </c>
      <c r="B3237" t="s">
        <v>99</v>
      </c>
      <c r="C3237" s="1">
        <v>44568</v>
      </c>
      <c r="D3237" s="2">
        <v>170941932</v>
      </c>
      <c r="E3237" s="2">
        <v>73853</v>
      </c>
      <c r="F3237">
        <v>62</v>
      </c>
      <c r="G3237" s="2">
        <v>68412662</v>
      </c>
      <c r="H3237" s="2">
        <v>574589</v>
      </c>
      <c r="I3237" s="2">
        <v>101411557</v>
      </c>
      <c r="J3237">
        <v>17</v>
      </c>
      <c r="K3237">
        <v>261</v>
      </c>
      <c r="L3237">
        <v>1</v>
      </c>
      <c r="M3237" t="str">
        <f t="shared" si="50"/>
        <v>After 2020</v>
      </c>
    </row>
    <row r="3238" spans="1:13" hidden="1">
      <c r="A3238" t="s">
        <v>4605</v>
      </c>
      <c r="B3238" t="s">
        <v>4606</v>
      </c>
      <c r="C3238" s="1">
        <v>44171</v>
      </c>
      <c r="D3238" s="2">
        <v>5984965</v>
      </c>
      <c r="E3238" s="2">
        <v>1054</v>
      </c>
      <c r="F3238">
        <v>35</v>
      </c>
      <c r="G3238" s="2">
        <v>722868512</v>
      </c>
      <c r="H3238" s="2">
        <v>3856431</v>
      </c>
      <c r="I3238" s="2">
        <v>1676397</v>
      </c>
      <c r="L3238">
        <v>0</v>
      </c>
      <c r="M3238" t="str">
        <f t="shared" si="50"/>
        <v>2010-2020</v>
      </c>
    </row>
    <row r="3239" spans="1:13">
      <c r="A3239" t="s">
        <v>4607</v>
      </c>
      <c r="B3239" t="s">
        <v>324</v>
      </c>
      <c r="C3239" s="1">
        <v>42748</v>
      </c>
      <c r="D3239" s="2">
        <v>1188567787</v>
      </c>
      <c r="E3239" s="2">
        <v>125952</v>
      </c>
      <c r="F3239">
        <v>68</v>
      </c>
      <c r="G3239" s="2">
        <v>96234317</v>
      </c>
      <c r="H3239" s="2">
        <v>684919</v>
      </c>
      <c r="I3239" s="2">
        <v>388633141</v>
      </c>
      <c r="J3239">
        <v>99</v>
      </c>
      <c r="K3239">
        <v>91</v>
      </c>
      <c r="L3239">
        <v>0</v>
      </c>
      <c r="M3239" t="str">
        <f t="shared" si="50"/>
        <v>2010-2020</v>
      </c>
    </row>
    <row r="3240" spans="1:13" hidden="1">
      <c r="A3240" t="s">
        <v>4608</v>
      </c>
      <c r="B3240" t="s">
        <v>4609</v>
      </c>
      <c r="C3240" s="1">
        <v>44839</v>
      </c>
      <c r="D3240" s="2">
        <v>1088915</v>
      </c>
      <c r="E3240">
        <v>89</v>
      </c>
      <c r="F3240">
        <v>31</v>
      </c>
      <c r="G3240" s="2">
        <v>45683645</v>
      </c>
      <c r="H3240" s="2">
        <v>212924</v>
      </c>
      <c r="I3240" s="2">
        <v>1504849718</v>
      </c>
      <c r="L3240">
        <v>0</v>
      </c>
      <c r="M3240" t="str">
        <f t="shared" si="50"/>
        <v>After 2020</v>
      </c>
    </row>
    <row r="3241" spans="1:13" hidden="1">
      <c r="A3241" t="s">
        <v>4610</v>
      </c>
      <c r="B3241" t="s">
        <v>1447</v>
      </c>
      <c r="C3241" s="1">
        <v>45205</v>
      </c>
      <c r="D3241" s="2">
        <v>68266114</v>
      </c>
      <c r="E3241" s="2">
        <v>3723</v>
      </c>
      <c r="G3241" s="2">
        <v>110533031</v>
      </c>
      <c r="H3241" s="2">
        <v>640587</v>
      </c>
      <c r="J3241">
        <v>4</v>
      </c>
      <c r="L3241">
        <v>0</v>
      </c>
      <c r="M3241" t="str">
        <f t="shared" si="50"/>
        <v>After 2020</v>
      </c>
    </row>
    <row r="3242" spans="1:13" hidden="1">
      <c r="A3242" t="s">
        <v>4611</v>
      </c>
      <c r="B3242" t="s">
        <v>141</v>
      </c>
      <c r="C3242" s="1">
        <v>45212</v>
      </c>
      <c r="D3242" s="2">
        <v>102660899</v>
      </c>
      <c r="E3242" s="2">
        <v>18253</v>
      </c>
      <c r="G3242" s="2">
        <v>32838380</v>
      </c>
      <c r="H3242" s="2">
        <v>323861</v>
      </c>
      <c r="I3242" s="2">
        <v>21328128</v>
      </c>
      <c r="J3242">
        <v>9</v>
      </c>
      <c r="L3242">
        <v>1</v>
      </c>
      <c r="M3242" t="str">
        <f t="shared" si="50"/>
        <v>After 2020</v>
      </c>
    </row>
    <row r="3243" spans="1:13" hidden="1">
      <c r="A3243" t="s">
        <v>4612</v>
      </c>
      <c r="B3243" t="s">
        <v>4613</v>
      </c>
      <c r="C3243" s="1">
        <v>45443</v>
      </c>
      <c r="D3243" s="2">
        <v>3495596</v>
      </c>
      <c r="E3243">
        <v>848</v>
      </c>
      <c r="G3243" s="2">
        <v>757869</v>
      </c>
      <c r="H3243" s="2">
        <v>24482</v>
      </c>
      <c r="J3243">
        <v>4</v>
      </c>
      <c r="K3243">
        <v>4</v>
      </c>
      <c r="L3243">
        <v>1</v>
      </c>
      <c r="M3243" t="str">
        <f t="shared" si="50"/>
        <v>After 2020</v>
      </c>
    </row>
    <row r="3244" spans="1:13">
      <c r="A3244" t="s">
        <v>4614</v>
      </c>
      <c r="B3244" t="s">
        <v>1803</v>
      </c>
      <c r="C3244" s="1">
        <v>45023</v>
      </c>
      <c r="D3244" s="2">
        <v>45382812</v>
      </c>
      <c r="E3244" s="2">
        <v>26937</v>
      </c>
      <c r="F3244">
        <v>57</v>
      </c>
      <c r="G3244" s="2">
        <v>55687483</v>
      </c>
      <c r="H3244" s="2">
        <v>788743</v>
      </c>
      <c r="I3244" s="2">
        <v>53885377</v>
      </c>
      <c r="J3244">
        <v>4</v>
      </c>
      <c r="K3244">
        <v>26</v>
      </c>
      <c r="L3244">
        <v>1</v>
      </c>
      <c r="M3244" t="str">
        <f t="shared" si="50"/>
        <v>After 2020</v>
      </c>
    </row>
    <row r="3245" spans="1:13" hidden="1">
      <c r="A3245" t="s">
        <v>4615</v>
      </c>
      <c r="B3245" t="s">
        <v>4616</v>
      </c>
      <c r="C3245" s="1">
        <v>44610</v>
      </c>
      <c r="D3245" s="2">
        <v>437825141</v>
      </c>
      <c r="E3245" s="2">
        <v>37050</v>
      </c>
      <c r="F3245">
        <v>70</v>
      </c>
      <c r="G3245" s="2">
        <v>138771397</v>
      </c>
      <c r="H3245" s="2">
        <v>987474</v>
      </c>
      <c r="I3245" s="2">
        <v>550954115</v>
      </c>
      <c r="J3245">
        <v>17</v>
      </c>
      <c r="L3245">
        <v>1</v>
      </c>
      <c r="M3245" t="str">
        <f t="shared" si="50"/>
        <v>After 2020</v>
      </c>
    </row>
    <row r="3246" spans="1:13">
      <c r="A3246" t="s">
        <v>4617</v>
      </c>
      <c r="B3246" t="s">
        <v>19</v>
      </c>
      <c r="C3246" s="1">
        <v>40909</v>
      </c>
      <c r="D3246" s="2">
        <v>731646994</v>
      </c>
      <c r="E3246" s="2">
        <v>157106</v>
      </c>
      <c r="F3246">
        <v>75</v>
      </c>
      <c r="G3246" s="2">
        <v>149345457</v>
      </c>
      <c r="H3246" s="2">
        <v>1143981</v>
      </c>
      <c r="I3246" s="2">
        <v>87387158</v>
      </c>
      <c r="J3246">
        <v>62</v>
      </c>
      <c r="K3246">
        <v>21</v>
      </c>
      <c r="L3246">
        <v>1</v>
      </c>
      <c r="M3246" t="str">
        <f t="shared" si="50"/>
        <v>2010-2020</v>
      </c>
    </row>
    <row r="3247" spans="1:13">
      <c r="A3247" t="s">
        <v>4618</v>
      </c>
      <c r="B3247" t="s">
        <v>4619</v>
      </c>
      <c r="C3247" s="1">
        <v>45296</v>
      </c>
      <c r="D3247" s="2">
        <v>49756092</v>
      </c>
      <c r="E3247" s="2">
        <v>11905</v>
      </c>
      <c r="F3247">
        <v>73</v>
      </c>
      <c r="G3247" s="2">
        <v>16624763</v>
      </c>
      <c r="H3247" s="2">
        <v>340925</v>
      </c>
      <c r="I3247" s="2">
        <v>4372</v>
      </c>
      <c r="J3247">
        <v>12</v>
      </c>
      <c r="K3247">
        <v>5</v>
      </c>
      <c r="L3247">
        <v>1</v>
      </c>
      <c r="M3247" t="str">
        <f t="shared" si="50"/>
        <v>After 2020</v>
      </c>
    </row>
    <row r="3248" spans="1:13">
      <c r="A3248" t="s">
        <v>4620</v>
      </c>
      <c r="B3248" t="s">
        <v>258</v>
      </c>
      <c r="C3248" s="1">
        <v>41652</v>
      </c>
      <c r="D3248" s="2">
        <v>526083566</v>
      </c>
      <c r="E3248" s="2">
        <v>76288</v>
      </c>
      <c r="F3248">
        <v>69</v>
      </c>
      <c r="G3248" s="2">
        <v>1460145349</v>
      </c>
      <c r="H3248" s="2">
        <v>7622345</v>
      </c>
      <c r="I3248" s="2">
        <v>212271619</v>
      </c>
      <c r="J3248">
        <v>40</v>
      </c>
      <c r="K3248">
        <v>1</v>
      </c>
      <c r="L3248">
        <v>0</v>
      </c>
      <c r="M3248" t="str">
        <f t="shared" si="50"/>
        <v>2010-2020</v>
      </c>
    </row>
    <row r="3249" spans="1:13">
      <c r="A3249" t="s">
        <v>4621</v>
      </c>
      <c r="B3249" t="s">
        <v>3006</v>
      </c>
      <c r="C3249" s="1">
        <v>42657</v>
      </c>
      <c r="D3249" s="2">
        <v>683966195</v>
      </c>
      <c r="E3249" s="2">
        <v>70054</v>
      </c>
      <c r="F3249">
        <v>65</v>
      </c>
      <c r="G3249" s="2">
        <v>570116637</v>
      </c>
      <c r="H3249" s="2">
        <v>4467555</v>
      </c>
      <c r="I3249" s="2">
        <v>57154966</v>
      </c>
      <c r="J3249">
        <v>62</v>
      </c>
      <c r="K3249">
        <v>12</v>
      </c>
      <c r="L3249">
        <v>0</v>
      </c>
      <c r="M3249" t="str">
        <f t="shared" si="50"/>
        <v>2010-2020</v>
      </c>
    </row>
    <row r="3250" spans="1:13" hidden="1">
      <c r="A3250" t="s">
        <v>4622</v>
      </c>
      <c r="B3250" t="s">
        <v>70</v>
      </c>
      <c r="C3250" s="1">
        <v>45142</v>
      </c>
      <c r="D3250" s="2">
        <v>22007314</v>
      </c>
      <c r="E3250" s="2">
        <v>2582</v>
      </c>
      <c r="F3250">
        <v>54</v>
      </c>
      <c r="I3250" s="2">
        <v>750594068</v>
      </c>
      <c r="J3250">
        <v>1</v>
      </c>
      <c r="K3250">
        <v>150</v>
      </c>
      <c r="L3250">
        <v>1</v>
      </c>
      <c r="M3250" t="str">
        <f t="shared" si="50"/>
        <v>After 2020</v>
      </c>
    </row>
    <row r="3251" spans="1:13">
      <c r="A3251" t="s">
        <v>4623</v>
      </c>
      <c r="B3251" t="s">
        <v>1286</v>
      </c>
      <c r="C3251" s="1">
        <v>43168</v>
      </c>
      <c r="D3251" s="2">
        <v>915401494</v>
      </c>
      <c r="E3251" s="2">
        <v>155329</v>
      </c>
      <c r="F3251">
        <v>80</v>
      </c>
      <c r="G3251" s="2">
        <v>223385717</v>
      </c>
      <c r="H3251" s="2">
        <v>2683841</v>
      </c>
      <c r="I3251" s="2">
        <v>1120661792</v>
      </c>
      <c r="J3251">
        <v>31</v>
      </c>
      <c r="K3251">
        <v>183</v>
      </c>
      <c r="L3251">
        <v>0</v>
      </c>
      <c r="M3251" t="str">
        <f t="shared" si="50"/>
        <v>2010-2020</v>
      </c>
    </row>
    <row r="3252" spans="1:13">
      <c r="A3252" t="s">
        <v>4624</v>
      </c>
      <c r="B3252" t="s">
        <v>127</v>
      </c>
      <c r="C3252" s="1">
        <v>44232</v>
      </c>
      <c r="D3252" s="2">
        <v>387273112</v>
      </c>
      <c r="E3252" s="2">
        <v>61978</v>
      </c>
      <c r="F3252">
        <v>65</v>
      </c>
      <c r="G3252" s="2">
        <v>103938760</v>
      </c>
      <c r="H3252" s="2">
        <v>1316097</v>
      </c>
      <c r="I3252" s="2">
        <v>179105827</v>
      </c>
      <c r="J3252">
        <v>59</v>
      </c>
      <c r="K3252">
        <v>708</v>
      </c>
      <c r="L3252">
        <v>1</v>
      </c>
      <c r="M3252" t="str">
        <f t="shared" si="50"/>
        <v>After 2020</v>
      </c>
    </row>
    <row r="3253" spans="1:13" hidden="1">
      <c r="A3253" t="s">
        <v>4625</v>
      </c>
      <c r="B3253" t="s">
        <v>61</v>
      </c>
      <c r="C3253" s="1">
        <v>45401</v>
      </c>
      <c r="D3253" s="2">
        <v>81419779</v>
      </c>
      <c r="E3253" s="2">
        <v>3003</v>
      </c>
      <c r="G3253" s="2">
        <v>4628735</v>
      </c>
      <c r="H3253" s="2">
        <v>66025</v>
      </c>
      <c r="I3253" s="2">
        <v>485970</v>
      </c>
      <c r="J3253">
        <v>6</v>
      </c>
      <c r="L3253">
        <v>0</v>
      </c>
      <c r="M3253" t="str">
        <f t="shared" si="50"/>
        <v>After 2020</v>
      </c>
    </row>
    <row r="3254" spans="1:13">
      <c r="A3254" t="s">
        <v>1222</v>
      </c>
      <c r="B3254" t="s">
        <v>68</v>
      </c>
      <c r="C3254" s="1">
        <v>45093</v>
      </c>
      <c r="D3254" s="2">
        <v>124343335</v>
      </c>
      <c r="E3254" s="2">
        <v>25076</v>
      </c>
      <c r="F3254">
        <v>59</v>
      </c>
      <c r="G3254" s="2">
        <v>38371589</v>
      </c>
      <c r="H3254" s="2">
        <v>948608</v>
      </c>
      <c r="I3254" s="2">
        <v>244276844</v>
      </c>
      <c r="J3254">
        <v>37</v>
      </c>
      <c r="K3254">
        <v>41</v>
      </c>
      <c r="L3254">
        <v>1</v>
      </c>
      <c r="M3254" t="str">
        <f t="shared" si="50"/>
        <v>After 2020</v>
      </c>
    </row>
    <row r="3255" spans="1:13">
      <c r="A3255" t="s">
        <v>4626</v>
      </c>
      <c r="B3255" t="s">
        <v>4627</v>
      </c>
      <c r="C3255" s="1">
        <v>39814</v>
      </c>
      <c r="D3255" s="2">
        <v>941989512</v>
      </c>
      <c r="E3255" s="2">
        <v>202958</v>
      </c>
      <c r="F3255">
        <v>74</v>
      </c>
      <c r="G3255" s="2">
        <v>680420701</v>
      </c>
      <c r="H3255" s="2">
        <v>5796336</v>
      </c>
      <c r="I3255" s="2">
        <v>239082117</v>
      </c>
      <c r="J3255">
        <v>49</v>
      </c>
      <c r="K3255">
        <v>58</v>
      </c>
      <c r="L3255">
        <v>0</v>
      </c>
      <c r="M3255" t="str">
        <f t="shared" si="50"/>
        <v>Before 2010</v>
      </c>
    </row>
    <row r="3256" spans="1:13" hidden="1">
      <c r="A3256" t="s">
        <v>4628</v>
      </c>
      <c r="B3256" t="s">
        <v>934</v>
      </c>
      <c r="C3256" s="1">
        <v>45422</v>
      </c>
      <c r="D3256" s="2">
        <v>13194395</v>
      </c>
      <c r="E3256">
        <v>706</v>
      </c>
      <c r="F3256">
        <v>70</v>
      </c>
      <c r="G3256" s="2">
        <v>13890373</v>
      </c>
      <c r="H3256" s="2">
        <v>454342</v>
      </c>
      <c r="J3256">
        <v>18</v>
      </c>
      <c r="L3256">
        <v>1</v>
      </c>
      <c r="M3256" t="str">
        <f t="shared" si="50"/>
        <v>After 2020</v>
      </c>
    </row>
    <row r="3257" spans="1:13" hidden="1">
      <c r="A3257" t="s">
        <v>4629</v>
      </c>
      <c r="B3257" t="s">
        <v>129</v>
      </c>
      <c r="C3257" s="1">
        <v>44897</v>
      </c>
      <c r="D3257" s="2">
        <v>223785164</v>
      </c>
      <c r="E3257" s="2">
        <v>57258</v>
      </c>
      <c r="F3257">
        <v>71</v>
      </c>
      <c r="G3257" s="2">
        <v>15012510</v>
      </c>
      <c r="H3257" s="2">
        <v>128598</v>
      </c>
      <c r="I3257" s="2">
        <v>56806507</v>
      </c>
      <c r="J3257">
        <v>10</v>
      </c>
      <c r="L3257">
        <v>1</v>
      </c>
      <c r="M3257" t="str">
        <f t="shared" si="50"/>
        <v>After 2020</v>
      </c>
    </row>
    <row r="3258" spans="1:13" hidden="1">
      <c r="A3258" t="s">
        <v>4630</v>
      </c>
      <c r="B3258" t="s">
        <v>4631</v>
      </c>
      <c r="C3258" s="1">
        <v>44271</v>
      </c>
      <c r="D3258" s="2">
        <v>272702293</v>
      </c>
      <c r="E3258" s="2">
        <v>96215</v>
      </c>
      <c r="F3258">
        <v>62</v>
      </c>
      <c r="G3258" s="2">
        <v>79195534</v>
      </c>
      <c r="H3258" s="2">
        <v>938464</v>
      </c>
      <c r="I3258" s="2">
        <v>1530938016</v>
      </c>
      <c r="J3258">
        <v>22</v>
      </c>
      <c r="L3258">
        <v>1</v>
      </c>
      <c r="M3258" t="str">
        <f t="shared" si="50"/>
        <v>After 2020</v>
      </c>
    </row>
    <row r="3259" spans="1:13" hidden="1">
      <c r="A3259" t="s">
        <v>4632</v>
      </c>
      <c r="B3259" t="s">
        <v>934</v>
      </c>
      <c r="C3259" s="1">
        <v>44456</v>
      </c>
      <c r="D3259" s="2">
        <v>258337879</v>
      </c>
      <c r="E3259" s="2">
        <v>25049</v>
      </c>
      <c r="F3259">
        <v>65</v>
      </c>
      <c r="G3259" s="2">
        <v>297136479</v>
      </c>
      <c r="H3259" s="2">
        <v>3230400</v>
      </c>
      <c r="I3259" s="2">
        <v>226438634</v>
      </c>
      <c r="J3259">
        <v>9</v>
      </c>
      <c r="L3259">
        <v>1</v>
      </c>
      <c r="M3259" t="str">
        <f t="shared" si="50"/>
        <v>After 2020</v>
      </c>
    </row>
    <row r="3260" spans="1:13">
      <c r="A3260" t="s">
        <v>4633</v>
      </c>
      <c r="B3260" t="s">
        <v>332</v>
      </c>
      <c r="C3260" s="1">
        <v>44778</v>
      </c>
      <c r="D3260" s="2">
        <v>245582383</v>
      </c>
      <c r="E3260" s="2">
        <v>50023</v>
      </c>
      <c r="F3260">
        <v>65</v>
      </c>
      <c r="G3260" s="2">
        <v>100812283</v>
      </c>
      <c r="H3260" s="2">
        <v>754232</v>
      </c>
      <c r="I3260" s="2">
        <v>97281914</v>
      </c>
      <c r="J3260">
        <v>19</v>
      </c>
      <c r="K3260">
        <v>75</v>
      </c>
      <c r="L3260">
        <v>0</v>
      </c>
      <c r="M3260" t="str">
        <f t="shared" si="50"/>
        <v>After 2020</v>
      </c>
    </row>
    <row r="3261" spans="1:13" hidden="1">
      <c r="A3261" t="s">
        <v>4634</v>
      </c>
      <c r="B3261" t="s">
        <v>4635</v>
      </c>
      <c r="C3261" s="1">
        <v>42728</v>
      </c>
      <c r="D3261" s="2">
        <v>92896589</v>
      </c>
      <c r="E3261" s="2">
        <v>15887</v>
      </c>
      <c r="F3261">
        <v>57</v>
      </c>
      <c r="G3261" s="2">
        <v>1409748329</v>
      </c>
      <c r="H3261" s="2">
        <v>8483910</v>
      </c>
      <c r="I3261" s="2">
        <v>203136653</v>
      </c>
      <c r="J3261">
        <v>5</v>
      </c>
      <c r="L3261">
        <v>0</v>
      </c>
      <c r="M3261" t="str">
        <f t="shared" si="50"/>
        <v>2010-2020</v>
      </c>
    </row>
    <row r="3262" spans="1:13" hidden="1">
      <c r="A3262" t="s">
        <v>4636</v>
      </c>
      <c r="B3262" t="s">
        <v>2272</v>
      </c>
      <c r="C3262" s="1">
        <v>45017</v>
      </c>
      <c r="D3262" s="2">
        <v>183162195</v>
      </c>
      <c r="E3262" s="2">
        <v>30174</v>
      </c>
      <c r="F3262">
        <v>69</v>
      </c>
      <c r="G3262" s="2">
        <v>45192343</v>
      </c>
      <c r="H3262" s="2">
        <v>634145</v>
      </c>
      <c r="I3262" s="2">
        <v>229093751</v>
      </c>
      <c r="J3262">
        <v>1</v>
      </c>
      <c r="L3262">
        <v>1</v>
      </c>
      <c r="M3262" t="str">
        <f t="shared" si="50"/>
        <v>After 2020</v>
      </c>
    </row>
    <row r="3263" spans="1:13">
      <c r="A3263" t="s">
        <v>4637</v>
      </c>
      <c r="B3263" t="s">
        <v>4507</v>
      </c>
      <c r="C3263" s="1">
        <v>44931</v>
      </c>
      <c r="D3263" s="2">
        <v>116035112</v>
      </c>
      <c r="E3263" s="2">
        <v>12404</v>
      </c>
      <c r="F3263">
        <v>61</v>
      </c>
      <c r="G3263" s="2">
        <v>11537522</v>
      </c>
      <c r="H3263" s="2">
        <v>78076</v>
      </c>
      <c r="I3263" s="2">
        <v>10490564</v>
      </c>
      <c r="J3263">
        <v>35</v>
      </c>
      <c r="K3263">
        <v>378</v>
      </c>
      <c r="L3263">
        <v>0</v>
      </c>
      <c r="M3263" t="str">
        <f t="shared" si="50"/>
        <v>After 2020</v>
      </c>
    </row>
    <row r="3264" spans="1:13">
      <c r="A3264" t="s">
        <v>4638</v>
      </c>
      <c r="B3264" t="s">
        <v>4639</v>
      </c>
      <c r="C3264" s="1">
        <v>44057</v>
      </c>
      <c r="D3264" s="2">
        <v>390733154</v>
      </c>
      <c r="E3264" s="2">
        <v>105426</v>
      </c>
      <c r="F3264">
        <v>64</v>
      </c>
      <c r="G3264" s="2">
        <v>131372042</v>
      </c>
      <c r="H3264" s="2">
        <v>1114310</v>
      </c>
      <c r="I3264" s="2">
        <v>24693976</v>
      </c>
      <c r="J3264">
        <v>49</v>
      </c>
      <c r="K3264">
        <v>40</v>
      </c>
      <c r="L3264">
        <v>1</v>
      </c>
      <c r="M3264" t="str">
        <f t="shared" si="50"/>
        <v>2010-2020</v>
      </c>
    </row>
    <row r="3265" spans="1:13" hidden="1">
      <c r="A3265" t="s">
        <v>4640</v>
      </c>
      <c r="B3265" t="s">
        <v>4641</v>
      </c>
      <c r="C3265" s="1">
        <v>44631</v>
      </c>
      <c r="D3265" s="2">
        <v>350427750</v>
      </c>
      <c r="E3265" s="2">
        <v>49991</v>
      </c>
      <c r="F3265">
        <v>71</v>
      </c>
      <c r="G3265" s="2">
        <v>124215789</v>
      </c>
      <c r="H3265" s="2">
        <v>737982</v>
      </c>
      <c r="I3265" s="2">
        <v>569263172</v>
      </c>
      <c r="J3265">
        <v>15</v>
      </c>
      <c r="L3265">
        <v>0</v>
      </c>
      <c r="M3265" t="str">
        <f t="shared" si="50"/>
        <v>After 2020</v>
      </c>
    </row>
    <row r="3266" spans="1:13">
      <c r="A3266" t="s">
        <v>4642</v>
      </c>
      <c r="B3266" t="s">
        <v>644</v>
      </c>
      <c r="C3266" s="1">
        <v>44302</v>
      </c>
      <c r="D3266" s="2">
        <v>313144836</v>
      </c>
      <c r="E3266" s="2">
        <v>59063</v>
      </c>
      <c r="F3266">
        <v>62</v>
      </c>
      <c r="G3266" s="2">
        <v>63377694</v>
      </c>
      <c r="H3266" s="2">
        <v>505563</v>
      </c>
      <c r="I3266" s="2">
        <v>105002413</v>
      </c>
      <c r="J3266">
        <v>153</v>
      </c>
      <c r="K3266">
        <v>285</v>
      </c>
      <c r="L3266">
        <v>1</v>
      </c>
      <c r="M3266" t="str">
        <f t="shared" si="50"/>
        <v>After 2020</v>
      </c>
    </row>
    <row r="3267" spans="1:13">
      <c r="A3267" t="s">
        <v>4643</v>
      </c>
      <c r="B3267" t="s">
        <v>123</v>
      </c>
      <c r="C3267" s="1">
        <v>40867</v>
      </c>
      <c r="D3267" s="2">
        <v>2502925593</v>
      </c>
      <c r="E3267" s="2">
        <v>212574</v>
      </c>
      <c r="F3267">
        <v>76</v>
      </c>
      <c r="G3267" s="2">
        <v>430771444</v>
      </c>
      <c r="H3267" s="2">
        <v>3399564</v>
      </c>
      <c r="I3267" s="2">
        <v>548933681</v>
      </c>
      <c r="J3267">
        <v>360</v>
      </c>
      <c r="K3267">
        <v>100</v>
      </c>
      <c r="L3267">
        <v>0</v>
      </c>
      <c r="M3267" t="str">
        <f t="shared" ref="M3267:M3330" si="51">IF(YEAR(C3267)&lt;2010,"Before 2010",IF(YEAR(C3267)&lt;=2020,"2010-2020","After 2020"))</f>
        <v>2010-2020</v>
      </c>
    </row>
    <row r="3268" spans="1:13" hidden="1">
      <c r="A3268" t="s">
        <v>1552</v>
      </c>
      <c r="B3268" t="s">
        <v>84</v>
      </c>
      <c r="C3268" s="1">
        <v>45005</v>
      </c>
      <c r="L3268">
        <v>1</v>
      </c>
      <c r="M3268" t="str">
        <f t="shared" si="51"/>
        <v>After 2020</v>
      </c>
    </row>
    <row r="3269" spans="1:13">
      <c r="A3269" t="s">
        <v>4644</v>
      </c>
      <c r="B3269" t="s">
        <v>1544</v>
      </c>
      <c r="C3269" s="1">
        <v>44883</v>
      </c>
      <c r="D3269" s="2">
        <v>204730798</v>
      </c>
      <c r="E3269" s="2">
        <v>35882</v>
      </c>
      <c r="F3269">
        <v>68</v>
      </c>
      <c r="G3269" s="2">
        <v>94105710</v>
      </c>
      <c r="H3269" s="2">
        <v>701021</v>
      </c>
      <c r="I3269" s="2">
        <v>411286349</v>
      </c>
      <c r="J3269">
        <v>12</v>
      </c>
      <c r="K3269">
        <v>836</v>
      </c>
      <c r="L3269">
        <v>1</v>
      </c>
      <c r="M3269" t="str">
        <f t="shared" si="51"/>
        <v>After 2020</v>
      </c>
    </row>
    <row r="3270" spans="1:13">
      <c r="A3270" t="s">
        <v>4645</v>
      </c>
      <c r="B3270" t="s">
        <v>4646</v>
      </c>
      <c r="C3270" s="1">
        <v>44011</v>
      </c>
      <c r="D3270" s="2">
        <v>280901994</v>
      </c>
      <c r="E3270" s="2">
        <v>31034</v>
      </c>
      <c r="F3270">
        <v>63</v>
      </c>
      <c r="G3270" s="2">
        <v>489518287</v>
      </c>
      <c r="H3270" s="2">
        <v>8770696</v>
      </c>
      <c r="I3270" s="2">
        <v>948594062</v>
      </c>
      <c r="J3270">
        <v>6</v>
      </c>
      <c r="K3270">
        <v>7</v>
      </c>
      <c r="L3270">
        <v>0</v>
      </c>
      <c r="M3270" t="str">
        <f t="shared" si="51"/>
        <v>2010-2020</v>
      </c>
    </row>
    <row r="3271" spans="1:13" hidden="1">
      <c r="A3271" t="s">
        <v>4647</v>
      </c>
      <c r="B3271" t="s">
        <v>1705</v>
      </c>
      <c r="C3271" s="1">
        <v>45351</v>
      </c>
      <c r="D3271" s="2">
        <v>28563790</v>
      </c>
      <c r="E3271" s="2">
        <v>1755</v>
      </c>
      <c r="F3271">
        <v>19</v>
      </c>
      <c r="G3271" s="2">
        <v>40333378</v>
      </c>
      <c r="H3271" s="2">
        <v>420833</v>
      </c>
      <c r="I3271" s="2">
        <v>1423100</v>
      </c>
      <c r="J3271">
        <v>2</v>
      </c>
      <c r="L3271">
        <v>0</v>
      </c>
      <c r="M3271" t="str">
        <f t="shared" si="51"/>
        <v>After 2020</v>
      </c>
    </row>
    <row r="3272" spans="1:13" hidden="1">
      <c r="A3272" t="s">
        <v>4648</v>
      </c>
      <c r="B3272" t="s">
        <v>3377</v>
      </c>
      <c r="C3272" s="1">
        <v>44770</v>
      </c>
      <c r="D3272" s="2">
        <v>127392768</v>
      </c>
      <c r="E3272" s="2">
        <v>22713</v>
      </c>
      <c r="F3272">
        <v>59</v>
      </c>
      <c r="G3272" s="2">
        <v>129725858</v>
      </c>
      <c r="H3272" s="2">
        <v>558219</v>
      </c>
      <c r="I3272" s="2">
        <v>2966243206</v>
      </c>
      <c r="J3272">
        <v>5</v>
      </c>
      <c r="L3272">
        <v>0</v>
      </c>
      <c r="M3272" t="str">
        <f t="shared" si="51"/>
        <v>After 2020</v>
      </c>
    </row>
    <row r="3273" spans="1:13">
      <c r="A3273" t="s">
        <v>2346</v>
      </c>
      <c r="B3273" t="s">
        <v>139</v>
      </c>
      <c r="C3273" s="1">
        <v>44474</v>
      </c>
      <c r="D3273" s="2">
        <v>222400657</v>
      </c>
      <c r="E3273" s="2">
        <v>19680</v>
      </c>
      <c r="F3273">
        <v>68</v>
      </c>
      <c r="G3273" s="2">
        <v>399807694</v>
      </c>
      <c r="H3273" s="2">
        <v>5239967</v>
      </c>
      <c r="I3273" s="2">
        <v>936285256</v>
      </c>
      <c r="J3273">
        <v>21</v>
      </c>
      <c r="K3273">
        <v>148</v>
      </c>
      <c r="L3273">
        <v>0</v>
      </c>
      <c r="M3273" t="str">
        <f t="shared" si="51"/>
        <v>After 2020</v>
      </c>
    </row>
    <row r="3274" spans="1:13" hidden="1">
      <c r="A3274" t="s">
        <v>4649</v>
      </c>
      <c r="B3274" t="s">
        <v>4650</v>
      </c>
      <c r="C3274" s="1">
        <v>43221</v>
      </c>
      <c r="G3274" s="2">
        <v>1260431361</v>
      </c>
      <c r="H3274" s="2">
        <v>3643373</v>
      </c>
      <c r="J3274">
        <v>14</v>
      </c>
      <c r="L3274">
        <v>0</v>
      </c>
      <c r="M3274" t="str">
        <f t="shared" si="51"/>
        <v>2010-2020</v>
      </c>
    </row>
    <row r="3275" spans="1:13" hidden="1">
      <c r="A3275" t="s">
        <v>4651</v>
      </c>
      <c r="B3275" t="s">
        <v>4652</v>
      </c>
      <c r="C3275" s="1">
        <v>44006</v>
      </c>
      <c r="D3275" s="2">
        <v>335604759</v>
      </c>
      <c r="E3275" s="2">
        <v>47721</v>
      </c>
      <c r="F3275">
        <v>3</v>
      </c>
      <c r="G3275" s="2">
        <v>155802565</v>
      </c>
      <c r="H3275" s="2">
        <v>3846286</v>
      </c>
      <c r="I3275" s="2">
        <v>2759903957</v>
      </c>
      <c r="J3275">
        <v>39</v>
      </c>
      <c r="L3275">
        <v>0</v>
      </c>
      <c r="M3275" t="str">
        <f t="shared" si="51"/>
        <v>2010-2020</v>
      </c>
    </row>
    <row r="3276" spans="1:13" hidden="1">
      <c r="A3276" t="s">
        <v>4653</v>
      </c>
      <c r="B3276" t="s">
        <v>2560</v>
      </c>
      <c r="C3276" s="1">
        <v>45412</v>
      </c>
      <c r="D3276" s="2">
        <v>5790738</v>
      </c>
      <c r="E3276">
        <v>369</v>
      </c>
      <c r="F3276">
        <v>64</v>
      </c>
      <c r="G3276" s="2">
        <v>20489530</v>
      </c>
      <c r="H3276" s="2">
        <v>159632</v>
      </c>
      <c r="J3276">
        <v>1</v>
      </c>
      <c r="L3276">
        <v>0</v>
      </c>
      <c r="M3276" t="str">
        <f t="shared" si="51"/>
        <v>After 2020</v>
      </c>
    </row>
    <row r="3277" spans="1:13" hidden="1">
      <c r="A3277" t="s">
        <v>3725</v>
      </c>
      <c r="B3277" t="s">
        <v>4654</v>
      </c>
      <c r="C3277" s="1">
        <v>45267</v>
      </c>
      <c r="D3277" s="2">
        <v>15987089</v>
      </c>
      <c r="E3277" s="2">
        <v>4424</v>
      </c>
      <c r="G3277" s="2">
        <v>4035815</v>
      </c>
      <c r="H3277" s="2">
        <v>111954</v>
      </c>
      <c r="J3277">
        <v>9</v>
      </c>
      <c r="K3277">
        <v>64</v>
      </c>
      <c r="L3277">
        <v>0</v>
      </c>
      <c r="M3277" t="str">
        <f t="shared" si="51"/>
        <v>After 2020</v>
      </c>
    </row>
    <row r="3278" spans="1:13" hidden="1">
      <c r="A3278" t="s">
        <v>4655</v>
      </c>
      <c r="B3278" t="s">
        <v>4656</v>
      </c>
      <c r="C3278" s="1">
        <v>45345</v>
      </c>
      <c r="D3278" s="2">
        <v>20395364</v>
      </c>
      <c r="E3278" s="2">
        <v>3841</v>
      </c>
      <c r="G3278" s="2">
        <v>5280055</v>
      </c>
      <c r="H3278" s="2">
        <v>70627</v>
      </c>
      <c r="J3278">
        <v>4</v>
      </c>
      <c r="L3278">
        <v>1</v>
      </c>
      <c r="M3278" t="str">
        <f t="shared" si="51"/>
        <v>After 2020</v>
      </c>
    </row>
    <row r="3279" spans="1:13" hidden="1">
      <c r="A3279" t="s">
        <v>4657</v>
      </c>
      <c r="B3279" t="s">
        <v>1019</v>
      </c>
      <c r="C3279" s="1">
        <v>45447</v>
      </c>
      <c r="D3279" s="2">
        <v>4794950</v>
      </c>
      <c r="E3279">
        <v>498</v>
      </c>
      <c r="F3279">
        <v>67</v>
      </c>
      <c r="G3279" s="2">
        <v>3452898</v>
      </c>
      <c r="H3279" s="2">
        <v>170142</v>
      </c>
      <c r="J3279">
        <v>3</v>
      </c>
      <c r="L3279">
        <v>0</v>
      </c>
      <c r="M3279" t="str">
        <f t="shared" si="51"/>
        <v>After 2020</v>
      </c>
    </row>
    <row r="3280" spans="1:13" hidden="1">
      <c r="A3280" t="s">
        <v>4658</v>
      </c>
      <c r="B3280" t="s">
        <v>167</v>
      </c>
      <c r="C3280" s="1">
        <v>45081</v>
      </c>
      <c r="D3280" s="2">
        <v>76510509</v>
      </c>
      <c r="E3280" s="2">
        <v>35841</v>
      </c>
      <c r="F3280">
        <v>64</v>
      </c>
      <c r="G3280" s="2">
        <v>11734153</v>
      </c>
      <c r="H3280" s="2">
        <v>115504</v>
      </c>
      <c r="I3280" s="2">
        <v>76912</v>
      </c>
      <c r="J3280">
        <v>30</v>
      </c>
      <c r="L3280">
        <v>1</v>
      </c>
      <c r="M3280" t="str">
        <f t="shared" si="51"/>
        <v>After 2020</v>
      </c>
    </row>
    <row r="3281" spans="1:13" hidden="1">
      <c r="A3281" t="s">
        <v>4659</v>
      </c>
      <c r="B3281" t="s">
        <v>3493</v>
      </c>
      <c r="C3281" s="1">
        <v>45387</v>
      </c>
      <c r="D3281" s="2">
        <v>31438986</v>
      </c>
      <c r="E3281" s="2">
        <v>1429</v>
      </c>
      <c r="F3281">
        <v>74</v>
      </c>
      <c r="G3281" s="2">
        <v>21490653</v>
      </c>
      <c r="H3281" s="2">
        <v>239191</v>
      </c>
      <c r="J3281">
        <v>1</v>
      </c>
      <c r="L3281">
        <v>0</v>
      </c>
      <c r="M3281" t="str">
        <f t="shared" si="51"/>
        <v>After 2020</v>
      </c>
    </row>
    <row r="3282" spans="1:13" hidden="1">
      <c r="A3282" t="s">
        <v>4660</v>
      </c>
      <c r="B3282" t="s">
        <v>4661</v>
      </c>
      <c r="C3282" s="1">
        <v>45310</v>
      </c>
      <c r="D3282" s="2">
        <v>12032878</v>
      </c>
      <c r="E3282" s="2">
        <v>3204</v>
      </c>
      <c r="G3282" s="2">
        <v>1683275</v>
      </c>
      <c r="H3282" s="2">
        <v>38016</v>
      </c>
      <c r="J3282">
        <v>14</v>
      </c>
      <c r="K3282">
        <v>52</v>
      </c>
      <c r="L3282">
        <v>0</v>
      </c>
      <c r="M3282" t="str">
        <f t="shared" si="51"/>
        <v>After 2020</v>
      </c>
    </row>
    <row r="3283" spans="1:13" hidden="1">
      <c r="A3283" t="s">
        <v>4662</v>
      </c>
      <c r="B3283" t="s">
        <v>2558</v>
      </c>
      <c r="C3283" s="1">
        <v>44679</v>
      </c>
      <c r="D3283" s="2">
        <v>191569959</v>
      </c>
      <c r="E3283" s="2">
        <v>73054</v>
      </c>
      <c r="F3283">
        <v>57</v>
      </c>
      <c r="G3283" s="2">
        <v>55509965</v>
      </c>
      <c r="H3283" s="2">
        <v>448500</v>
      </c>
      <c r="I3283" s="2">
        <v>129718183</v>
      </c>
      <c r="J3283">
        <v>16</v>
      </c>
      <c r="L3283">
        <v>0</v>
      </c>
      <c r="M3283" t="str">
        <f t="shared" si="51"/>
        <v>After 2020</v>
      </c>
    </row>
    <row r="3284" spans="1:13" hidden="1">
      <c r="A3284" t="s">
        <v>4663</v>
      </c>
      <c r="B3284" t="s">
        <v>484</v>
      </c>
      <c r="C3284" s="1">
        <v>43112</v>
      </c>
      <c r="D3284" s="2">
        <v>589832336</v>
      </c>
      <c r="E3284" s="2">
        <v>139494</v>
      </c>
      <c r="F3284">
        <v>74</v>
      </c>
      <c r="G3284" s="2">
        <v>208632840</v>
      </c>
      <c r="H3284" s="2">
        <v>2426614</v>
      </c>
      <c r="I3284" s="2">
        <v>118952804</v>
      </c>
      <c r="J3284">
        <v>88</v>
      </c>
      <c r="L3284">
        <v>0</v>
      </c>
      <c r="M3284" t="str">
        <f t="shared" si="51"/>
        <v>2010-2020</v>
      </c>
    </row>
    <row r="3285" spans="1:13">
      <c r="A3285" t="s">
        <v>4664</v>
      </c>
      <c r="B3285" t="s">
        <v>4665</v>
      </c>
      <c r="C3285" s="1">
        <v>44140</v>
      </c>
      <c r="D3285" s="2">
        <v>401979272</v>
      </c>
      <c r="E3285" s="2">
        <v>80139</v>
      </c>
      <c r="F3285">
        <v>66</v>
      </c>
      <c r="G3285" s="2">
        <v>236719624</v>
      </c>
      <c r="H3285" s="2">
        <v>1667710</v>
      </c>
      <c r="I3285" s="2">
        <v>203030554</v>
      </c>
      <c r="J3285">
        <v>75</v>
      </c>
      <c r="K3285">
        <v>6</v>
      </c>
      <c r="L3285">
        <v>0</v>
      </c>
      <c r="M3285" t="str">
        <f t="shared" si="51"/>
        <v>2010-2020</v>
      </c>
    </row>
    <row r="3286" spans="1:13">
      <c r="A3286" t="s">
        <v>4666</v>
      </c>
      <c r="B3286" t="s">
        <v>318</v>
      </c>
      <c r="C3286" s="1">
        <v>45162</v>
      </c>
      <c r="D3286" s="2">
        <v>157676395</v>
      </c>
      <c r="E3286" s="2">
        <v>21485</v>
      </c>
      <c r="F3286">
        <v>76</v>
      </c>
      <c r="G3286" s="2">
        <v>5025676</v>
      </c>
      <c r="H3286" s="2">
        <v>28970</v>
      </c>
      <c r="I3286" s="2">
        <v>2359449</v>
      </c>
      <c r="J3286">
        <v>13</v>
      </c>
      <c r="K3286">
        <v>302</v>
      </c>
      <c r="L3286">
        <v>1</v>
      </c>
      <c r="M3286" t="str">
        <f t="shared" si="51"/>
        <v>After 2020</v>
      </c>
    </row>
    <row r="3287" spans="1:13" hidden="1">
      <c r="A3287" t="s">
        <v>4667</v>
      </c>
      <c r="B3287" t="s">
        <v>112</v>
      </c>
      <c r="C3287" s="1">
        <v>45415</v>
      </c>
      <c r="D3287" s="2">
        <v>37789672</v>
      </c>
      <c r="E3287" s="2">
        <v>2484</v>
      </c>
      <c r="J3287">
        <v>34</v>
      </c>
      <c r="L3287">
        <v>1</v>
      </c>
      <c r="M3287" t="str">
        <f t="shared" si="51"/>
        <v>After 2020</v>
      </c>
    </row>
    <row r="3288" spans="1:13" hidden="1">
      <c r="A3288" t="s">
        <v>4668</v>
      </c>
      <c r="B3288" t="s">
        <v>4669</v>
      </c>
      <c r="C3288" s="1">
        <v>45275</v>
      </c>
      <c r="D3288" s="2">
        <v>35119540</v>
      </c>
      <c r="E3288" s="2">
        <v>2907</v>
      </c>
      <c r="F3288">
        <v>66</v>
      </c>
      <c r="G3288" s="2">
        <v>45526146</v>
      </c>
      <c r="H3288" s="2">
        <v>393618</v>
      </c>
      <c r="I3288" s="2">
        <v>163624449</v>
      </c>
      <c r="J3288">
        <v>24</v>
      </c>
      <c r="L3288">
        <v>0</v>
      </c>
      <c r="M3288" t="str">
        <f t="shared" si="51"/>
        <v>After 2020</v>
      </c>
    </row>
    <row r="3289" spans="1:13" hidden="1">
      <c r="A3289" t="s">
        <v>4670</v>
      </c>
      <c r="B3289" t="s">
        <v>127</v>
      </c>
      <c r="C3289" s="1">
        <v>44987</v>
      </c>
      <c r="L3289">
        <v>0</v>
      </c>
      <c r="M3289" t="str">
        <f t="shared" si="51"/>
        <v>After 2020</v>
      </c>
    </row>
    <row r="3290" spans="1:13">
      <c r="A3290" t="s">
        <v>1746</v>
      </c>
      <c r="B3290" t="s">
        <v>1659</v>
      </c>
      <c r="C3290" s="1">
        <v>42629</v>
      </c>
      <c r="D3290" s="2">
        <v>1779760815</v>
      </c>
      <c r="E3290" s="2">
        <v>90161</v>
      </c>
      <c r="F3290">
        <v>69</v>
      </c>
      <c r="G3290" s="2">
        <v>734259158</v>
      </c>
      <c r="H3290" s="2">
        <v>3624282</v>
      </c>
      <c r="I3290" s="2">
        <v>371899383</v>
      </c>
      <c r="J3290">
        <v>136</v>
      </c>
      <c r="K3290">
        <v>82</v>
      </c>
      <c r="L3290">
        <v>0</v>
      </c>
      <c r="M3290" t="str">
        <f t="shared" si="51"/>
        <v>2010-2020</v>
      </c>
    </row>
    <row r="3291" spans="1:13" hidden="1">
      <c r="A3291" t="s">
        <v>4671</v>
      </c>
      <c r="B3291" t="s">
        <v>2441</v>
      </c>
      <c r="C3291" s="1">
        <v>44944</v>
      </c>
      <c r="D3291" s="2">
        <v>30361093</v>
      </c>
      <c r="E3291" s="2">
        <v>6140</v>
      </c>
      <c r="F3291">
        <v>52</v>
      </c>
      <c r="G3291" s="2">
        <v>30346457</v>
      </c>
      <c r="H3291" s="2">
        <v>499318</v>
      </c>
      <c r="I3291" s="2">
        <v>1949963259</v>
      </c>
      <c r="J3291">
        <v>16</v>
      </c>
      <c r="L3291">
        <v>0</v>
      </c>
      <c r="M3291" t="str">
        <f t="shared" si="51"/>
        <v>After 2020</v>
      </c>
    </row>
    <row r="3292" spans="1:13" hidden="1">
      <c r="A3292" t="s">
        <v>4672</v>
      </c>
      <c r="B3292" t="s">
        <v>332</v>
      </c>
      <c r="C3292" s="1">
        <v>45261</v>
      </c>
      <c r="D3292" s="2">
        <v>84131713</v>
      </c>
      <c r="E3292" s="2">
        <v>9659</v>
      </c>
      <c r="F3292">
        <v>71</v>
      </c>
      <c r="G3292" s="2">
        <v>46945484</v>
      </c>
      <c r="H3292" s="2">
        <v>239851</v>
      </c>
      <c r="I3292" s="2">
        <v>28600</v>
      </c>
      <c r="J3292">
        <v>5</v>
      </c>
      <c r="L3292">
        <v>1</v>
      </c>
      <c r="M3292" t="str">
        <f t="shared" si="51"/>
        <v>After 2020</v>
      </c>
    </row>
    <row r="3293" spans="1:13">
      <c r="A3293" t="s">
        <v>4673</v>
      </c>
      <c r="B3293" t="s">
        <v>288</v>
      </c>
      <c r="C3293" s="1">
        <v>43243</v>
      </c>
      <c r="D3293" s="2">
        <v>786839663</v>
      </c>
      <c r="E3293" s="2">
        <v>128506</v>
      </c>
      <c r="F3293">
        <v>70</v>
      </c>
      <c r="G3293" s="2">
        <v>369178947</v>
      </c>
      <c r="H3293" s="2">
        <v>2899865</v>
      </c>
      <c r="I3293" s="2">
        <v>108771380</v>
      </c>
      <c r="J3293">
        <v>37</v>
      </c>
      <c r="K3293">
        <v>28</v>
      </c>
      <c r="L3293">
        <v>1</v>
      </c>
      <c r="M3293" t="str">
        <f t="shared" si="51"/>
        <v>2010-2020</v>
      </c>
    </row>
    <row r="3294" spans="1:13" hidden="1">
      <c r="A3294" t="s">
        <v>4674</v>
      </c>
      <c r="B3294" t="s">
        <v>1199</v>
      </c>
      <c r="C3294" s="1">
        <v>44490</v>
      </c>
      <c r="D3294" s="2">
        <v>315581950</v>
      </c>
      <c r="E3294" s="2">
        <v>56373</v>
      </c>
      <c r="F3294">
        <v>59</v>
      </c>
      <c r="G3294" s="2">
        <v>200961304</v>
      </c>
      <c r="H3294" s="2">
        <v>1909013</v>
      </c>
      <c r="I3294" s="2">
        <v>767313472</v>
      </c>
      <c r="J3294">
        <v>15</v>
      </c>
      <c r="L3294">
        <v>1</v>
      </c>
      <c r="M3294" t="str">
        <f t="shared" si="51"/>
        <v>After 2020</v>
      </c>
    </row>
    <row r="3295" spans="1:13" hidden="1">
      <c r="A3295" t="s">
        <v>4675</v>
      </c>
      <c r="B3295" t="s">
        <v>157</v>
      </c>
      <c r="C3295" s="1">
        <v>44356</v>
      </c>
      <c r="D3295" s="2">
        <v>312622847</v>
      </c>
      <c r="E3295" s="2">
        <v>59149</v>
      </c>
      <c r="F3295">
        <v>66</v>
      </c>
      <c r="G3295" s="2">
        <v>275292905</v>
      </c>
      <c r="H3295" s="2">
        <v>3116842</v>
      </c>
      <c r="I3295" s="2">
        <v>190656582</v>
      </c>
      <c r="J3295">
        <v>19</v>
      </c>
      <c r="L3295">
        <v>1</v>
      </c>
      <c r="M3295" t="str">
        <f t="shared" si="51"/>
        <v>After 2020</v>
      </c>
    </row>
    <row r="3296" spans="1:13" hidden="1">
      <c r="A3296" t="s">
        <v>4676</v>
      </c>
      <c r="B3296" t="s">
        <v>4677</v>
      </c>
      <c r="C3296" s="1">
        <v>44939</v>
      </c>
      <c r="D3296" s="2">
        <v>41059494</v>
      </c>
      <c r="E3296" s="2">
        <v>17144</v>
      </c>
      <c r="F3296">
        <v>40</v>
      </c>
      <c r="G3296" s="2">
        <v>76632734</v>
      </c>
      <c r="H3296" s="2">
        <v>573257</v>
      </c>
      <c r="I3296" s="2">
        <v>1163210746</v>
      </c>
      <c r="J3296">
        <v>4</v>
      </c>
      <c r="L3296">
        <v>0</v>
      </c>
      <c r="M3296" t="str">
        <f t="shared" si="51"/>
        <v>After 2020</v>
      </c>
    </row>
    <row r="3297" spans="1:13">
      <c r="A3297" t="s">
        <v>4678</v>
      </c>
      <c r="B3297" t="s">
        <v>4679</v>
      </c>
      <c r="C3297" s="1">
        <v>40867</v>
      </c>
      <c r="D3297" s="2">
        <v>613120952</v>
      </c>
      <c r="E3297" s="2">
        <v>70633</v>
      </c>
      <c r="F3297">
        <v>69</v>
      </c>
      <c r="G3297" s="2">
        <v>1740143685</v>
      </c>
      <c r="H3297" s="2">
        <v>4862755</v>
      </c>
      <c r="I3297" s="2">
        <v>266381642</v>
      </c>
      <c r="J3297">
        <v>105</v>
      </c>
      <c r="K3297">
        <v>59</v>
      </c>
      <c r="L3297">
        <v>0</v>
      </c>
      <c r="M3297" t="str">
        <f t="shared" si="51"/>
        <v>2010-2020</v>
      </c>
    </row>
    <row r="3298" spans="1:13" hidden="1">
      <c r="A3298" t="s">
        <v>4680</v>
      </c>
      <c r="B3298" t="s">
        <v>4681</v>
      </c>
      <c r="C3298" s="1">
        <v>43842</v>
      </c>
      <c r="D3298" s="2">
        <v>402600493</v>
      </c>
      <c r="E3298" s="2">
        <v>78831</v>
      </c>
      <c r="F3298">
        <v>60</v>
      </c>
      <c r="G3298" s="2">
        <v>31685487</v>
      </c>
      <c r="H3298" s="2">
        <v>843639</v>
      </c>
      <c r="I3298" s="2">
        <v>2812434668</v>
      </c>
      <c r="J3298">
        <v>41</v>
      </c>
      <c r="L3298">
        <v>1</v>
      </c>
      <c r="M3298" t="str">
        <f t="shared" si="51"/>
        <v>2010-2020</v>
      </c>
    </row>
    <row r="3299" spans="1:13">
      <c r="A3299" t="s">
        <v>4682</v>
      </c>
      <c r="B3299" t="s">
        <v>3760</v>
      </c>
      <c r="C3299" s="1">
        <v>43049</v>
      </c>
      <c r="D3299" s="2">
        <v>503915156</v>
      </c>
      <c r="E3299" s="2">
        <v>116054</v>
      </c>
      <c r="F3299">
        <v>72</v>
      </c>
      <c r="G3299" s="2">
        <v>395172100</v>
      </c>
      <c r="H3299" s="2">
        <v>4550650</v>
      </c>
      <c r="I3299" s="2">
        <v>485983172</v>
      </c>
      <c r="J3299">
        <v>10</v>
      </c>
      <c r="K3299">
        <v>73</v>
      </c>
      <c r="L3299">
        <v>0</v>
      </c>
      <c r="M3299" t="str">
        <f t="shared" si="51"/>
        <v>2010-2020</v>
      </c>
    </row>
    <row r="3300" spans="1:13">
      <c r="A3300" t="s">
        <v>4683</v>
      </c>
      <c r="B3300" t="s">
        <v>4684</v>
      </c>
      <c r="C3300" s="1">
        <v>44883</v>
      </c>
      <c r="D3300" s="2">
        <v>191918763</v>
      </c>
      <c r="E3300" s="2">
        <v>17921</v>
      </c>
      <c r="F3300">
        <v>67</v>
      </c>
      <c r="G3300" s="2">
        <v>168330437</v>
      </c>
      <c r="H3300" s="2">
        <v>768931</v>
      </c>
      <c r="I3300" s="2">
        <v>63785723</v>
      </c>
      <c r="J3300">
        <v>6</v>
      </c>
      <c r="K3300">
        <v>3</v>
      </c>
      <c r="L3300">
        <v>0</v>
      </c>
      <c r="M3300" t="str">
        <f t="shared" si="51"/>
        <v>After 2020</v>
      </c>
    </row>
    <row r="3301" spans="1:13" hidden="1">
      <c r="A3301" t="s">
        <v>369</v>
      </c>
      <c r="B3301" t="s">
        <v>295</v>
      </c>
      <c r="C3301" s="1">
        <v>45205</v>
      </c>
      <c r="D3301" s="2">
        <v>328526298</v>
      </c>
      <c r="E3301" s="2">
        <v>14390</v>
      </c>
      <c r="G3301" s="2">
        <v>17047473</v>
      </c>
      <c r="H3301" s="2">
        <v>217601</v>
      </c>
      <c r="I3301" s="2">
        <v>197098789</v>
      </c>
      <c r="J3301">
        <v>24</v>
      </c>
      <c r="L3301">
        <v>0</v>
      </c>
      <c r="M3301" t="str">
        <f t="shared" si="51"/>
        <v>After 2020</v>
      </c>
    </row>
    <row r="3302" spans="1:13">
      <c r="A3302" t="s">
        <v>4685</v>
      </c>
      <c r="B3302" t="s">
        <v>676</v>
      </c>
      <c r="C3302" s="1">
        <v>43058</v>
      </c>
      <c r="D3302" s="2">
        <v>678928131</v>
      </c>
      <c r="E3302" s="2">
        <v>57167</v>
      </c>
      <c r="F3302">
        <v>72</v>
      </c>
      <c r="G3302" s="2">
        <v>775603021</v>
      </c>
      <c r="H3302" s="2">
        <v>5185313</v>
      </c>
      <c r="I3302" s="2">
        <v>567535888</v>
      </c>
      <c r="J3302">
        <v>58</v>
      </c>
      <c r="K3302">
        <v>141</v>
      </c>
      <c r="L3302">
        <v>0</v>
      </c>
      <c r="M3302" t="str">
        <f t="shared" si="51"/>
        <v>2010-2020</v>
      </c>
    </row>
    <row r="3303" spans="1:13">
      <c r="A3303" t="s">
        <v>4686</v>
      </c>
      <c r="B3303" t="s">
        <v>170</v>
      </c>
      <c r="C3303" s="1">
        <v>43406</v>
      </c>
      <c r="D3303" s="2">
        <v>474863499</v>
      </c>
      <c r="E3303" s="2">
        <v>33671</v>
      </c>
      <c r="F3303">
        <v>67</v>
      </c>
      <c r="G3303" s="2">
        <v>817844545</v>
      </c>
      <c r="H3303" s="2">
        <v>3801744</v>
      </c>
      <c r="I3303" s="2">
        <v>21632035</v>
      </c>
      <c r="J3303">
        <v>28</v>
      </c>
      <c r="K3303">
        <v>8</v>
      </c>
      <c r="L3303">
        <v>0</v>
      </c>
      <c r="M3303" t="str">
        <f t="shared" si="51"/>
        <v>2010-2020</v>
      </c>
    </row>
    <row r="3304" spans="1:13">
      <c r="A3304" t="s">
        <v>4687</v>
      </c>
      <c r="B3304" t="s">
        <v>4688</v>
      </c>
      <c r="C3304" s="1">
        <v>43588</v>
      </c>
      <c r="D3304" s="2">
        <v>359828344</v>
      </c>
      <c r="E3304" s="2">
        <v>77046</v>
      </c>
      <c r="F3304">
        <v>56</v>
      </c>
      <c r="G3304" s="2">
        <v>294072510</v>
      </c>
      <c r="H3304" s="2">
        <v>3184637</v>
      </c>
      <c r="I3304" s="2">
        <v>289928883</v>
      </c>
      <c r="J3304">
        <v>29</v>
      </c>
      <c r="K3304">
        <v>97</v>
      </c>
      <c r="L3304">
        <v>1</v>
      </c>
      <c r="M3304" t="str">
        <f t="shared" si="51"/>
        <v>2010-2020</v>
      </c>
    </row>
    <row r="3305" spans="1:13">
      <c r="A3305" t="s">
        <v>4689</v>
      </c>
      <c r="B3305" t="s">
        <v>332</v>
      </c>
      <c r="C3305" s="1">
        <v>45002</v>
      </c>
      <c r="D3305" s="2">
        <v>185448173</v>
      </c>
      <c r="E3305" s="2">
        <v>32140</v>
      </c>
      <c r="F3305">
        <v>66</v>
      </c>
      <c r="G3305" s="2">
        <v>64774453</v>
      </c>
      <c r="H3305" s="2">
        <v>486024</v>
      </c>
      <c r="I3305" s="2">
        <v>19349275</v>
      </c>
      <c r="J3305">
        <v>18</v>
      </c>
      <c r="K3305">
        <v>25</v>
      </c>
      <c r="L3305">
        <v>1</v>
      </c>
      <c r="M3305" t="str">
        <f t="shared" si="51"/>
        <v>After 2020</v>
      </c>
    </row>
    <row r="3306" spans="1:13" hidden="1">
      <c r="A3306" t="s">
        <v>4690</v>
      </c>
      <c r="B3306" t="s">
        <v>4691</v>
      </c>
      <c r="C3306" s="1">
        <v>45345</v>
      </c>
      <c r="D3306" s="2">
        <v>54065563</v>
      </c>
      <c r="E3306" s="2">
        <v>7779</v>
      </c>
      <c r="F3306">
        <v>73</v>
      </c>
      <c r="G3306" s="2">
        <v>6744201</v>
      </c>
      <c r="H3306" s="2">
        <v>72802</v>
      </c>
      <c r="J3306">
        <v>18</v>
      </c>
      <c r="L3306">
        <v>1</v>
      </c>
      <c r="M3306" t="str">
        <f t="shared" si="51"/>
        <v>After 2020</v>
      </c>
    </row>
    <row r="3307" spans="1:13" hidden="1">
      <c r="A3307" t="s">
        <v>4692</v>
      </c>
      <c r="B3307" t="s">
        <v>1465</v>
      </c>
      <c r="C3307" s="1">
        <v>45177</v>
      </c>
      <c r="D3307" s="2">
        <v>139751220</v>
      </c>
      <c r="E3307" s="2">
        <v>18392</v>
      </c>
      <c r="F3307">
        <v>20</v>
      </c>
      <c r="G3307" s="2">
        <v>49641305</v>
      </c>
      <c r="H3307" s="2">
        <v>248150</v>
      </c>
      <c r="J3307">
        <v>14</v>
      </c>
      <c r="L3307">
        <v>1</v>
      </c>
      <c r="M3307" t="str">
        <f t="shared" si="51"/>
        <v>After 2020</v>
      </c>
    </row>
    <row r="3308" spans="1:13" hidden="1">
      <c r="A3308" t="s">
        <v>4693</v>
      </c>
      <c r="B3308" t="s">
        <v>4694</v>
      </c>
      <c r="C3308" s="1">
        <v>45098</v>
      </c>
      <c r="D3308" s="2">
        <v>252681087</v>
      </c>
      <c r="E3308" s="2">
        <v>11425</v>
      </c>
      <c r="F3308">
        <v>76</v>
      </c>
      <c r="G3308" s="2">
        <v>99627762</v>
      </c>
      <c r="H3308" s="2">
        <v>516029</v>
      </c>
      <c r="I3308" s="2">
        <v>341258424</v>
      </c>
      <c r="J3308">
        <v>10</v>
      </c>
      <c r="L3308">
        <v>0</v>
      </c>
      <c r="M3308" t="str">
        <f t="shared" si="51"/>
        <v>After 2020</v>
      </c>
    </row>
    <row r="3309" spans="1:13" hidden="1">
      <c r="A3309" t="s">
        <v>4695</v>
      </c>
      <c r="B3309" t="s">
        <v>739</v>
      </c>
      <c r="C3309" s="1">
        <v>43900</v>
      </c>
      <c r="D3309" s="2">
        <v>94152948</v>
      </c>
      <c r="E3309" s="2">
        <v>9693</v>
      </c>
      <c r="F3309">
        <v>56</v>
      </c>
      <c r="G3309" s="2">
        <v>675223784</v>
      </c>
      <c r="H3309" s="2">
        <v>6031429</v>
      </c>
      <c r="I3309" s="2">
        <v>848894091</v>
      </c>
      <c r="J3309">
        <v>7</v>
      </c>
      <c r="L3309">
        <v>0</v>
      </c>
      <c r="M3309" t="str">
        <f t="shared" si="51"/>
        <v>2010-2020</v>
      </c>
    </row>
    <row r="3310" spans="1:13" hidden="1">
      <c r="A3310" t="s">
        <v>4696</v>
      </c>
      <c r="B3310" t="s">
        <v>187</v>
      </c>
      <c r="C3310" s="1">
        <v>43958</v>
      </c>
      <c r="D3310" s="2">
        <v>354889332</v>
      </c>
      <c r="E3310" s="2">
        <v>121632</v>
      </c>
      <c r="F3310">
        <v>65</v>
      </c>
      <c r="G3310" s="2">
        <v>143802247</v>
      </c>
      <c r="H3310" s="2">
        <v>1597342</v>
      </c>
      <c r="I3310" s="2">
        <v>91865926</v>
      </c>
      <c r="J3310">
        <v>53</v>
      </c>
      <c r="L3310">
        <v>1</v>
      </c>
      <c r="M3310" t="str">
        <f t="shared" si="51"/>
        <v>2010-2020</v>
      </c>
    </row>
    <row r="3311" spans="1:13" hidden="1">
      <c r="A3311" t="s">
        <v>4697</v>
      </c>
      <c r="B3311" t="s">
        <v>4698</v>
      </c>
      <c r="C3311" s="1">
        <v>45211</v>
      </c>
      <c r="D3311" s="2">
        <v>3604452</v>
      </c>
      <c r="E3311">
        <v>787</v>
      </c>
      <c r="G3311" s="2">
        <v>7474271</v>
      </c>
      <c r="H3311" s="2">
        <v>69482</v>
      </c>
      <c r="I3311" s="2">
        <v>167597754</v>
      </c>
      <c r="J3311">
        <v>4</v>
      </c>
      <c r="L3311">
        <v>1</v>
      </c>
      <c r="M3311" t="str">
        <f t="shared" si="51"/>
        <v>After 2020</v>
      </c>
    </row>
    <row r="3312" spans="1:13" hidden="1">
      <c r="A3312" t="s">
        <v>4699</v>
      </c>
      <c r="B3312" t="s">
        <v>4700</v>
      </c>
      <c r="C3312" s="1">
        <v>44943</v>
      </c>
      <c r="E3312">
        <v>1</v>
      </c>
      <c r="G3312" s="2">
        <v>307164348</v>
      </c>
      <c r="H3312" s="2">
        <v>603059</v>
      </c>
      <c r="L3312">
        <v>0</v>
      </c>
      <c r="M3312" t="str">
        <f t="shared" si="51"/>
        <v>After 2020</v>
      </c>
    </row>
    <row r="3313" spans="1:13">
      <c r="A3313" t="s">
        <v>4701</v>
      </c>
      <c r="B3313" t="s">
        <v>59</v>
      </c>
      <c r="C3313" s="1">
        <v>43564</v>
      </c>
      <c r="D3313" s="2">
        <v>322757243</v>
      </c>
      <c r="E3313" s="2">
        <v>60278</v>
      </c>
      <c r="F3313">
        <v>62</v>
      </c>
      <c r="G3313" s="2">
        <v>640816810</v>
      </c>
      <c r="H3313" s="2">
        <v>3577858</v>
      </c>
      <c r="I3313" s="2">
        <v>215995105</v>
      </c>
      <c r="J3313">
        <v>26</v>
      </c>
      <c r="K3313">
        <v>27</v>
      </c>
      <c r="L3313">
        <v>1</v>
      </c>
      <c r="M3313" t="str">
        <f t="shared" si="51"/>
        <v>2010-2020</v>
      </c>
    </row>
    <row r="3314" spans="1:13" hidden="1">
      <c r="A3314" t="s">
        <v>4702</v>
      </c>
      <c r="B3314" t="s">
        <v>4703</v>
      </c>
      <c r="C3314" s="1">
        <v>45062</v>
      </c>
      <c r="E3314">
        <v>8</v>
      </c>
      <c r="G3314" s="2">
        <v>230878707</v>
      </c>
      <c r="H3314" s="2">
        <v>1434387</v>
      </c>
      <c r="L3314">
        <v>0</v>
      </c>
      <c r="M3314" t="str">
        <f t="shared" si="51"/>
        <v>After 2020</v>
      </c>
    </row>
    <row r="3315" spans="1:13" hidden="1">
      <c r="A3315" t="s">
        <v>4704</v>
      </c>
      <c r="B3315" t="s">
        <v>1214</v>
      </c>
      <c r="C3315" s="1">
        <v>45329</v>
      </c>
      <c r="D3315" s="2">
        <v>43499127</v>
      </c>
      <c r="E3315" s="2">
        <v>2622</v>
      </c>
      <c r="F3315">
        <v>16</v>
      </c>
      <c r="G3315" s="2">
        <v>25364611</v>
      </c>
      <c r="H3315" s="2">
        <v>117410</v>
      </c>
      <c r="J3315">
        <v>13</v>
      </c>
      <c r="L3315">
        <v>0</v>
      </c>
      <c r="M3315" t="str">
        <f t="shared" si="51"/>
        <v>After 2020</v>
      </c>
    </row>
    <row r="3316" spans="1:13" hidden="1">
      <c r="A3316" t="s">
        <v>4705</v>
      </c>
      <c r="B3316" t="s">
        <v>4706</v>
      </c>
      <c r="C3316" s="1">
        <v>44862</v>
      </c>
      <c r="D3316" s="2">
        <v>219619875</v>
      </c>
      <c r="E3316" s="2">
        <v>22109</v>
      </c>
      <c r="F3316">
        <v>69</v>
      </c>
      <c r="G3316" s="2">
        <v>99634133</v>
      </c>
      <c r="H3316" s="2">
        <v>478880</v>
      </c>
      <c r="I3316" s="2">
        <v>513855630</v>
      </c>
      <c r="J3316">
        <v>4</v>
      </c>
      <c r="L3316">
        <v>0</v>
      </c>
      <c r="M3316" t="str">
        <f t="shared" si="51"/>
        <v>After 2020</v>
      </c>
    </row>
    <row r="3317" spans="1:13">
      <c r="A3317" t="s">
        <v>4707</v>
      </c>
      <c r="B3317" t="s">
        <v>4708</v>
      </c>
      <c r="C3317" s="1">
        <v>45119</v>
      </c>
      <c r="D3317" s="2">
        <v>145323071</v>
      </c>
      <c r="E3317" s="2">
        <v>25526</v>
      </c>
      <c r="F3317">
        <v>73</v>
      </c>
      <c r="G3317" s="2">
        <v>3663144</v>
      </c>
      <c r="H3317" s="2">
        <v>87691</v>
      </c>
      <c r="I3317" s="2">
        <v>725884052</v>
      </c>
      <c r="J3317">
        <v>10</v>
      </c>
      <c r="K3317">
        <v>93</v>
      </c>
      <c r="L3317">
        <v>0</v>
      </c>
      <c r="M3317" t="str">
        <f t="shared" si="51"/>
        <v>After 2020</v>
      </c>
    </row>
    <row r="3318" spans="1:13" hidden="1">
      <c r="A3318" t="s">
        <v>4709</v>
      </c>
      <c r="B3318" t="s">
        <v>557</v>
      </c>
      <c r="C3318" s="1">
        <v>45324</v>
      </c>
      <c r="D3318" s="2">
        <v>19485870</v>
      </c>
      <c r="E3318" s="2">
        <v>2963</v>
      </c>
      <c r="G3318" s="2">
        <v>8261042</v>
      </c>
      <c r="H3318" s="2">
        <v>139661</v>
      </c>
      <c r="J3318">
        <v>38</v>
      </c>
      <c r="K3318">
        <v>155</v>
      </c>
      <c r="L3318">
        <v>0</v>
      </c>
      <c r="M3318" t="str">
        <f t="shared" si="51"/>
        <v>After 2020</v>
      </c>
    </row>
    <row r="3319" spans="1:13">
      <c r="A3319" t="s">
        <v>4710</v>
      </c>
      <c r="B3319" t="s">
        <v>4711</v>
      </c>
      <c r="C3319" s="1">
        <v>42010</v>
      </c>
      <c r="D3319" s="2">
        <v>657268053</v>
      </c>
      <c r="E3319" s="2">
        <v>85246</v>
      </c>
      <c r="F3319">
        <v>74</v>
      </c>
      <c r="G3319" s="2">
        <v>1022323850</v>
      </c>
      <c r="H3319" s="2">
        <v>6592447</v>
      </c>
      <c r="I3319" s="2">
        <v>2833651298</v>
      </c>
      <c r="J3319">
        <v>62</v>
      </c>
      <c r="K3319">
        <v>63</v>
      </c>
      <c r="L3319">
        <v>0</v>
      </c>
      <c r="M3319" t="str">
        <f t="shared" si="51"/>
        <v>2010-2020</v>
      </c>
    </row>
    <row r="3320" spans="1:13" hidden="1">
      <c r="A3320" t="s">
        <v>4712</v>
      </c>
      <c r="B3320" t="s">
        <v>4713</v>
      </c>
      <c r="C3320" s="1">
        <v>45435</v>
      </c>
      <c r="D3320" s="2">
        <v>12875105</v>
      </c>
      <c r="E3320" s="2">
        <v>2081</v>
      </c>
      <c r="F3320">
        <v>73</v>
      </c>
      <c r="G3320" s="2">
        <v>1913446</v>
      </c>
      <c r="H3320" s="2">
        <v>61995</v>
      </c>
      <c r="J3320">
        <v>8</v>
      </c>
      <c r="L3320">
        <v>1</v>
      </c>
      <c r="M3320" t="str">
        <f t="shared" si="51"/>
        <v>After 2020</v>
      </c>
    </row>
    <row r="3321" spans="1:13">
      <c r="A3321" t="s">
        <v>4714</v>
      </c>
      <c r="B3321" t="s">
        <v>4715</v>
      </c>
      <c r="C3321" s="1">
        <v>45153</v>
      </c>
      <c r="D3321" s="2">
        <v>21188649</v>
      </c>
      <c r="E3321" s="2">
        <v>3940</v>
      </c>
      <c r="F3321">
        <v>53</v>
      </c>
      <c r="G3321" s="2">
        <v>3560845</v>
      </c>
      <c r="H3321" s="2">
        <v>38522</v>
      </c>
      <c r="I3321" s="2">
        <v>34908043</v>
      </c>
      <c r="J3321">
        <v>22</v>
      </c>
      <c r="K3321">
        <v>114</v>
      </c>
      <c r="L3321">
        <v>1</v>
      </c>
      <c r="M3321" t="str">
        <f t="shared" si="51"/>
        <v>After 2020</v>
      </c>
    </row>
    <row r="3322" spans="1:13" hidden="1">
      <c r="A3322" t="s">
        <v>4716</v>
      </c>
      <c r="B3322" t="s">
        <v>1025</v>
      </c>
      <c r="C3322" s="1">
        <v>43580</v>
      </c>
      <c r="D3322" s="2">
        <v>650003788</v>
      </c>
      <c r="E3322" s="2">
        <v>101864</v>
      </c>
      <c r="F3322">
        <v>66</v>
      </c>
      <c r="G3322" s="2">
        <v>81796283</v>
      </c>
      <c r="H3322" s="2">
        <v>973317</v>
      </c>
      <c r="I3322" s="2">
        <v>1556374953</v>
      </c>
      <c r="J3322">
        <v>119</v>
      </c>
      <c r="L3322">
        <v>1</v>
      </c>
      <c r="M3322" t="str">
        <f t="shared" si="51"/>
        <v>2010-2020</v>
      </c>
    </row>
    <row r="3323" spans="1:13">
      <c r="A3323" t="s">
        <v>4717</v>
      </c>
      <c r="B3323" t="s">
        <v>4718</v>
      </c>
      <c r="C3323" s="1">
        <v>44869</v>
      </c>
      <c r="D3323" s="2">
        <v>92384851</v>
      </c>
      <c r="E3323" s="2">
        <v>21304</v>
      </c>
      <c r="F3323">
        <v>59</v>
      </c>
      <c r="G3323" s="2">
        <v>170892300</v>
      </c>
      <c r="H3323" s="2">
        <v>978438</v>
      </c>
      <c r="I3323" s="2">
        <v>326613325</v>
      </c>
      <c r="J3323">
        <v>9</v>
      </c>
      <c r="K3323">
        <v>28</v>
      </c>
      <c r="L3323">
        <v>0</v>
      </c>
      <c r="M3323" t="str">
        <f t="shared" si="51"/>
        <v>After 2020</v>
      </c>
    </row>
    <row r="3324" spans="1:13" hidden="1">
      <c r="A3324" t="s">
        <v>4719</v>
      </c>
      <c r="B3324" t="s">
        <v>4720</v>
      </c>
      <c r="C3324" s="1">
        <v>44259</v>
      </c>
      <c r="D3324" s="2">
        <v>206311125</v>
      </c>
      <c r="E3324" s="2">
        <v>38601</v>
      </c>
      <c r="F3324">
        <v>62</v>
      </c>
      <c r="G3324" s="2">
        <v>452730002</v>
      </c>
      <c r="H3324" s="2">
        <v>3243360</v>
      </c>
      <c r="J3324">
        <v>10</v>
      </c>
      <c r="K3324">
        <v>6</v>
      </c>
      <c r="L3324">
        <v>1</v>
      </c>
      <c r="M3324" t="str">
        <f t="shared" si="51"/>
        <v>After 2020</v>
      </c>
    </row>
    <row r="3325" spans="1:13">
      <c r="A3325" t="s">
        <v>4721</v>
      </c>
      <c r="B3325" t="s">
        <v>4722</v>
      </c>
      <c r="C3325" s="1">
        <v>42895</v>
      </c>
      <c r="D3325" s="2">
        <v>840041803</v>
      </c>
      <c r="E3325" s="2">
        <v>147478</v>
      </c>
      <c r="F3325">
        <v>70</v>
      </c>
      <c r="G3325" s="2">
        <v>219305472</v>
      </c>
      <c r="H3325" s="2">
        <v>2631856</v>
      </c>
      <c r="I3325" s="2">
        <v>1133729550</v>
      </c>
      <c r="J3325">
        <v>69</v>
      </c>
      <c r="K3325">
        <v>50</v>
      </c>
      <c r="L3325">
        <v>0</v>
      </c>
      <c r="M3325" t="str">
        <f t="shared" si="51"/>
        <v>2010-2020</v>
      </c>
    </row>
    <row r="3326" spans="1:13" hidden="1">
      <c r="A3326" t="s">
        <v>4723</v>
      </c>
      <c r="B3326" t="s">
        <v>635</v>
      </c>
      <c r="C3326" s="1">
        <v>43784</v>
      </c>
      <c r="D3326" s="2">
        <v>261261513</v>
      </c>
      <c r="E3326" s="2">
        <v>22264</v>
      </c>
      <c r="F3326">
        <v>62</v>
      </c>
      <c r="G3326" s="2">
        <v>636887969</v>
      </c>
      <c r="H3326" s="2">
        <v>3145041</v>
      </c>
      <c r="I3326" s="2">
        <v>85253285</v>
      </c>
      <c r="J3326">
        <v>28</v>
      </c>
      <c r="L3326">
        <v>0</v>
      </c>
      <c r="M3326" t="str">
        <f t="shared" si="51"/>
        <v>2010-2020</v>
      </c>
    </row>
    <row r="3327" spans="1:13" hidden="1">
      <c r="A3327" t="s">
        <v>4724</v>
      </c>
      <c r="B3327" t="s">
        <v>590</v>
      </c>
      <c r="C3327" s="1">
        <v>45160</v>
      </c>
      <c r="D3327" s="2">
        <v>57146959</v>
      </c>
      <c r="E3327" s="2">
        <v>26832</v>
      </c>
      <c r="F3327">
        <v>58</v>
      </c>
      <c r="G3327" s="2">
        <v>10407451</v>
      </c>
      <c r="H3327" s="2">
        <v>123510</v>
      </c>
      <c r="I3327" s="2">
        <v>16954</v>
      </c>
      <c r="J3327">
        <v>31</v>
      </c>
      <c r="L3327">
        <v>1</v>
      </c>
      <c r="M3327" t="str">
        <f t="shared" si="51"/>
        <v>After 2020</v>
      </c>
    </row>
    <row r="3328" spans="1:13" hidden="1">
      <c r="A3328" t="s">
        <v>4725</v>
      </c>
      <c r="B3328" t="s">
        <v>803</v>
      </c>
      <c r="C3328" s="1">
        <v>45420</v>
      </c>
      <c r="D3328" s="2">
        <v>9889717</v>
      </c>
      <c r="E3328" s="2">
        <v>1826</v>
      </c>
      <c r="J3328">
        <v>15</v>
      </c>
      <c r="K3328">
        <v>16</v>
      </c>
      <c r="L3328">
        <v>1</v>
      </c>
      <c r="M3328" t="str">
        <f t="shared" si="51"/>
        <v>After 2020</v>
      </c>
    </row>
    <row r="3329" spans="1:13">
      <c r="A3329" t="s">
        <v>4726</v>
      </c>
      <c r="B3329" t="s">
        <v>4727</v>
      </c>
      <c r="C3329" s="1">
        <v>45134</v>
      </c>
      <c r="D3329" s="2">
        <v>86069322</v>
      </c>
      <c r="E3329" s="2">
        <v>17650</v>
      </c>
      <c r="F3329">
        <v>60</v>
      </c>
      <c r="G3329" s="2">
        <v>15451799</v>
      </c>
      <c r="H3329" s="2">
        <v>202322</v>
      </c>
      <c r="I3329" s="2">
        <v>101213993</v>
      </c>
      <c r="J3329">
        <v>25</v>
      </c>
      <c r="K3329">
        <v>23</v>
      </c>
      <c r="L3329">
        <v>0</v>
      </c>
      <c r="M3329" t="str">
        <f t="shared" si="51"/>
        <v>After 2020</v>
      </c>
    </row>
    <row r="3330" spans="1:13">
      <c r="A3330" t="s">
        <v>4728</v>
      </c>
      <c r="B3330" t="s">
        <v>371</v>
      </c>
      <c r="C3330" s="1">
        <v>39448</v>
      </c>
      <c r="D3330" s="2">
        <v>1285242562</v>
      </c>
      <c r="E3330" s="2">
        <v>216338</v>
      </c>
      <c r="F3330">
        <v>77</v>
      </c>
      <c r="G3330" s="2">
        <v>256379013</v>
      </c>
      <c r="H3330" s="2">
        <v>2156909</v>
      </c>
      <c r="I3330" s="2">
        <v>1231170484</v>
      </c>
      <c r="J3330">
        <v>172</v>
      </c>
      <c r="K3330">
        <v>268</v>
      </c>
      <c r="L3330">
        <v>0</v>
      </c>
      <c r="M3330" t="str">
        <f t="shared" si="51"/>
        <v>Before 2010</v>
      </c>
    </row>
    <row r="3331" spans="1:13" hidden="1">
      <c r="A3331" t="s">
        <v>4729</v>
      </c>
      <c r="B3331" t="s">
        <v>4730</v>
      </c>
      <c r="C3331" s="1">
        <v>45359</v>
      </c>
      <c r="D3331" s="2">
        <v>11170433</v>
      </c>
      <c r="E3331" s="2">
        <v>2065</v>
      </c>
      <c r="F3331">
        <v>61</v>
      </c>
      <c r="G3331" s="2">
        <v>35976070</v>
      </c>
      <c r="H3331" s="2">
        <v>1087118</v>
      </c>
      <c r="I3331" s="2">
        <v>35066</v>
      </c>
      <c r="J3331">
        <v>11</v>
      </c>
      <c r="L3331">
        <v>1</v>
      </c>
      <c r="M3331" t="str">
        <f t="shared" ref="M3331:M3394" si="52">IF(YEAR(C3331)&lt;2010,"Before 2010",IF(YEAR(C3331)&lt;=2020,"2010-2020","After 2020"))</f>
        <v>After 2020</v>
      </c>
    </row>
    <row r="3332" spans="1:13" hidden="1">
      <c r="A3332" t="s">
        <v>4731</v>
      </c>
      <c r="B3332" t="s">
        <v>2845</v>
      </c>
      <c r="C3332" s="1">
        <v>45366</v>
      </c>
      <c r="D3332" s="2">
        <v>12044437</v>
      </c>
      <c r="E3332">
        <v>361</v>
      </c>
      <c r="G3332" s="2">
        <v>46011423</v>
      </c>
      <c r="H3332" s="2">
        <v>1888358</v>
      </c>
      <c r="L3332">
        <v>0</v>
      </c>
      <c r="M3332" t="str">
        <f t="shared" si="52"/>
        <v>After 2020</v>
      </c>
    </row>
    <row r="3333" spans="1:13" hidden="1">
      <c r="A3333" t="s">
        <v>4732</v>
      </c>
      <c r="B3333" t="s">
        <v>502</v>
      </c>
      <c r="C3333" s="1">
        <v>45386</v>
      </c>
      <c r="D3333" s="2">
        <v>30160112</v>
      </c>
      <c r="E3333" s="2">
        <v>2429</v>
      </c>
      <c r="F3333">
        <v>73</v>
      </c>
      <c r="G3333" s="2">
        <v>22379808</v>
      </c>
      <c r="H3333" s="2">
        <v>224346</v>
      </c>
      <c r="J3333">
        <v>2</v>
      </c>
      <c r="L3333">
        <v>1</v>
      </c>
      <c r="M3333" t="str">
        <f t="shared" si="52"/>
        <v>After 2020</v>
      </c>
    </row>
    <row r="3334" spans="1:13" hidden="1">
      <c r="A3334" t="s">
        <v>4733</v>
      </c>
      <c r="B3334" t="s">
        <v>4734</v>
      </c>
      <c r="C3334" s="1">
        <v>45406</v>
      </c>
      <c r="D3334" s="2">
        <v>21255642</v>
      </c>
      <c r="E3334" s="2">
        <v>3519</v>
      </c>
      <c r="F3334">
        <v>73</v>
      </c>
      <c r="G3334" s="2">
        <v>5828561</v>
      </c>
      <c r="H3334" s="2">
        <v>86906</v>
      </c>
      <c r="J3334">
        <v>8</v>
      </c>
      <c r="K3334">
        <v>4</v>
      </c>
      <c r="L3334">
        <v>1</v>
      </c>
      <c r="M3334" t="str">
        <f t="shared" si="52"/>
        <v>After 2020</v>
      </c>
    </row>
    <row r="3335" spans="1:13" hidden="1">
      <c r="A3335" t="s">
        <v>586</v>
      </c>
      <c r="B3335" t="s">
        <v>4735</v>
      </c>
      <c r="C3335" s="1">
        <v>45048</v>
      </c>
      <c r="D3335" s="2">
        <v>7900402</v>
      </c>
      <c r="E3335" s="2">
        <v>4782</v>
      </c>
      <c r="F3335">
        <v>1</v>
      </c>
      <c r="G3335" s="2">
        <v>146296974</v>
      </c>
      <c r="H3335" s="2">
        <v>819226</v>
      </c>
      <c r="I3335" s="2">
        <v>215446483</v>
      </c>
      <c r="J3335">
        <v>7</v>
      </c>
      <c r="L3335">
        <v>0</v>
      </c>
      <c r="M3335" t="str">
        <f t="shared" si="52"/>
        <v>After 2020</v>
      </c>
    </row>
    <row r="3336" spans="1:13" hidden="1">
      <c r="A3336" t="s">
        <v>4736</v>
      </c>
      <c r="B3336" t="s">
        <v>515</v>
      </c>
      <c r="C3336" s="1">
        <v>45351</v>
      </c>
      <c r="D3336" s="2">
        <v>12478109</v>
      </c>
      <c r="E3336" s="2">
        <v>1427</v>
      </c>
      <c r="G3336" s="2">
        <v>19304985</v>
      </c>
      <c r="H3336" s="2">
        <v>561923</v>
      </c>
      <c r="J3336">
        <v>19</v>
      </c>
      <c r="K3336">
        <v>3</v>
      </c>
      <c r="L3336">
        <v>0</v>
      </c>
      <c r="M3336" t="str">
        <f t="shared" si="52"/>
        <v>After 2020</v>
      </c>
    </row>
    <row r="3337" spans="1:13" hidden="1">
      <c r="A3337" t="s">
        <v>4737</v>
      </c>
      <c r="B3337" t="s">
        <v>4738</v>
      </c>
      <c r="C3337" s="1">
        <v>45355</v>
      </c>
      <c r="D3337" s="2">
        <v>200302</v>
      </c>
      <c r="E3337">
        <v>12</v>
      </c>
      <c r="G3337" s="2">
        <v>57962118</v>
      </c>
      <c r="H3337" s="2">
        <v>45667</v>
      </c>
      <c r="L3337">
        <v>0</v>
      </c>
      <c r="M3337" t="str">
        <f t="shared" si="52"/>
        <v>After 2020</v>
      </c>
    </row>
    <row r="3338" spans="1:13" hidden="1">
      <c r="A3338" t="s">
        <v>4739</v>
      </c>
      <c r="B3338" t="s">
        <v>4740</v>
      </c>
      <c r="C3338" s="1">
        <v>43970</v>
      </c>
      <c r="D3338" s="2">
        <v>312678365</v>
      </c>
      <c r="E3338" s="2">
        <v>67390</v>
      </c>
      <c r="F3338">
        <v>56</v>
      </c>
      <c r="G3338" s="2">
        <v>68518582</v>
      </c>
      <c r="H3338" s="2">
        <v>1252622</v>
      </c>
      <c r="I3338" s="2">
        <v>2130678972</v>
      </c>
      <c r="J3338">
        <v>44</v>
      </c>
      <c r="L3338">
        <v>1</v>
      </c>
      <c r="M3338" t="str">
        <f t="shared" si="52"/>
        <v>2010-2020</v>
      </c>
    </row>
    <row r="3339" spans="1:13">
      <c r="A3339" t="s">
        <v>4741</v>
      </c>
      <c r="B3339" t="s">
        <v>295</v>
      </c>
      <c r="C3339" s="1">
        <v>44869</v>
      </c>
      <c r="D3339" s="2">
        <v>167840439</v>
      </c>
      <c r="E3339" s="2">
        <v>54445</v>
      </c>
      <c r="F3339">
        <v>64</v>
      </c>
      <c r="G3339" s="2">
        <v>25641544</v>
      </c>
      <c r="H3339" s="2">
        <v>341459</v>
      </c>
      <c r="I3339" s="2">
        <v>52937881</v>
      </c>
      <c r="J3339">
        <v>6</v>
      </c>
      <c r="K3339">
        <v>118</v>
      </c>
      <c r="L3339">
        <v>1</v>
      </c>
      <c r="M3339" t="str">
        <f t="shared" si="52"/>
        <v>After 2020</v>
      </c>
    </row>
    <row r="3340" spans="1:13" hidden="1">
      <c r="A3340" t="s">
        <v>4742</v>
      </c>
      <c r="B3340" t="s">
        <v>2949</v>
      </c>
      <c r="C3340" s="1">
        <v>45422</v>
      </c>
      <c r="D3340" s="2">
        <v>9327924</v>
      </c>
      <c r="E3340">
        <v>878</v>
      </c>
      <c r="F3340">
        <v>72</v>
      </c>
      <c r="G3340" s="2">
        <v>875363</v>
      </c>
      <c r="H3340" s="2">
        <v>15615</v>
      </c>
      <c r="J3340">
        <v>14</v>
      </c>
      <c r="K3340">
        <v>23</v>
      </c>
      <c r="L3340">
        <v>0</v>
      </c>
      <c r="M3340" t="str">
        <f t="shared" si="52"/>
        <v>After 2020</v>
      </c>
    </row>
    <row r="3341" spans="1:13">
      <c r="A3341" t="s">
        <v>4743</v>
      </c>
      <c r="B3341" t="s">
        <v>912</v>
      </c>
      <c r="C3341" s="1">
        <v>39083</v>
      </c>
      <c r="D3341" s="2">
        <v>1535595924</v>
      </c>
      <c r="E3341" s="2">
        <v>236327</v>
      </c>
      <c r="F3341">
        <v>77</v>
      </c>
      <c r="G3341" s="2">
        <v>1266946594</v>
      </c>
      <c r="H3341" s="2">
        <v>7227133</v>
      </c>
      <c r="I3341" s="2">
        <v>123440263</v>
      </c>
      <c r="J3341">
        <v>249</v>
      </c>
      <c r="K3341">
        <v>139</v>
      </c>
      <c r="L3341">
        <v>0</v>
      </c>
      <c r="M3341" t="str">
        <f t="shared" si="52"/>
        <v>Before 2010</v>
      </c>
    </row>
    <row r="3342" spans="1:13" hidden="1">
      <c r="A3342" t="s">
        <v>4744</v>
      </c>
      <c r="B3342" t="s">
        <v>68</v>
      </c>
      <c r="C3342" s="1">
        <v>43182</v>
      </c>
      <c r="D3342" s="2">
        <v>404872050</v>
      </c>
      <c r="E3342" s="2">
        <v>55578</v>
      </c>
      <c r="F3342">
        <v>72</v>
      </c>
      <c r="G3342" s="2">
        <v>89852977</v>
      </c>
      <c r="H3342" s="2">
        <v>1063400</v>
      </c>
      <c r="I3342" s="2">
        <v>3235980364</v>
      </c>
      <c r="J3342">
        <v>18</v>
      </c>
      <c r="L3342">
        <v>1</v>
      </c>
      <c r="M3342" t="str">
        <f t="shared" si="52"/>
        <v>2010-2020</v>
      </c>
    </row>
    <row r="3343" spans="1:13" hidden="1">
      <c r="A3343" t="s">
        <v>4745</v>
      </c>
      <c r="B3343" t="s">
        <v>4746</v>
      </c>
      <c r="C3343" s="1">
        <v>45362</v>
      </c>
      <c r="D3343" s="2">
        <v>168663071</v>
      </c>
      <c r="E3343">
        <v>184</v>
      </c>
      <c r="L3343">
        <v>1</v>
      </c>
      <c r="M3343" t="str">
        <f t="shared" si="52"/>
        <v>After 2020</v>
      </c>
    </row>
    <row r="3344" spans="1:13">
      <c r="A3344" t="s">
        <v>4747</v>
      </c>
      <c r="B3344" t="s">
        <v>47</v>
      </c>
      <c r="C3344" s="1">
        <v>45135</v>
      </c>
      <c r="D3344" s="2">
        <v>106740885</v>
      </c>
      <c r="E3344" s="2">
        <v>16395</v>
      </c>
      <c r="F3344">
        <v>66</v>
      </c>
      <c r="G3344" s="2">
        <v>4758436</v>
      </c>
      <c r="H3344" s="2">
        <v>46227</v>
      </c>
      <c r="I3344" s="2">
        <v>12122087</v>
      </c>
      <c r="J3344">
        <v>10</v>
      </c>
      <c r="K3344">
        <v>407</v>
      </c>
      <c r="L3344">
        <v>1</v>
      </c>
      <c r="M3344" t="str">
        <f t="shared" si="52"/>
        <v>After 2020</v>
      </c>
    </row>
    <row r="3345" spans="1:13" hidden="1">
      <c r="A3345" t="s">
        <v>4748</v>
      </c>
      <c r="B3345" t="s">
        <v>4749</v>
      </c>
      <c r="C3345" s="1">
        <v>45449</v>
      </c>
      <c r="D3345" s="2">
        <v>5698784</v>
      </c>
      <c r="E3345">
        <v>846</v>
      </c>
      <c r="F3345">
        <v>67</v>
      </c>
      <c r="J3345">
        <v>21</v>
      </c>
      <c r="L3345">
        <v>1</v>
      </c>
      <c r="M3345" t="str">
        <f t="shared" si="52"/>
        <v>After 2020</v>
      </c>
    </row>
    <row r="3346" spans="1:13">
      <c r="A3346" t="s">
        <v>4750</v>
      </c>
      <c r="B3346" t="s">
        <v>879</v>
      </c>
      <c r="C3346" s="1">
        <v>44225</v>
      </c>
      <c r="D3346" s="2">
        <v>479276199</v>
      </c>
      <c r="E3346" s="2">
        <v>61386</v>
      </c>
      <c r="F3346">
        <v>60</v>
      </c>
      <c r="G3346" s="2">
        <v>228278348</v>
      </c>
      <c r="H3346" s="2">
        <v>3170402</v>
      </c>
      <c r="I3346" s="2">
        <v>303099826</v>
      </c>
      <c r="J3346">
        <v>95</v>
      </c>
      <c r="K3346">
        <v>135</v>
      </c>
      <c r="L3346">
        <v>0</v>
      </c>
      <c r="M3346" t="str">
        <f t="shared" si="52"/>
        <v>After 2020</v>
      </c>
    </row>
    <row r="3347" spans="1:13" hidden="1">
      <c r="A3347" t="s">
        <v>4751</v>
      </c>
      <c r="B3347" t="s">
        <v>1680</v>
      </c>
      <c r="C3347" s="1">
        <v>41275</v>
      </c>
      <c r="D3347" s="2">
        <v>773746724</v>
      </c>
      <c r="E3347" s="2">
        <v>52272</v>
      </c>
      <c r="F3347">
        <v>27</v>
      </c>
      <c r="G3347" s="2">
        <v>121852617</v>
      </c>
      <c r="H3347" s="2">
        <v>1286777</v>
      </c>
      <c r="I3347" s="2">
        <v>123125094</v>
      </c>
      <c r="J3347">
        <v>20</v>
      </c>
      <c r="L3347">
        <v>1</v>
      </c>
      <c r="M3347" t="str">
        <f t="shared" si="52"/>
        <v>2010-2020</v>
      </c>
    </row>
    <row r="3348" spans="1:13">
      <c r="A3348" t="s">
        <v>4752</v>
      </c>
      <c r="B3348" t="s">
        <v>177</v>
      </c>
      <c r="C3348" s="1">
        <v>45044</v>
      </c>
      <c r="D3348" s="2">
        <v>173061521</v>
      </c>
      <c r="E3348" s="2">
        <v>18616</v>
      </c>
      <c r="F3348">
        <v>67</v>
      </c>
      <c r="G3348" s="2">
        <v>53668901</v>
      </c>
      <c r="H3348" s="2">
        <v>343308</v>
      </c>
      <c r="I3348" s="2">
        <v>239225982</v>
      </c>
      <c r="J3348">
        <v>11</v>
      </c>
      <c r="K3348">
        <v>1</v>
      </c>
      <c r="L3348">
        <v>0</v>
      </c>
      <c r="M3348" t="str">
        <f t="shared" si="52"/>
        <v>After 2020</v>
      </c>
    </row>
    <row r="3349" spans="1:13" hidden="1">
      <c r="A3349" t="s">
        <v>4753</v>
      </c>
      <c r="B3349" t="s">
        <v>4754</v>
      </c>
      <c r="C3349" s="1">
        <v>45156</v>
      </c>
      <c r="D3349" s="2">
        <v>1598680</v>
      </c>
      <c r="E3349">
        <v>45</v>
      </c>
      <c r="L3349">
        <v>0</v>
      </c>
      <c r="M3349" t="str">
        <f t="shared" si="52"/>
        <v>After 2020</v>
      </c>
    </row>
    <row r="3350" spans="1:13">
      <c r="A3350" t="s">
        <v>4755</v>
      </c>
      <c r="B3350" t="s">
        <v>1857</v>
      </c>
      <c r="C3350" s="1">
        <v>44437</v>
      </c>
      <c r="D3350" s="2">
        <v>300082779</v>
      </c>
      <c r="E3350" s="2">
        <v>103366</v>
      </c>
      <c r="F3350">
        <v>65</v>
      </c>
      <c r="G3350" s="2">
        <v>26665548</v>
      </c>
      <c r="H3350" s="2">
        <v>457381</v>
      </c>
      <c r="I3350" s="2">
        <v>259653952</v>
      </c>
      <c r="J3350">
        <v>25</v>
      </c>
      <c r="K3350">
        <v>2</v>
      </c>
      <c r="L3350">
        <v>0</v>
      </c>
      <c r="M3350" t="str">
        <f t="shared" si="52"/>
        <v>After 2020</v>
      </c>
    </row>
    <row r="3351" spans="1:13">
      <c r="A3351" t="s">
        <v>4756</v>
      </c>
      <c r="B3351" t="s">
        <v>4757</v>
      </c>
      <c r="C3351" s="1">
        <v>42587</v>
      </c>
      <c r="D3351" s="2">
        <v>597718233</v>
      </c>
      <c r="E3351" s="2">
        <v>172980</v>
      </c>
      <c r="F3351">
        <v>76</v>
      </c>
      <c r="G3351" s="2">
        <v>152225528</v>
      </c>
      <c r="H3351" s="2">
        <v>2379610</v>
      </c>
      <c r="I3351" s="2">
        <v>1985146213</v>
      </c>
      <c r="J3351">
        <v>11</v>
      </c>
      <c r="K3351">
        <v>57</v>
      </c>
      <c r="L3351">
        <v>0</v>
      </c>
      <c r="M3351" t="str">
        <f t="shared" si="52"/>
        <v>2010-2020</v>
      </c>
    </row>
    <row r="3352" spans="1:13" hidden="1">
      <c r="A3352" t="s">
        <v>4758</v>
      </c>
      <c r="B3352" t="s">
        <v>1407</v>
      </c>
      <c r="C3352" s="1">
        <v>44421</v>
      </c>
      <c r="D3352" s="2">
        <v>142075177</v>
      </c>
      <c r="E3352" s="2">
        <v>43680</v>
      </c>
      <c r="F3352">
        <v>58</v>
      </c>
      <c r="G3352" s="2">
        <v>38137678</v>
      </c>
      <c r="H3352" s="2">
        <v>322681</v>
      </c>
      <c r="I3352" s="2">
        <v>38844483</v>
      </c>
      <c r="J3352">
        <v>81</v>
      </c>
      <c r="L3352">
        <v>0</v>
      </c>
      <c r="M3352" t="str">
        <f t="shared" si="52"/>
        <v>After 2020</v>
      </c>
    </row>
    <row r="3353" spans="1:13">
      <c r="A3353" t="s">
        <v>4759</v>
      </c>
      <c r="B3353" t="s">
        <v>2289</v>
      </c>
      <c r="C3353" s="1">
        <v>44995</v>
      </c>
      <c r="D3353" s="2">
        <v>66067682</v>
      </c>
      <c r="E3353" s="2">
        <v>7457</v>
      </c>
      <c r="F3353">
        <v>65</v>
      </c>
      <c r="G3353" s="2">
        <v>7470172</v>
      </c>
      <c r="H3353" s="2">
        <v>52452</v>
      </c>
      <c r="I3353" s="2">
        <v>2892289</v>
      </c>
      <c r="J3353">
        <v>24</v>
      </c>
      <c r="K3353">
        <v>68</v>
      </c>
      <c r="L3353">
        <v>0</v>
      </c>
      <c r="M3353" t="str">
        <f t="shared" si="52"/>
        <v>After 2020</v>
      </c>
    </row>
    <row r="3354" spans="1:13">
      <c r="A3354" t="s">
        <v>4760</v>
      </c>
      <c r="B3354" t="s">
        <v>981</v>
      </c>
      <c r="C3354" s="1">
        <v>43153</v>
      </c>
      <c r="D3354" s="2">
        <v>981323727</v>
      </c>
      <c r="E3354" s="2">
        <v>120261</v>
      </c>
      <c r="F3354">
        <v>73</v>
      </c>
      <c r="G3354" s="2">
        <v>87459823</v>
      </c>
      <c r="H3354" s="2">
        <v>548954</v>
      </c>
      <c r="I3354" s="2">
        <v>371899059</v>
      </c>
      <c r="J3354">
        <v>110</v>
      </c>
      <c r="K3354">
        <v>341</v>
      </c>
      <c r="L3354">
        <v>0</v>
      </c>
      <c r="M3354" t="str">
        <f t="shared" si="52"/>
        <v>2010-2020</v>
      </c>
    </row>
    <row r="3355" spans="1:13" hidden="1">
      <c r="A3355" t="s">
        <v>4761</v>
      </c>
      <c r="B3355" t="s">
        <v>187</v>
      </c>
      <c r="C3355" s="1">
        <v>45345</v>
      </c>
      <c r="D3355" s="2">
        <v>9682984</v>
      </c>
      <c r="E3355" s="2">
        <v>3542</v>
      </c>
      <c r="G3355" s="2">
        <v>14270016</v>
      </c>
      <c r="H3355" s="2">
        <v>247623</v>
      </c>
      <c r="J3355">
        <v>14</v>
      </c>
      <c r="K3355">
        <v>43</v>
      </c>
      <c r="L3355">
        <v>1</v>
      </c>
      <c r="M3355" t="str">
        <f t="shared" si="52"/>
        <v>After 2020</v>
      </c>
    </row>
    <row r="3356" spans="1:13" hidden="1">
      <c r="A3356" t="s">
        <v>4762</v>
      </c>
      <c r="B3356" t="s">
        <v>81</v>
      </c>
      <c r="C3356" s="1">
        <v>43679</v>
      </c>
      <c r="D3356" s="2">
        <v>809537829</v>
      </c>
      <c r="E3356" s="2">
        <v>72598</v>
      </c>
      <c r="F3356">
        <v>71</v>
      </c>
      <c r="G3356" s="2">
        <v>372025118</v>
      </c>
      <c r="H3356" s="2">
        <v>5569680</v>
      </c>
      <c r="I3356" s="2">
        <v>449615555</v>
      </c>
      <c r="J3356">
        <v>60</v>
      </c>
      <c r="L3356">
        <v>1</v>
      </c>
      <c r="M3356" t="str">
        <f t="shared" si="52"/>
        <v>2010-2020</v>
      </c>
    </row>
    <row r="3357" spans="1:13" hidden="1">
      <c r="A3357" t="s">
        <v>4763</v>
      </c>
      <c r="B3357" t="s">
        <v>4764</v>
      </c>
      <c r="C3357" s="1">
        <v>45442</v>
      </c>
      <c r="D3357" s="2">
        <v>51035638</v>
      </c>
      <c r="L3357">
        <v>0</v>
      </c>
      <c r="M3357" t="str">
        <f t="shared" si="52"/>
        <v>After 2020</v>
      </c>
    </row>
    <row r="3358" spans="1:13" hidden="1">
      <c r="A3358" t="s">
        <v>4765</v>
      </c>
      <c r="B3358" t="s">
        <v>4596</v>
      </c>
      <c r="C3358" s="1">
        <v>43742</v>
      </c>
      <c r="D3358" s="2">
        <v>1060667446</v>
      </c>
      <c r="E3358">
        <v>170</v>
      </c>
      <c r="F3358">
        <v>15</v>
      </c>
      <c r="I3358" s="2">
        <v>381934707</v>
      </c>
      <c r="J3358">
        <v>124</v>
      </c>
      <c r="L3358">
        <v>0</v>
      </c>
      <c r="M3358" t="str">
        <f t="shared" si="52"/>
        <v>2010-2020</v>
      </c>
    </row>
    <row r="3359" spans="1:13" hidden="1">
      <c r="A3359" t="s">
        <v>4766</v>
      </c>
      <c r="B3359" t="s">
        <v>4767</v>
      </c>
      <c r="C3359" s="1">
        <v>44357</v>
      </c>
      <c r="D3359" s="2">
        <v>285568439</v>
      </c>
      <c r="E3359" s="2">
        <v>67189</v>
      </c>
      <c r="F3359">
        <v>65</v>
      </c>
      <c r="G3359" s="2">
        <v>161956855</v>
      </c>
      <c r="H3359" s="2">
        <v>3891055</v>
      </c>
      <c r="I3359" s="2">
        <v>1818254854</v>
      </c>
      <c r="J3359">
        <v>13</v>
      </c>
      <c r="L3359">
        <v>0</v>
      </c>
      <c r="M3359" t="str">
        <f t="shared" si="52"/>
        <v>After 2020</v>
      </c>
    </row>
    <row r="3360" spans="1:13">
      <c r="A3360" t="s">
        <v>4768</v>
      </c>
      <c r="B3360" t="s">
        <v>4769</v>
      </c>
      <c r="C3360" s="1">
        <v>44589</v>
      </c>
      <c r="D3360" s="2">
        <v>94677649</v>
      </c>
      <c r="E3360" s="2">
        <v>9726</v>
      </c>
      <c r="F3360">
        <v>58</v>
      </c>
      <c r="G3360" s="2">
        <v>380478131</v>
      </c>
      <c r="H3360" s="2">
        <v>958443</v>
      </c>
      <c r="I3360" s="2">
        <v>39716201</v>
      </c>
      <c r="J3360">
        <v>8</v>
      </c>
      <c r="K3360">
        <v>17</v>
      </c>
      <c r="L3360">
        <v>0</v>
      </c>
      <c r="M3360" t="str">
        <f t="shared" si="52"/>
        <v>After 2020</v>
      </c>
    </row>
    <row r="3361" spans="1:13" hidden="1">
      <c r="A3361" t="s">
        <v>4770</v>
      </c>
      <c r="B3361" t="s">
        <v>4771</v>
      </c>
      <c r="C3361" s="1">
        <v>45407</v>
      </c>
      <c r="D3361" s="2">
        <v>18919068</v>
      </c>
      <c r="E3361" s="2">
        <v>4186</v>
      </c>
      <c r="F3361">
        <v>74</v>
      </c>
      <c r="G3361" s="2">
        <v>1025503</v>
      </c>
      <c r="H3361" s="2">
        <v>18910</v>
      </c>
      <c r="J3361">
        <v>24</v>
      </c>
      <c r="K3361">
        <v>10</v>
      </c>
      <c r="L3361">
        <v>0</v>
      </c>
      <c r="M3361" t="str">
        <f t="shared" si="52"/>
        <v>After 2020</v>
      </c>
    </row>
    <row r="3362" spans="1:13">
      <c r="A3362" t="s">
        <v>4772</v>
      </c>
      <c r="B3362" t="s">
        <v>1210</v>
      </c>
      <c r="C3362" s="1">
        <v>44974</v>
      </c>
      <c r="D3362" s="2">
        <v>64851689</v>
      </c>
      <c r="E3362" s="2">
        <v>10684</v>
      </c>
      <c r="F3362">
        <v>57</v>
      </c>
      <c r="G3362" s="2">
        <v>26844412</v>
      </c>
      <c r="H3362" s="2">
        <v>215475</v>
      </c>
      <c r="I3362" s="2">
        <v>127114832</v>
      </c>
      <c r="J3362">
        <v>52</v>
      </c>
      <c r="K3362" s="2">
        <v>1319</v>
      </c>
      <c r="L3362">
        <v>1</v>
      </c>
      <c r="M3362" t="str">
        <f t="shared" si="52"/>
        <v>After 2020</v>
      </c>
    </row>
    <row r="3363" spans="1:13">
      <c r="A3363" t="s">
        <v>4773</v>
      </c>
      <c r="B3363" t="s">
        <v>574</v>
      </c>
      <c r="C3363" s="1">
        <v>44785</v>
      </c>
      <c r="D3363" s="2">
        <v>85785871</v>
      </c>
      <c r="E3363" s="2">
        <v>28868</v>
      </c>
      <c r="F3363">
        <v>60</v>
      </c>
      <c r="G3363" s="2">
        <v>12121852</v>
      </c>
      <c r="H3363" s="2">
        <v>157411</v>
      </c>
      <c r="I3363" s="2">
        <v>2095787</v>
      </c>
      <c r="J3363">
        <v>9</v>
      </c>
      <c r="K3363">
        <v>894</v>
      </c>
      <c r="L3363">
        <v>1</v>
      </c>
      <c r="M3363" t="str">
        <f t="shared" si="52"/>
        <v>After 2020</v>
      </c>
    </row>
    <row r="3364" spans="1:13" hidden="1">
      <c r="A3364" t="s">
        <v>4774</v>
      </c>
      <c r="B3364" t="s">
        <v>459</v>
      </c>
      <c r="C3364" s="1">
        <v>42797</v>
      </c>
      <c r="D3364" s="2">
        <v>426104353</v>
      </c>
      <c r="E3364" s="2">
        <v>47827</v>
      </c>
      <c r="F3364">
        <v>68</v>
      </c>
      <c r="G3364" s="2">
        <v>1075650402</v>
      </c>
      <c r="H3364" s="2">
        <v>4140985</v>
      </c>
      <c r="I3364" s="2">
        <v>19811260</v>
      </c>
      <c r="J3364">
        <v>50</v>
      </c>
      <c r="L3364">
        <v>1</v>
      </c>
      <c r="M3364" t="str">
        <f t="shared" si="52"/>
        <v>2010-2020</v>
      </c>
    </row>
    <row r="3365" spans="1:13" hidden="1">
      <c r="A3365" t="s">
        <v>4775</v>
      </c>
      <c r="B3365" t="s">
        <v>1380</v>
      </c>
      <c r="C3365" s="1">
        <v>45275</v>
      </c>
      <c r="D3365" s="2">
        <v>56695409</v>
      </c>
      <c r="E3365" s="2">
        <v>4559</v>
      </c>
      <c r="F3365">
        <v>68</v>
      </c>
      <c r="G3365" s="2">
        <v>63800824</v>
      </c>
      <c r="H3365" s="2">
        <v>219647</v>
      </c>
      <c r="J3365">
        <v>3</v>
      </c>
      <c r="L3365">
        <v>0</v>
      </c>
      <c r="M3365" t="str">
        <f t="shared" si="52"/>
        <v>After 2020</v>
      </c>
    </row>
    <row r="3366" spans="1:13">
      <c r="A3366" t="s">
        <v>4776</v>
      </c>
      <c r="B3366" t="s">
        <v>315</v>
      </c>
      <c r="C3366" s="1">
        <v>45051</v>
      </c>
      <c r="D3366" s="2">
        <v>70418045</v>
      </c>
      <c r="E3366" s="2">
        <v>19968</v>
      </c>
      <c r="F3366">
        <v>60</v>
      </c>
      <c r="G3366" s="2">
        <v>39812848</v>
      </c>
      <c r="H3366" s="2">
        <v>590392</v>
      </c>
      <c r="I3366" s="2">
        <v>767711351</v>
      </c>
      <c r="J3366">
        <v>13</v>
      </c>
      <c r="K3366" s="2">
        <v>2355</v>
      </c>
      <c r="L3366">
        <v>1</v>
      </c>
      <c r="M3366" t="str">
        <f t="shared" si="52"/>
        <v>After 2020</v>
      </c>
    </row>
    <row r="3367" spans="1:13">
      <c r="A3367" t="s">
        <v>4777</v>
      </c>
      <c r="B3367" t="s">
        <v>479</v>
      </c>
      <c r="C3367" s="1">
        <v>42776</v>
      </c>
      <c r="D3367" s="2">
        <v>571538542</v>
      </c>
      <c r="E3367" s="2">
        <v>59626</v>
      </c>
      <c r="F3367">
        <v>64</v>
      </c>
      <c r="G3367" s="2">
        <v>798537539</v>
      </c>
      <c r="H3367" s="2">
        <v>5042041</v>
      </c>
      <c r="I3367" s="2">
        <v>68206300</v>
      </c>
      <c r="J3367">
        <v>100</v>
      </c>
      <c r="K3367">
        <v>15</v>
      </c>
      <c r="L3367">
        <v>0</v>
      </c>
      <c r="M3367" t="str">
        <f t="shared" si="52"/>
        <v>2010-2020</v>
      </c>
    </row>
    <row r="3368" spans="1:13">
      <c r="A3368" t="s">
        <v>4778</v>
      </c>
      <c r="B3368" t="s">
        <v>123</v>
      </c>
      <c r="C3368" s="1">
        <v>43831</v>
      </c>
      <c r="D3368" s="2">
        <v>461495506</v>
      </c>
      <c r="E3368" s="2">
        <v>64344</v>
      </c>
      <c r="F3368">
        <v>63</v>
      </c>
      <c r="G3368" s="2">
        <v>183828202</v>
      </c>
      <c r="H3368" s="2">
        <v>2212191</v>
      </c>
      <c r="I3368" s="2">
        <v>574322224</v>
      </c>
      <c r="J3368">
        <v>150</v>
      </c>
      <c r="K3368">
        <v>81</v>
      </c>
      <c r="L3368">
        <v>0</v>
      </c>
      <c r="M3368" t="str">
        <f t="shared" si="52"/>
        <v>2010-2020</v>
      </c>
    </row>
    <row r="3369" spans="1:13" hidden="1">
      <c r="A3369" t="s">
        <v>4779</v>
      </c>
      <c r="B3369" t="s">
        <v>1632</v>
      </c>
      <c r="C3369" s="1">
        <v>45434</v>
      </c>
      <c r="D3369" s="2">
        <v>4177077</v>
      </c>
      <c r="E3369">
        <v>267</v>
      </c>
      <c r="F3369">
        <v>63</v>
      </c>
      <c r="G3369" s="2">
        <v>10927692</v>
      </c>
      <c r="H3369" s="2">
        <v>75044</v>
      </c>
      <c r="J3369">
        <v>3</v>
      </c>
      <c r="L3369">
        <v>0</v>
      </c>
      <c r="M3369" t="str">
        <f t="shared" si="52"/>
        <v>After 2020</v>
      </c>
    </row>
    <row r="3370" spans="1:13">
      <c r="A3370" t="s">
        <v>4780</v>
      </c>
      <c r="B3370" t="s">
        <v>4781</v>
      </c>
      <c r="C3370" s="1">
        <v>37987</v>
      </c>
      <c r="D3370" s="2">
        <v>2174022106</v>
      </c>
      <c r="E3370" s="2">
        <v>326294</v>
      </c>
      <c r="F3370">
        <v>81</v>
      </c>
      <c r="G3370" s="2">
        <v>183968852</v>
      </c>
      <c r="H3370" s="2">
        <v>1687112</v>
      </c>
      <c r="I3370" s="2">
        <v>294739225</v>
      </c>
      <c r="J3370">
        <v>293</v>
      </c>
      <c r="K3370">
        <v>217</v>
      </c>
      <c r="L3370">
        <v>0</v>
      </c>
      <c r="M3370" t="str">
        <f t="shared" si="52"/>
        <v>Before 2010</v>
      </c>
    </row>
    <row r="3371" spans="1:13">
      <c r="A3371" t="s">
        <v>4782</v>
      </c>
      <c r="B3371" t="s">
        <v>4783</v>
      </c>
      <c r="C3371" s="1">
        <v>38718</v>
      </c>
      <c r="D3371" s="2">
        <v>1194124781</v>
      </c>
      <c r="E3371" s="2">
        <v>235618</v>
      </c>
      <c r="F3371">
        <v>78</v>
      </c>
      <c r="G3371" s="2">
        <v>810297837</v>
      </c>
      <c r="H3371" s="2">
        <v>4900990</v>
      </c>
      <c r="I3371" s="2">
        <v>1795501997</v>
      </c>
      <c r="J3371">
        <v>164</v>
      </c>
      <c r="K3371">
        <v>337</v>
      </c>
      <c r="L3371">
        <v>0</v>
      </c>
      <c r="M3371" t="str">
        <f t="shared" si="52"/>
        <v>Before 2010</v>
      </c>
    </row>
    <row r="3372" spans="1:13">
      <c r="A3372" t="s">
        <v>4784</v>
      </c>
      <c r="B3372" t="s">
        <v>252</v>
      </c>
      <c r="C3372" s="1">
        <v>43847</v>
      </c>
      <c r="D3372" s="2">
        <v>459923962</v>
      </c>
      <c r="E3372" s="2">
        <v>28314</v>
      </c>
      <c r="F3372">
        <v>64</v>
      </c>
      <c r="G3372" s="2">
        <v>603350721</v>
      </c>
      <c r="H3372" s="2">
        <v>14962059</v>
      </c>
      <c r="I3372" s="2">
        <v>535835122</v>
      </c>
      <c r="J3372">
        <v>23</v>
      </c>
      <c r="K3372">
        <v>1</v>
      </c>
      <c r="L3372">
        <v>0</v>
      </c>
      <c r="M3372" t="str">
        <f t="shared" si="52"/>
        <v>2010-2020</v>
      </c>
    </row>
    <row r="3373" spans="1:13">
      <c r="A3373" t="s">
        <v>4785</v>
      </c>
      <c r="B3373" t="s">
        <v>682</v>
      </c>
      <c r="C3373" s="1">
        <v>44708</v>
      </c>
      <c r="D3373" s="2">
        <v>210513394</v>
      </c>
      <c r="E3373" s="2">
        <v>16039</v>
      </c>
      <c r="F3373">
        <v>67</v>
      </c>
      <c r="G3373" s="2">
        <v>270821476</v>
      </c>
      <c r="H3373" s="2">
        <v>4018096</v>
      </c>
      <c r="I3373" s="2">
        <v>797795448</v>
      </c>
      <c r="J3373">
        <v>11</v>
      </c>
      <c r="K3373">
        <v>6</v>
      </c>
      <c r="L3373">
        <v>0</v>
      </c>
      <c r="M3373" t="str">
        <f t="shared" si="52"/>
        <v>After 2020</v>
      </c>
    </row>
    <row r="3374" spans="1:13">
      <c r="A3374" t="s">
        <v>4786</v>
      </c>
      <c r="B3374" t="s">
        <v>1445</v>
      </c>
      <c r="C3374" s="1">
        <v>44862</v>
      </c>
      <c r="D3374" s="2">
        <v>320296093</v>
      </c>
      <c r="E3374" s="2">
        <v>42685</v>
      </c>
      <c r="F3374">
        <v>76</v>
      </c>
      <c r="G3374" s="2">
        <v>27153913</v>
      </c>
      <c r="H3374" s="2">
        <v>493000</v>
      </c>
      <c r="I3374" s="2">
        <v>38533990</v>
      </c>
      <c r="J3374">
        <v>14</v>
      </c>
      <c r="K3374">
        <v>14</v>
      </c>
      <c r="L3374">
        <v>0</v>
      </c>
      <c r="M3374" t="str">
        <f t="shared" si="52"/>
        <v>After 2020</v>
      </c>
    </row>
    <row r="3375" spans="1:13" hidden="1">
      <c r="A3375" t="s">
        <v>4787</v>
      </c>
      <c r="B3375" t="s">
        <v>4788</v>
      </c>
      <c r="C3375" s="1">
        <v>45420</v>
      </c>
      <c r="D3375" s="2">
        <v>1315948</v>
      </c>
      <c r="E3375">
        <v>67</v>
      </c>
      <c r="F3375">
        <v>60</v>
      </c>
      <c r="G3375" s="2">
        <v>19302655</v>
      </c>
      <c r="H3375" s="2">
        <v>252094</v>
      </c>
      <c r="L3375">
        <v>0</v>
      </c>
      <c r="M3375" t="str">
        <f t="shared" si="52"/>
        <v>After 2020</v>
      </c>
    </row>
    <row r="3376" spans="1:13" hidden="1">
      <c r="A3376" t="s">
        <v>4789</v>
      </c>
      <c r="B3376" t="s">
        <v>4790</v>
      </c>
      <c r="C3376" s="1">
        <v>40837</v>
      </c>
      <c r="D3376" s="2">
        <v>1431126152</v>
      </c>
      <c r="E3376" s="2">
        <v>79665</v>
      </c>
      <c r="F3376">
        <v>65</v>
      </c>
      <c r="G3376" s="2">
        <v>192872269</v>
      </c>
      <c r="H3376" s="2">
        <v>1066231</v>
      </c>
      <c r="I3376" s="2">
        <v>1195592</v>
      </c>
      <c r="J3376">
        <v>26</v>
      </c>
      <c r="L3376">
        <v>0</v>
      </c>
      <c r="M3376" t="str">
        <f t="shared" si="52"/>
        <v>2010-2020</v>
      </c>
    </row>
    <row r="3377" spans="1:13" hidden="1">
      <c r="A3377" t="s">
        <v>4791</v>
      </c>
      <c r="B3377" t="s">
        <v>4792</v>
      </c>
      <c r="C3377" s="1">
        <v>44036</v>
      </c>
      <c r="D3377" s="2">
        <v>22148259</v>
      </c>
      <c r="E3377" s="2">
        <v>2293</v>
      </c>
      <c r="F3377">
        <v>56</v>
      </c>
      <c r="G3377" s="2">
        <v>772008576</v>
      </c>
      <c r="H3377" s="2">
        <v>3498265</v>
      </c>
      <c r="I3377" s="2">
        <v>477115</v>
      </c>
      <c r="L3377">
        <v>0</v>
      </c>
      <c r="M3377" t="str">
        <f t="shared" si="52"/>
        <v>2010-2020</v>
      </c>
    </row>
    <row r="3378" spans="1:13" hidden="1">
      <c r="A3378" t="s">
        <v>4793</v>
      </c>
      <c r="B3378" t="s">
        <v>3354</v>
      </c>
      <c r="C3378" s="1">
        <v>45257</v>
      </c>
      <c r="D3378" s="2">
        <v>52754470</v>
      </c>
      <c r="E3378" s="2">
        <v>6540</v>
      </c>
      <c r="G3378" s="2">
        <v>70458259</v>
      </c>
      <c r="H3378" s="2">
        <v>761575</v>
      </c>
      <c r="I3378" s="2">
        <v>2495</v>
      </c>
      <c r="J3378">
        <v>1</v>
      </c>
      <c r="L3378">
        <v>0</v>
      </c>
      <c r="M3378" t="str">
        <f t="shared" si="52"/>
        <v>After 2020</v>
      </c>
    </row>
    <row r="3379" spans="1:13" hidden="1">
      <c r="A3379" t="s">
        <v>4794</v>
      </c>
      <c r="B3379" t="s">
        <v>4795</v>
      </c>
      <c r="C3379" s="1">
        <v>43858</v>
      </c>
      <c r="D3379" s="2">
        <v>902103</v>
      </c>
      <c r="E3379">
        <v>800</v>
      </c>
      <c r="I3379" s="2">
        <v>33359398879</v>
      </c>
      <c r="K3379">
        <v>43</v>
      </c>
      <c r="L3379">
        <v>0</v>
      </c>
      <c r="M3379" t="str">
        <f t="shared" si="52"/>
        <v>2010-2020</v>
      </c>
    </row>
    <row r="3380" spans="1:13" hidden="1">
      <c r="A3380" t="s">
        <v>4796</v>
      </c>
      <c r="B3380" t="s">
        <v>447</v>
      </c>
      <c r="C3380" s="1">
        <v>44146</v>
      </c>
      <c r="D3380" s="2">
        <v>362756358</v>
      </c>
      <c r="E3380" s="2">
        <v>123477</v>
      </c>
      <c r="F3380">
        <v>72</v>
      </c>
      <c r="G3380" s="2">
        <v>28737121</v>
      </c>
      <c r="H3380" s="2">
        <v>359092</v>
      </c>
      <c r="I3380" s="2">
        <v>374299600</v>
      </c>
      <c r="J3380">
        <v>13</v>
      </c>
      <c r="L3380">
        <v>1</v>
      </c>
      <c r="M3380" t="str">
        <f t="shared" si="52"/>
        <v>2010-2020</v>
      </c>
    </row>
    <row r="3381" spans="1:13" hidden="1">
      <c r="A3381" t="s">
        <v>4797</v>
      </c>
      <c r="B3381" t="s">
        <v>1380</v>
      </c>
      <c r="C3381" s="1">
        <v>44960</v>
      </c>
      <c r="D3381" s="2">
        <v>141236846</v>
      </c>
      <c r="E3381" s="2">
        <v>15605</v>
      </c>
      <c r="F3381">
        <v>65</v>
      </c>
      <c r="G3381" s="2">
        <v>167722502</v>
      </c>
      <c r="H3381" s="2">
        <v>502467</v>
      </c>
      <c r="I3381" s="2">
        <v>60945277</v>
      </c>
      <c r="J3381">
        <v>7</v>
      </c>
      <c r="L3381">
        <v>0</v>
      </c>
      <c r="M3381" t="str">
        <f t="shared" si="52"/>
        <v>After 2020</v>
      </c>
    </row>
    <row r="3382" spans="1:13" hidden="1">
      <c r="A3382" t="s">
        <v>4798</v>
      </c>
      <c r="B3382" t="s">
        <v>236</v>
      </c>
      <c r="C3382" s="1">
        <v>45135</v>
      </c>
      <c r="D3382" s="2">
        <v>90921914</v>
      </c>
      <c r="E3382" s="2">
        <v>34656</v>
      </c>
      <c r="F3382">
        <v>64</v>
      </c>
      <c r="G3382" s="2">
        <v>4568866</v>
      </c>
      <c r="H3382" s="2">
        <v>49813</v>
      </c>
      <c r="I3382" s="2">
        <v>1606512</v>
      </c>
      <c r="J3382">
        <v>3</v>
      </c>
      <c r="L3382">
        <v>1</v>
      </c>
      <c r="M3382" t="str">
        <f t="shared" si="52"/>
        <v>After 2020</v>
      </c>
    </row>
    <row r="3383" spans="1:13">
      <c r="A3383" t="s">
        <v>4799</v>
      </c>
      <c r="B3383" t="s">
        <v>2047</v>
      </c>
      <c r="C3383" s="1">
        <v>43199</v>
      </c>
      <c r="D3383" s="2">
        <v>442941122</v>
      </c>
      <c r="E3383" s="2">
        <v>37463</v>
      </c>
      <c r="F3383">
        <v>67</v>
      </c>
      <c r="G3383" s="2">
        <v>885861488</v>
      </c>
      <c r="H3383" s="2">
        <v>8213650</v>
      </c>
      <c r="I3383" s="2">
        <v>995480226</v>
      </c>
      <c r="J3383">
        <v>21</v>
      </c>
      <c r="K3383">
        <v>14</v>
      </c>
      <c r="L3383">
        <v>0</v>
      </c>
      <c r="M3383" t="str">
        <f t="shared" si="52"/>
        <v>2010-2020</v>
      </c>
    </row>
    <row r="3384" spans="1:13" hidden="1">
      <c r="A3384" t="s">
        <v>4800</v>
      </c>
      <c r="B3384" t="s">
        <v>4801</v>
      </c>
      <c r="C3384" s="1">
        <v>45434</v>
      </c>
      <c r="D3384" s="2">
        <v>16883730</v>
      </c>
      <c r="E3384">
        <v>865</v>
      </c>
      <c r="F3384">
        <v>69</v>
      </c>
      <c r="G3384" s="2">
        <v>5016567</v>
      </c>
      <c r="H3384" s="2">
        <v>51272</v>
      </c>
      <c r="J3384">
        <v>19</v>
      </c>
      <c r="L3384">
        <v>1</v>
      </c>
      <c r="M3384" t="str">
        <f t="shared" si="52"/>
        <v>After 2020</v>
      </c>
    </row>
    <row r="3385" spans="1:13" hidden="1">
      <c r="A3385" t="s">
        <v>4802</v>
      </c>
      <c r="B3385" t="s">
        <v>4803</v>
      </c>
      <c r="C3385" s="1">
        <v>44091</v>
      </c>
      <c r="D3385" s="2">
        <v>5467217</v>
      </c>
      <c r="E3385" s="2">
        <v>2314</v>
      </c>
      <c r="F3385">
        <v>39</v>
      </c>
      <c r="G3385" s="2">
        <v>283023</v>
      </c>
      <c r="H3385" s="2">
        <v>6614</v>
      </c>
      <c r="I3385" s="2">
        <v>28032695489</v>
      </c>
      <c r="J3385">
        <v>3</v>
      </c>
      <c r="L3385">
        <v>0</v>
      </c>
      <c r="M3385" t="str">
        <f t="shared" si="52"/>
        <v>2010-2020</v>
      </c>
    </row>
    <row r="3386" spans="1:13" hidden="1">
      <c r="A3386" t="s">
        <v>4804</v>
      </c>
      <c r="B3386" t="s">
        <v>2624</v>
      </c>
      <c r="C3386" s="1">
        <v>45245</v>
      </c>
      <c r="D3386" s="2">
        <v>74934765</v>
      </c>
      <c r="E3386" s="2">
        <v>4740</v>
      </c>
      <c r="G3386" s="2">
        <v>78522265</v>
      </c>
      <c r="H3386" s="2">
        <v>428766</v>
      </c>
      <c r="I3386" s="2">
        <v>1292457</v>
      </c>
      <c r="J3386">
        <v>8</v>
      </c>
      <c r="L3386">
        <v>0</v>
      </c>
      <c r="M3386" t="str">
        <f t="shared" si="52"/>
        <v>After 2020</v>
      </c>
    </row>
    <row r="3387" spans="1:13">
      <c r="A3387" t="s">
        <v>4805</v>
      </c>
      <c r="B3387" t="s">
        <v>4222</v>
      </c>
      <c r="C3387" s="1">
        <v>44972</v>
      </c>
      <c r="D3387" s="2">
        <v>209167955</v>
      </c>
      <c r="E3387" s="2">
        <v>35685</v>
      </c>
      <c r="F3387">
        <v>73</v>
      </c>
      <c r="G3387" s="2">
        <v>35239823</v>
      </c>
      <c r="H3387" s="2">
        <v>777957</v>
      </c>
      <c r="I3387" s="2">
        <v>275970237</v>
      </c>
      <c r="J3387">
        <v>31</v>
      </c>
      <c r="K3387">
        <v>877</v>
      </c>
      <c r="L3387">
        <v>0</v>
      </c>
      <c r="M3387" t="str">
        <f t="shared" si="52"/>
        <v>After 2020</v>
      </c>
    </row>
    <row r="3388" spans="1:13" hidden="1">
      <c r="A3388" t="s">
        <v>4806</v>
      </c>
      <c r="B3388" t="s">
        <v>4807</v>
      </c>
      <c r="C3388" s="1">
        <v>45002</v>
      </c>
      <c r="D3388" s="2">
        <v>126698724</v>
      </c>
      <c r="E3388" s="2">
        <v>18316</v>
      </c>
      <c r="F3388">
        <v>70</v>
      </c>
      <c r="G3388" s="2">
        <v>59317671</v>
      </c>
      <c r="H3388" s="2">
        <v>717944</v>
      </c>
      <c r="I3388" s="2">
        <v>102518739</v>
      </c>
      <c r="J3388">
        <v>1</v>
      </c>
      <c r="L3388">
        <v>1</v>
      </c>
      <c r="M3388" t="str">
        <f t="shared" si="52"/>
        <v>After 2020</v>
      </c>
    </row>
    <row r="3389" spans="1:13">
      <c r="A3389" t="s">
        <v>4808</v>
      </c>
      <c r="B3389" t="s">
        <v>133</v>
      </c>
      <c r="C3389" s="1">
        <v>44953</v>
      </c>
      <c r="D3389" s="2">
        <v>146921991</v>
      </c>
      <c r="E3389" s="2">
        <v>18446</v>
      </c>
      <c r="F3389">
        <v>61</v>
      </c>
      <c r="G3389" s="2">
        <v>37582359</v>
      </c>
      <c r="H3389" s="2">
        <v>438887</v>
      </c>
      <c r="I3389" s="2">
        <v>351979940</v>
      </c>
      <c r="J3389">
        <v>52</v>
      </c>
      <c r="K3389">
        <v>63</v>
      </c>
      <c r="L3389">
        <v>0</v>
      </c>
      <c r="M3389" t="str">
        <f t="shared" si="52"/>
        <v>After 2020</v>
      </c>
    </row>
    <row r="3390" spans="1:13" hidden="1">
      <c r="A3390" t="s">
        <v>4809</v>
      </c>
      <c r="B3390" t="s">
        <v>4810</v>
      </c>
      <c r="C3390" s="1">
        <v>42874</v>
      </c>
      <c r="D3390" s="2">
        <v>82539441</v>
      </c>
      <c r="E3390" s="2">
        <v>6224</v>
      </c>
      <c r="F3390">
        <v>45</v>
      </c>
      <c r="G3390" s="2">
        <v>622214179</v>
      </c>
      <c r="H3390" s="2">
        <v>7775615</v>
      </c>
      <c r="I3390" s="2">
        <v>137325098</v>
      </c>
      <c r="J3390">
        <v>2</v>
      </c>
      <c r="L3390">
        <v>0</v>
      </c>
      <c r="M3390" t="str">
        <f t="shared" si="52"/>
        <v>2010-2020</v>
      </c>
    </row>
    <row r="3391" spans="1:13" hidden="1">
      <c r="A3391" t="s">
        <v>4811</v>
      </c>
      <c r="B3391" t="s">
        <v>4812</v>
      </c>
      <c r="C3391" s="1">
        <v>45167</v>
      </c>
      <c r="D3391" s="2">
        <v>43756807</v>
      </c>
      <c r="E3391" s="2">
        <v>6019</v>
      </c>
      <c r="F3391">
        <v>61</v>
      </c>
      <c r="G3391" s="2">
        <v>122496150</v>
      </c>
      <c r="H3391" s="2">
        <v>488640</v>
      </c>
      <c r="I3391" s="2">
        <v>143782439</v>
      </c>
      <c r="J3391">
        <v>10</v>
      </c>
      <c r="L3391">
        <v>0</v>
      </c>
      <c r="M3391" t="str">
        <f t="shared" si="52"/>
        <v>After 2020</v>
      </c>
    </row>
    <row r="3392" spans="1:13">
      <c r="A3392" t="s">
        <v>4813</v>
      </c>
      <c r="B3392" t="s">
        <v>781</v>
      </c>
      <c r="C3392" s="1">
        <v>44715</v>
      </c>
      <c r="D3392" s="2">
        <v>103549505</v>
      </c>
      <c r="E3392" s="2">
        <v>45954</v>
      </c>
      <c r="F3392">
        <v>55</v>
      </c>
      <c r="G3392" s="2">
        <v>40937892</v>
      </c>
      <c r="H3392" s="2">
        <v>673845</v>
      </c>
      <c r="I3392" s="2">
        <v>21878255</v>
      </c>
      <c r="J3392">
        <v>22</v>
      </c>
      <c r="K3392">
        <v>35</v>
      </c>
      <c r="L3392">
        <v>1</v>
      </c>
      <c r="M3392" t="str">
        <f t="shared" si="52"/>
        <v>After 2020</v>
      </c>
    </row>
    <row r="3393" spans="1:13" hidden="1">
      <c r="A3393" t="s">
        <v>4814</v>
      </c>
      <c r="B3393" t="s">
        <v>4177</v>
      </c>
      <c r="C3393" s="1">
        <v>44939</v>
      </c>
      <c r="D3393" s="2">
        <v>218831350</v>
      </c>
      <c r="E3393" s="2">
        <v>14013</v>
      </c>
      <c r="F3393">
        <v>60</v>
      </c>
      <c r="G3393" s="2">
        <v>144395167</v>
      </c>
      <c r="I3393" s="2">
        <v>595970672</v>
      </c>
      <c r="J3393">
        <v>9</v>
      </c>
      <c r="K3393">
        <v>32</v>
      </c>
      <c r="L3393">
        <v>0</v>
      </c>
      <c r="M3393" t="str">
        <f t="shared" si="52"/>
        <v>After 2020</v>
      </c>
    </row>
    <row r="3394" spans="1:13">
      <c r="A3394" t="s">
        <v>4815</v>
      </c>
      <c r="B3394" t="s">
        <v>170</v>
      </c>
      <c r="C3394" s="1">
        <v>44980</v>
      </c>
      <c r="D3394" s="2">
        <v>114323355</v>
      </c>
      <c r="E3394" s="2">
        <v>16398</v>
      </c>
      <c r="F3394">
        <v>64</v>
      </c>
      <c r="G3394" s="2">
        <v>97148590</v>
      </c>
      <c r="H3394" s="2">
        <v>542833</v>
      </c>
      <c r="I3394" s="2">
        <v>322572081</v>
      </c>
      <c r="J3394">
        <v>10</v>
      </c>
      <c r="K3394">
        <v>12</v>
      </c>
      <c r="L3394">
        <v>0</v>
      </c>
      <c r="M3394" t="str">
        <f t="shared" si="52"/>
        <v>After 2020</v>
      </c>
    </row>
    <row r="3395" spans="1:13" hidden="1">
      <c r="A3395" t="s">
        <v>4816</v>
      </c>
      <c r="B3395" t="s">
        <v>3672</v>
      </c>
      <c r="C3395" s="1">
        <v>45380</v>
      </c>
      <c r="D3395" s="2">
        <v>8635035</v>
      </c>
      <c r="E3395" s="2">
        <v>1798</v>
      </c>
      <c r="G3395" s="2">
        <v>10028217</v>
      </c>
      <c r="H3395" s="2">
        <v>114938</v>
      </c>
      <c r="J3395">
        <v>13</v>
      </c>
      <c r="K3395">
        <v>103</v>
      </c>
      <c r="L3395">
        <v>1</v>
      </c>
      <c r="M3395" t="str">
        <f t="shared" ref="M3395:M3458" si="53">IF(YEAR(C3395)&lt;2010,"Before 2010",IF(YEAR(C3395)&lt;=2020,"2010-2020","After 2020"))</f>
        <v>After 2020</v>
      </c>
    </row>
    <row r="3396" spans="1:13">
      <c r="A3396" t="s">
        <v>4817</v>
      </c>
      <c r="B3396" t="s">
        <v>99</v>
      </c>
      <c r="C3396" s="1">
        <v>45093</v>
      </c>
      <c r="D3396" s="2">
        <v>65374827</v>
      </c>
      <c r="E3396" s="2">
        <v>33151</v>
      </c>
      <c r="F3396">
        <v>63</v>
      </c>
      <c r="G3396" s="2">
        <v>30059409</v>
      </c>
      <c r="H3396" s="2">
        <v>305484</v>
      </c>
      <c r="I3396" s="2">
        <v>11013533</v>
      </c>
      <c r="J3396">
        <v>28</v>
      </c>
      <c r="K3396">
        <v>5</v>
      </c>
      <c r="L3396">
        <v>1</v>
      </c>
      <c r="M3396" t="str">
        <f t="shared" si="53"/>
        <v>After 2020</v>
      </c>
    </row>
    <row r="3397" spans="1:13">
      <c r="A3397" t="s">
        <v>4818</v>
      </c>
      <c r="B3397" t="s">
        <v>912</v>
      </c>
      <c r="C3397" s="1">
        <v>42028</v>
      </c>
      <c r="D3397" s="2">
        <v>1134470968</v>
      </c>
      <c r="E3397" s="2">
        <v>131102</v>
      </c>
      <c r="F3397">
        <v>72</v>
      </c>
      <c r="G3397" s="2">
        <v>571589993</v>
      </c>
      <c r="H3397" s="2">
        <v>3107613</v>
      </c>
      <c r="I3397" s="2">
        <v>5272</v>
      </c>
      <c r="J3397">
        <v>93</v>
      </c>
      <c r="K3397">
        <v>13</v>
      </c>
      <c r="L3397">
        <v>0</v>
      </c>
      <c r="M3397" t="str">
        <f t="shared" si="53"/>
        <v>2010-2020</v>
      </c>
    </row>
    <row r="3398" spans="1:13">
      <c r="A3398" t="s">
        <v>4819</v>
      </c>
      <c r="B3398" t="s">
        <v>110</v>
      </c>
      <c r="C3398" s="1">
        <v>43329</v>
      </c>
      <c r="D3398" s="2">
        <v>743015700</v>
      </c>
      <c r="E3398" s="2">
        <v>133098</v>
      </c>
      <c r="F3398">
        <v>77</v>
      </c>
      <c r="G3398" s="2">
        <v>177148832</v>
      </c>
      <c r="H3398" s="2">
        <v>2616878</v>
      </c>
      <c r="I3398" s="2">
        <v>1004422009</v>
      </c>
      <c r="J3398">
        <v>14</v>
      </c>
      <c r="K3398">
        <v>250</v>
      </c>
      <c r="L3398">
        <v>0</v>
      </c>
      <c r="M3398" t="str">
        <f t="shared" si="53"/>
        <v>2010-2020</v>
      </c>
    </row>
    <row r="3399" spans="1:13" hidden="1">
      <c r="A3399" t="s">
        <v>4820</v>
      </c>
      <c r="B3399" t="s">
        <v>4821</v>
      </c>
      <c r="C3399" s="1">
        <v>44988</v>
      </c>
      <c r="D3399" s="2">
        <v>53305</v>
      </c>
      <c r="E3399">
        <v>79</v>
      </c>
      <c r="F3399">
        <v>8</v>
      </c>
      <c r="G3399" s="2">
        <v>260221988</v>
      </c>
      <c r="H3399" s="2">
        <v>675745</v>
      </c>
      <c r="I3399" s="2">
        <v>3074</v>
      </c>
      <c r="L3399">
        <v>0</v>
      </c>
      <c r="M3399" t="str">
        <f t="shared" si="53"/>
        <v>After 2020</v>
      </c>
    </row>
    <row r="3400" spans="1:13" hidden="1">
      <c r="A3400" t="s">
        <v>4822</v>
      </c>
      <c r="B3400" t="s">
        <v>141</v>
      </c>
      <c r="C3400" s="1">
        <v>44162</v>
      </c>
      <c r="D3400" s="2">
        <v>391087418</v>
      </c>
      <c r="E3400" s="2">
        <v>53386</v>
      </c>
      <c r="F3400">
        <v>66</v>
      </c>
      <c r="G3400" s="2">
        <v>367082304</v>
      </c>
      <c r="H3400" s="2">
        <v>2697123</v>
      </c>
      <c r="I3400" s="2">
        <v>88351589</v>
      </c>
      <c r="J3400">
        <v>16</v>
      </c>
      <c r="L3400">
        <v>1</v>
      </c>
      <c r="M3400" t="str">
        <f t="shared" si="53"/>
        <v>2010-2020</v>
      </c>
    </row>
    <row r="3401" spans="1:13">
      <c r="A3401" t="s">
        <v>4823</v>
      </c>
      <c r="B3401" t="s">
        <v>3885</v>
      </c>
      <c r="C3401" s="1">
        <v>45057</v>
      </c>
      <c r="D3401" s="2">
        <v>46615691</v>
      </c>
      <c r="E3401" s="2">
        <v>29693</v>
      </c>
      <c r="F3401">
        <v>54</v>
      </c>
      <c r="G3401" s="2">
        <v>6255853</v>
      </c>
      <c r="H3401" s="2">
        <v>83064</v>
      </c>
      <c r="I3401" s="2">
        <v>758814572</v>
      </c>
      <c r="J3401">
        <v>44</v>
      </c>
      <c r="K3401">
        <v>11</v>
      </c>
      <c r="L3401">
        <v>0</v>
      </c>
      <c r="M3401" t="str">
        <f t="shared" si="53"/>
        <v>After 2020</v>
      </c>
    </row>
    <row r="3402" spans="1:13">
      <c r="A3402" t="s">
        <v>4824</v>
      </c>
      <c r="B3402" t="s">
        <v>1890</v>
      </c>
      <c r="C3402" s="1">
        <v>44092</v>
      </c>
      <c r="D3402" s="2">
        <v>390893607</v>
      </c>
      <c r="E3402" s="2">
        <v>109900</v>
      </c>
      <c r="F3402">
        <v>66</v>
      </c>
      <c r="G3402" s="2">
        <v>94620680</v>
      </c>
      <c r="H3402" s="2">
        <v>974740</v>
      </c>
      <c r="I3402" s="2">
        <v>368523039</v>
      </c>
      <c r="J3402">
        <v>32</v>
      </c>
      <c r="K3402">
        <v>6</v>
      </c>
      <c r="L3402">
        <v>1</v>
      </c>
      <c r="M3402" t="str">
        <f t="shared" si="53"/>
        <v>2010-2020</v>
      </c>
    </row>
    <row r="3403" spans="1:13" hidden="1">
      <c r="A3403" t="s">
        <v>3737</v>
      </c>
      <c r="B3403" t="s">
        <v>4105</v>
      </c>
      <c r="C3403" s="1">
        <v>45393</v>
      </c>
      <c r="D3403" s="2">
        <v>11700613</v>
      </c>
      <c r="E3403">
        <v>954</v>
      </c>
      <c r="F3403">
        <v>67</v>
      </c>
      <c r="G3403" s="2">
        <v>27516261</v>
      </c>
      <c r="H3403" s="2">
        <v>109140</v>
      </c>
      <c r="J3403">
        <v>1</v>
      </c>
      <c r="L3403">
        <v>0</v>
      </c>
      <c r="M3403" t="str">
        <f t="shared" si="53"/>
        <v>After 2020</v>
      </c>
    </row>
    <row r="3404" spans="1:13" hidden="1">
      <c r="A3404" t="s">
        <v>4825</v>
      </c>
      <c r="C3404" s="1">
        <v>45414</v>
      </c>
      <c r="L3404">
        <v>0</v>
      </c>
      <c r="M3404" t="str">
        <f t="shared" si="53"/>
        <v>After 2020</v>
      </c>
    </row>
    <row r="3405" spans="1:13" hidden="1">
      <c r="A3405" t="s">
        <v>4826</v>
      </c>
      <c r="B3405" t="s">
        <v>4827</v>
      </c>
      <c r="C3405" s="1">
        <v>43392</v>
      </c>
      <c r="D3405" s="2">
        <v>625999943</v>
      </c>
      <c r="E3405" s="2">
        <v>100418</v>
      </c>
      <c r="F3405">
        <v>73</v>
      </c>
      <c r="I3405" s="2">
        <v>415561032</v>
      </c>
      <c r="J3405">
        <v>50</v>
      </c>
      <c r="K3405">
        <v>18</v>
      </c>
      <c r="L3405">
        <v>1</v>
      </c>
      <c r="M3405" t="str">
        <f t="shared" si="53"/>
        <v>2010-2020</v>
      </c>
    </row>
    <row r="3406" spans="1:13">
      <c r="A3406" t="s">
        <v>4828</v>
      </c>
      <c r="B3406" t="s">
        <v>315</v>
      </c>
      <c r="C3406" s="1">
        <v>44365</v>
      </c>
      <c r="D3406" s="2">
        <v>216934691</v>
      </c>
      <c r="E3406" s="2">
        <v>65171</v>
      </c>
      <c r="F3406">
        <v>60</v>
      </c>
      <c r="G3406" s="2">
        <v>70627607</v>
      </c>
      <c r="H3406" s="2">
        <v>1101053</v>
      </c>
      <c r="I3406" s="2">
        <v>1016363322</v>
      </c>
      <c r="J3406">
        <v>33</v>
      </c>
      <c r="K3406">
        <v>94</v>
      </c>
      <c r="L3406">
        <v>1</v>
      </c>
      <c r="M3406" t="str">
        <f t="shared" si="53"/>
        <v>After 2020</v>
      </c>
    </row>
    <row r="3407" spans="1:13">
      <c r="A3407" t="s">
        <v>4829</v>
      </c>
      <c r="B3407" t="s">
        <v>4830</v>
      </c>
      <c r="C3407" s="1">
        <v>43847</v>
      </c>
      <c r="D3407" s="2">
        <v>188774618</v>
      </c>
      <c r="E3407" s="2">
        <v>39746</v>
      </c>
      <c r="F3407">
        <v>63</v>
      </c>
      <c r="G3407" s="2">
        <v>175882087</v>
      </c>
      <c r="H3407" s="2">
        <v>1473683</v>
      </c>
      <c r="I3407" s="2">
        <v>91057232</v>
      </c>
      <c r="J3407">
        <v>19</v>
      </c>
      <c r="K3407">
        <v>69</v>
      </c>
      <c r="L3407">
        <v>1</v>
      </c>
      <c r="M3407" t="str">
        <f t="shared" si="53"/>
        <v>2010-2020</v>
      </c>
    </row>
    <row r="3408" spans="1:13" hidden="1">
      <c r="A3408" t="s">
        <v>65</v>
      </c>
      <c r="B3408" t="s">
        <v>66</v>
      </c>
      <c r="C3408" s="1">
        <v>44651</v>
      </c>
      <c r="D3408" s="2">
        <v>3299082422</v>
      </c>
      <c r="E3408">
        <v>1</v>
      </c>
      <c r="L3408">
        <v>0</v>
      </c>
      <c r="M3408" t="str">
        <f t="shared" si="53"/>
        <v>After 2020</v>
      </c>
    </row>
    <row r="3409" spans="1:13" hidden="1">
      <c r="A3409" t="s">
        <v>4831</v>
      </c>
      <c r="B3409" t="s">
        <v>182</v>
      </c>
      <c r="C3409" s="1">
        <v>45301</v>
      </c>
      <c r="D3409" s="2">
        <v>47098347</v>
      </c>
      <c r="E3409" s="2">
        <v>15845</v>
      </c>
      <c r="G3409" s="2">
        <v>1767046</v>
      </c>
      <c r="H3409" s="2">
        <v>28517</v>
      </c>
      <c r="J3409">
        <v>7</v>
      </c>
      <c r="L3409">
        <v>1</v>
      </c>
      <c r="M3409" t="str">
        <f t="shared" si="53"/>
        <v>After 2020</v>
      </c>
    </row>
    <row r="3410" spans="1:13" hidden="1">
      <c r="A3410" t="s">
        <v>4832</v>
      </c>
      <c r="B3410" t="s">
        <v>141</v>
      </c>
      <c r="C3410" s="1">
        <v>44687</v>
      </c>
      <c r="D3410" s="2">
        <v>348372811</v>
      </c>
      <c r="E3410" s="2">
        <v>52893</v>
      </c>
      <c r="F3410">
        <v>69</v>
      </c>
      <c r="G3410" s="2">
        <v>106600063</v>
      </c>
      <c r="H3410" s="2">
        <v>684118</v>
      </c>
      <c r="I3410" s="2">
        <v>154007395</v>
      </c>
      <c r="J3410">
        <v>12</v>
      </c>
      <c r="L3410">
        <v>0</v>
      </c>
      <c r="M3410" t="str">
        <f t="shared" si="53"/>
        <v>After 2020</v>
      </c>
    </row>
    <row r="3411" spans="1:13" hidden="1">
      <c r="A3411" t="s">
        <v>4833</v>
      </c>
      <c r="B3411" t="s">
        <v>4834</v>
      </c>
      <c r="C3411" s="1">
        <v>43265</v>
      </c>
      <c r="E3411">
        <v>1</v>
      </c>
      <c r="G3411" s="2">
        <v>1295405860</v>
      </c>
      <c r="H3411" s="2">
        <v>9977052</v>
      </c>
      <c r="L3411">
        <v>0</v>
      </c>
      <c r="M3411" t="str">
        <f t="shared" si="53"/>
        <v>2010-2020</v>
      </c>
    </row>
    <row r="3412" spans="1:13" hidden="1">
      <c r="A3412" t="s">
        <v>1552</v>
      </c>
      <c r="B3412" t="s">
        <v>39</v>
      </c>
      <c r="C3412" s="1">
        <v>45078</v>
      </c>
      <c r="D3412" s="2">
        <v>1621055370</v>
      </c>
      <c r="E3412">
        <v>1</v>
      </c>
      <c r="L3412">
        <v>1</v>
      </c>
      <c r="M3412" t="str">
        <f t="shared" si="53"/>
        <v>After 2020</v>
      </c>
    </row>
    <row r="3413" spans="1:13">
      <c r="A3413" t="s">
        <v>4835</v>
      </c>
      <c r="B3413" t="s">
        <v>3604</v>
      </c>
      <c r="C3413" s="1">
        <v>43714</v>
      </c>
      <c r="D3413" s="2">
        <v>207093355</v>
      </c>
      <c r="E3413" s="2">
        <v>33813</v>
      </c>
      <c r="F3413">
        <v>55</v>
      </c>
      <c r="G3413" s="2">
        <v>683691095</v>
      </c>
      <c r="H3413" s="2">
        <v>3379761</v>
      </c>
      <c r="I3413" s="2">
        <v>534205330</v>
      </c>
      <c r="J3413">
        <v>17</v>
      </c>
      <c r="K3413">
        <v>12</v>
      </c>
      <c r="L3413">
        <v>1</v>
      </c>
      <c r="M3413" t="str">
        <f t="shared" si="53"/>
        <v>2010-2020</v>
      </c>
    </row>
    <row r="3414" spans="1:13">
      <c r="A3414" t="s">
        <v>3062</v>
      </c>
      <c r="B3414" t="s">
        <v>418</v>
      </c>
      <c r="C3414" s="1">
        <v>40909</v>
      </c>
      <c r="D3414" s="2">
        <v>508914869</v>
      </c>
      <c r="E3414" s="2">
        <v>86239</v>
      </c>
      <c r="F3414">
        <v>70</v>
      </c>
      <c r="G3414" s="2">
        <v>1529347092</v>
      </c>
      <c r="H3414" s="2">
        <v>6057759</v>
      </c>
      <c r="I3414" s="2">
        <v>73318392</v>
      </c>
      <c r="J3414">
        <v>48</v>
      </c>
      <c r="K3414">
        <v>67</v>
      </c>
      <c r="L3414">
        <v>0</v>
      </c>
      <c r="M3414" t="str">
        <f t="shared" si="53"/>
        <v>2010-2020</v>
      </c>
    </row>
    <row r="3415" spans="1:13" hidden="1">
      <c r="A3415" t="s">
        <v>4836</v>
      </c>
      <c r="B3415" t="s">
        <v>4837</v>
      </c>
      <c r="C3415" s="1">
        <v>44841</v>
      </c>
      <c r="E3415">
        <v>1</v>
      </c>
      <c r="G3415" s="2">
        <v>359775065</v>
      </c>
      <c r="H3415" s="2">
        <v>320202</v>
      </c>
      <c r="L3415">
        <v>0</v>
      </c>
      <c r="M3415" t="str">
        <f t="shared" si="53"/>
        <v>After 2020</v>
      </c>
    </row>
    <row r="3416" spans="1:13" hidden="1">
      <c r="A3416" t="s">
        <v>4838</v>
      </c>
      <c r="B3416" t="s">
        <v>4839</v>
      </c>
      <c r="C3416" s="1">
        <v>45336</v>
      </c>
      <c r="D3416" s="2">
        <v>18946480</v>
      </c>
      <c r="E3416">
        <v>863</v>
      </c>
      <c r="G3416" s="2">
        <v>48584653</v>
      </c>
      <c r="H3416" s="2">
        <v>212355</v>
      </c>
      <c r="J3416">
        <v>1</v>
      </c>
      <c r="K3416">
        <v>84</v>
      </c>
      <c r="L3416">
        <v>0</v>
      </c>
      <c r="M3416" t="str">
        <f t="shared" si="53"/>
        <v>After 2020</v>
      </c>
    </row>
    <row r="3417" spans="1:13" hidden="1">
      <c r="A3417" t="s">
        <v>4840</v>
      </c>
      <c r="B3417" t="s">
        <v>4841</v>
      </c>
      <c r="C3417" s="1">
        <v>44993</v>
      </c>
      <c r="D3417" s="2">
        <v>40358575</v>
      </c>
      <c r="E3417" s="2">
        <v>1358</v>
      </c>
      <c r="F3417">
        <v>55</v>
      </c>
      <c r="G3417" s="2">
        <v>244162762</v>
      </c>
      <c r="H3417" s="2">
        <v>1098125</v>
      </c>
      <c r="J3417">
        <v>3</v>
      </c>
      <c r="L3417">
        <v>0</v>
      </c>
      <c r="M3417" t="str">
        <f t="shared" si="53"/>
        <v>After 2020</v>
      </c>
    </row>
    <row r="3418" spans="1:13">
      <c r="A3418" t="s">
        <v>4842</v>
      </c>
      <c r="B3418" t="s">
        <v>4843</v>
      </c>
      <c r="C3418" s="1">
        <v>44589</v>
      </c>
      <c r="D3418" s="2">
        <v>216252006</v>
      </c>
      <c r="E3418" s="2">
        <v>55274</v>
      </c>
      <c r="F3418">
        <v>70</v>
      </c>
      <c r="G3418" s="2">
        <v>164171809</v>
      </c>
      <c r="H3418" s="2">
        <v>2843492</v>
      </c>
      <c r="I3418" s="2">
        <v>3837839</v>
      </c>
      <c r="J3418">
        <v>13</v>
      </c>
      <c r="K3418">
        <v>14</v>
      </c>
      <c r="L3418">
        <v>1</v>
      </c>
      <c r="M3418" t="str">
        <f t="shared" si="53"/>
        <v>After 2020</v>
      </c>
    </row>
    <row r="3419" spans="1:13">
      <c r="A3419" t="s">
        <v>4844</v>
      </c>
      <c r="B3419" t="s">
        <v>3918</v>
      </c>
      <c r="C3419" s="1">
        <v>44981</v>
      </c>
      <c r="D3419" s="2">
        <v>197096592</v>
      </c>
      <c r="E3419" s="2">
        <v>36980</v>
      </c>
      <c r="F3419">
        <v>62</v>
      </c>
      <c r="G3419" s="2">
        <v>33253817</v>
      </c>
      <c r="H3419" s="2">
        <v>624663</v>
      </c>
      <c r="I3419" s="2">
        <v>327222300</v>
      </c>
      <c r="J3419">
        <v>14</v>
      </c>
      <c r="K3419">
        <v>33</v>
      </c>
      <c r="L3419">
        <v>1</v>
      </c>
      <c r="M3419" t="str">
        <f t="shared" si="53"/>
        <v>After 2020</v>
      </c>
    </row>
    <row r="3420" spans="1:13">
      <c r="A3420" t="s">
        <v>4845</v>
      </c>
      <c r="B3420" t="s">
        <v>557</v>
      </c>
      <c r="C3420" s="1">
        <v>40179</v>
      </c>
      <c r="D3420" s="2">
        <v>841183589</v>
      </c>
      <c r="E3420" s="2">
        <v>178587</v>
      </c>
      <c r="F3420">
        <v>76</v>
      </c>
      <c r="G3420" s="2">
        <v>485860020</v>
      </c>
      <c r="H3420" s="2">
        <v>3227301</v>
      </c>
      <c r="I3420" s="2">
        <v>64589027</v>
      </c>
      <c r="J3420">
        <v>112</v>
      </c>
      <c r="K3420">
        <v>351</v>
      </c>
      <c r="L3420">
        <v>0</v>
      </c>
      <c r="M3420" t="str">
        <f t="shared" si="53"/>
        <v>2010-2020</v>
      </c>
    </row>
    <row r="3421" spans="1:13" hidden="1">
      <c r="A3421" t="s">
        <v>4846</v>
      </c>
      <c r="B3421" t="s">
        <v>4847</v>
      </c>
      <c r="C3421" s="1">
        <v>44743</v>
      </c>
      <c r="D3421" s="2">
        <v>168211673</v>
      </c>
      <c r="E3421" s="2">
        <v>38142</v>
      </c>
      <c r="F3421">
        <v>62</v>
      </c>
      <c r="G3421" s="2">
        <v>112307349</v>
      </c>
      <c r="H3421" s="2">
        <v>619364</v>
      </c>
      <c r="I3421" s="2">
        <v>687903274</v>
      </c>
      <c r="J3421">
        <v>40</v>
      </c>
      <c r="L3421">
        <v>1</v>
      </c>
      <c r="M3421" t="str">
        <f t="shared" si="53"/>
        <v>After 2020</v>
      </c>
    </row>
    <row r="3422" spans="1:13" hidden="1">
      <c r="A3422" t="s">
        <v>4848</v>
      </c>
      <c r="B3422" t="s">
        <v>934</v>
      </c>
      <c r="C3422" s="1">
        <v>45296</v>
      </c>
      <c r="D3422" s="2">
        <v>52919662</v>
      </c>
      <c r="E3422" s="2">
        <v>3838</v>
      </c>
      <c r="F3422">
        <v>67</v>
      </c>
      <c r="G3422" s="2">
        <v>58026963</v>
      </c>
      <c r="H3422" s="2">
        <v>716085</v>
      </c>
      <c r="J3422">
        <v>11</v>
      </c>
      <c r="L3422">
        <v>0</v>
      </c>
      <c r="M3422" t="str">
        <f t="shared" si="53"/>
        <v>After 2020</v>
      </c>
    </row>
    <row r="3423" spans="1:13" hidden="1">
      <c r="A3423" t="s">
        <v>4849</v>
      </c>
      <c r="B3423" t="s">
        <v>1174</v>
      </c>
      <c r="C3423" s="1">
        <v>45387</v>
      </c>
      <c r="D3423" s="2">
        <v>32679509</v>
      </c>
      <c r="E3423" s="2">
        <v>4502</v>
      </c>
      <c r="G3423" s="2">
        <v>5253434</v>
      </c>
      <c r="H3423" s="2">
        <v>136619</v>
      </c>
      <c r="J3423">
        <v>34</v>
      </c>
      <c r="K3423">
        <v>30</v>
      </c>
      <c r="L3423">
        <v>0</v>
      </c>
      <c r="M3423" t="str">
        <f t="shared" si="53"/>
        <v>After 2020</v>
      </c>
    </row>
    <row r="3424" spans="1:13">
      <c r="A3424" t="s">
        <v>4850</v>
      </c>
      <c r="B3424" t="s">
        <v>1812</v>
      </c>
      <c r="C3424" s="1">
        <v>43448</v>
      </c>
      <c r="D3424" s="2">
        <v>407025386</v>
      </c>
      <c r="E3424" s="2">
        <v>32596</v>
      </c>
      <c r="F3424">
        <v>62</v>
      </c>
      <c r="G3424" s="2">
        <v>742853552</v>
      </c>
      <c r="H3424" s="2">
        <v>2408323</v>
      </c>
      <c r="I3424" s="2">
        <v>16922902</v>
      </c>
      <c r="J3424">
        <v>31</v>
      </c>
      <c r="K3424">
        <v>51</v>
      </c>
      <c r="L3424">
        <v>0</v>
      </c>
      <c r="M3424" t="str">
        <f t="shared" si="53"/>
        <v>2010-2020</v>
      </c>
    </row>
    <row r="3425" spans="1:13">
      <c r="A3425" t="s">
        <v>4851</v>
      </c>
      <c r="B3425" t="s">
        <v>173</v>
      </c>
      <c r="C3425" s="1">
        <v>44469</v>
      </c>
      <c r="D3425" s="2">
        <v>186233910</v>
      </c>
      <c r="E3425" s="2">
        <v>58393</v>
      </c>
      <c r="F3425">
        <v>55</v>
      </c>
      <c r="G3425" s="2">
        <v>114487705</v>
      </c>
      <c r="H3425" s="2">
        <v>1160464</v>
      </c>
      <c r="I3425" s="2">
        <v>95822904</v>
      </c>
      <c r="J3425">
        <v>46</v>
      </c>
      <c r="K3425">
        <v>24</v>
      </c>
      <c r="L3425">
        <v>1</v>
      </c>
      <c r="M3425" t="str">
        <f t="shared" si="53"/>
        <v>After 2020</v>
      </c>
    </row>
    <row r="3426" spans="1:13" hidden="1">
      <c r="A3426">
        <v>23</v>
      </c>
      <c r="B3426" t="s">
        <v>4852</v>
      </c>
      <c r="C3426" s="1">
        <v>41275</v>
      </c>
      <c r="D3426" s="2">
        <v>339514083</v>
      </c>
      <c r="E3426" s="2">
        <v>62118</v>
      </c>
      <c r="F3426">
        <v>63</v>
      </c>
      <c r="G3426" s="2">
        <v>1077541932</v>
      </c>
      <c r="H3426" s="2">
        <v>5697309</v>
      </c>
      <c r="I3426" s="2">
        <v>164169789</v>
      </c>
      <c r="J3426">
        <v>26</v>
      </c>
      <c r="L3426">
        <v>1</v>
      </c>
      <c r="M3426" t="str">
        <f t="shared" si="53"/>
        <v>2010-2020</v>
      </c>
    </row>
    <row r="3427" spans="1:13" hidden="1">
      <c r="A3427" t="s">
        <v>4853</v>
      </c>
      <c r="B3427" t="s">
        <v>619</v>
      </c>
      <c r="C3427" s="1">
        <v>45400</v>
      </c>
      <c r="D3427" s="2">
        <v>25134764</v>
      </c>
      <c r="E3427" s="2">
        <v>3004</v>
      </c>
      <c r="F3427">
        <v>73</v>
      </c>
      <c r="G3427" s="2">
        <v>7120990</v>
      </c>
      <c r="H3427" s="2">
        <v>109558</v>
      </c>
      <c r="I3427" s="2">
        <v>3319</v>
      </c>
      <c r="J3427">
        <v>22</v>
      </c>
      <c r="L3427">
        <v>0</v>
      </c>
      <c r="M3427" t="str">
        <f t="shared" si="53"/>
        <v>After 2020</v>
      </c>
    </row>
    <row r="3428" spans="1:13" hidden="1">
      <c r="A3428" t="s">
        <v>4854</v>
      </c>
      <c r="B3428" t="s">
        <v>4855</v>
      </c>
      <c r="C3428" s="1">
        <v>43458</v>
      </c>
      <c r="D3428" s="2">
        <v>290101322</v>
      </c>
      <c r="E3428" s="2">
        <v>29494</v>
      </c>
      <c r="F3428">
        <v>66</v>
      </c>
      <c r="G3428" s="2">
        <v>895286211</v>
      </c>
      <c r="H3428" s="2">
        <v>5619411</v>
      </c>
      <c r="J3428">
        <v>7</v>
      </c>
      <c r="L3428">
        <v>1</v>
      </c>
      <c r="M3428" t="str">
        <f t="shared" si="53"/>
        <v>2010-2020</v>
      </c>
    </row>
    <row r="3429" spans="1:13">
      <c r="A3429" t="s">
        <v>4856</v>
      </c>
      <c r="B3429" t="s">
        <v>1803</v>
      </c>
      <c r="C3429" s="1">
        <v>42594</v>
      </c>
      <c r="D3429" s="2">
        <v>658051344</v>
      </c>
      <c r="E3429" s="2">
        <v>128507</v>
      </c>
      <c r="F3429">
        <v>66</v>
      </c>
      <c r="G3429" s="2">
        <v>502542395</v>
      </c>
      <c r="H3429" s="2">
        <v>3470603</v>
      </c>
      <c r="I3429" s="2">
        <v>172756577</v>
      </c>
      <c r="J3429">
        <v>65</v>
      </c>
      <c r="K3429">
        <v>23</v>
      </c>
      <c r="L3429">
        <v>1</v>
      </c>
      <c r="M3429" t="str">
        <f t="shared" si="53"/>
        <v>2010-2020</v>
      </c>
    </row>
    <row r="3430" spans="1:13">
      <c r="A3430" t="s">
        <v>4857</v>
      </c>
      <c r="B3430" t="s">
        <v>295</v>
      </c>
      <c r="C3430" s="1">
        <v>44869</v>
      </c>
      <c r="D3430" s="2">
        <v>143220845</v>
      </c>
      <c r="E3430" s="2">
        <v>57819</v>
      </c>
      <c r="F3430">
        <v>61</v>
      </c>
      <c r="G3430" s="2">
        <v>17892665</v>
      </c>
      <c r="H3430" s="2">
        <v>186286</v>
      </c>
      <c r="I3430" s="2">
        <v>26577093</v>
      </c>
      <c r="J3430">
        <v>4</v>
      </c>
      <c r="K3430">
        <v>8</v>
      </c>
      <c r="L3430">
        <v>1</v>
      </c>
      <c r="M3430" t="str">
        <f t="shared" si="53"/>
        <v>After 2020</v>
      </c>
    </row>
    <row r="3431" spans="1:13" hidden="1">
      <c r="A3431" t="s">
        <v>4858</v>
      </c>
      <c r="B3431" t="s">
        <v>4859</v>
      </c>
      <c r="C3431" s="1">
        <v>44887</v>
      </c>
      <c r="D3431" s="2">
        <v>185817317</v>
      </c>
      <c r="E3431" s="2">
        <v>28912</v>
      </c>
      <c r="F3431">
        <v>69</v>
      </c>
      <c r="G3431" s="2">
        <v>115720244</v>
      </c>
      <c r="H3431" s="2">
        <v>1632608</v>
      </c>
      <c r="I3431" s="2">
        <v>237465039</v>
      </c>
      <c r="J3431">
        <v>1</v>
      </c>
      <c r="L3431">
        <v>1</v>
      </c>
      <c r="M3431" t="str">
        <f t="shared" si="53"/>
        <v>After 2020</v>
      </c>
    </row>
    <row r="3432" spans="1:13" hidden="1">
      <c r="A3432" t="s">
        <v>4860</v>
      </c>
      <c r="B3432" t="s">
        <v>4861</v>
      </c>
      <c r="C3432" s="1">
        <v>44904</v>
      </c>
      <c r="D3432" s="2">
        <v>5316</v>
      </c>
      <c r="E3432">
        <v>9</v>
      </c>
      <c r="G3432" s="2">
        <v>307185270</v>
      </c>
      <c r="H3432" s="2">
        <v>750059</v>
      </c>
      <c r="L3432">
        <v>0</v>
      </c>
      <c r="M3432" t="str">
        <f t="shared" si="53"/>
        <v>After 2020</v>
      </c>
    </row>
    <row r="3433" spans="1:13" hidden="1">
      <c r="A3433" t="s">
        <v>1579</v>
      </c>
      <c r="B3433" t="s">
        <v>266</v>
      </c>
      <c r="C3433" s="1">
        <v>45149</v>
      </c>
      <c r="D3433" s="2">
        <v>432831676</v>
      </c>
      <c r="E3433" s="2">
        <v>2667</v>
      </c>
      <c r="J3433">
        <v>14</v>
      </c>
      <c r="L3433">
        <v>0</v>
      </c>
      <c r="M3433" t="str">
        <f t="shared" si="53"/>
        <v>After 2020</v>
      </c>
    </row>
    <row r="3434" spans="1:13" hidden="1">
      <c r="A3434" t="s">
        <v>4862</v>
      </c>
      <c r="B3434" t="s">
        <v>2131</v>
      </c>
      <c r="C3434" s="1">
        <v>42579</v>
      </c>
      <c r="D3434" s="2">
        <v>569767392</v>
      </c>
      <c r="E3434" s="2">
        <v>102907</v>
      </c>
      <c r="F3434">
        <v>68</v>
      </c>
      <c r="G3434" s="2">
        <v>468513022</v>
      </c>
      <c r="H3434" s="2">
        <v>3937324</v>
      </c>
      <c r="I3434" s="2">
        <v>1026583434</v>
      </c>
      <c r="J3434">
        <v>65</v>
      </c>
      <c r="L3434">
        <v>1</v>
      </c>
      <c r="M3434" t="str">
        <f t="shared" si="53"/>
        <v>2010-2020</v>
      </c>
    </row>
    <row r="3435" spans="1:13" hidden="1">
      <c r="A3435" t="s">
        <v>4863</v>
      </c>
      <c r="B3435" t="s">
        <v>802</v>
      </c>
      <c r="C3435" s="1">
        <v>41817</v>
      </c>
      <c r="D3435" s="2">
        <v>2379787239</v>
      </c>
      <c r="E3435">
        <v>362</v>
      </c>
      <c r="F3435">
        <v>20</v>
      </c>
      <c r="G3435" s="2">
        <v>11365291</v>
      </c>
      <c r="H3435" s="2">
        <v>74275</v>
      </c>
      <c r="J3435">
        <v>4</v>
      </c>
      <c r="L3435">
        <v>0</v>
      </c>
      <c r="M3435" t="str">
        <f t="shared" si="53"/>
        <v>2010-2020</v>
      </c>
    </row>
    <row r="3436" spans="1:13" hidden="1">
      <c r="A3436" t="s">
        <v>4864</v>
      </c>
      <c r="B3436" t="s">
        <v>4865</v>
      </c>
      <c r="C3436" s="1">
        <v>45211</v>
      </c>
      <c r="D3436" s="2">
        <v>79485128</v>
      </c>
      <c r="E3436" s="2">
        <v>6458</v>
      </c>
      <c r="G3436" s="2">
        <v>53649480</v>
      </c>
      <c r="H3436" s="2">
        <v>398179</v>
      </c>
      <c r="I3436" s="2">
        <v>13574747</v>
      </c>
      <c r="J3436">
        <v>4</v>
      </c>
      <c r="L3436">
        <v>0</v>
      </c>
      <c r="M3436" t="str">
        <f t="shared" si="53"/>
        <v>After 2020</v>
      </c>
    </row>
    <row r="3437" spans="1:13">
      <c r="A3437" t="s">
        <v>4866</v>
      </c>
      <c r="B3437" t="s">
        <v>295</v>
      </c>
      <c r="C3437" s="1">
        <v>40862</v>
      </c>
      <c r="D3437" s="2">
        <v>622498643</v>
      </c>
      <c r="E3437" s="2">
        <v>110679</v>
      </c>
      <c r="F3437">
        <v>70</v>
      </c>
      <c r="G3437" s="2">
        <v>454602464</v>
      </c>
      <c r="H3437" s="2">
        <v>2153347</v>
      </c>
      <c r="I3437" s="2">
        <v>82945578</v>
      </c>
      <c r="J3437">
        <v>93</v>
      </c>
      <c r="K3437">
        <v>10</v>
      </c>
      <c r="L3437">
        <v>1</v>
      </c>
      <c r="M3437" t="str">
        <f t="shared" si="53"/>
        <v>2010-2020</v>
      </c>
    </row>
    <row r="3438" spans="1:13">
      <c r="A3438" t="s">
        <v>4867</v>
      </c>
      <c r="B3438" t="s">
        <v>1109</v>
      </c>
      <c r="C3438" s="1">
        <v>41640</v>
      </c>
      <c r="D3438" s="2">
        <v>1490987063</v>
      </c>
      <c r="E3438" s="2">
        <v>203270</v>
      </c>
      <c r="F3438">
        <v>81</v>
      </c>
      <c r="G3438" s="2">
        <v>395515510</v>
      </c>
      <c r="H3438" s="2">
        <v>2684342</v>
      </c>
      <c r="I3438" s="2">
        <v>1583375110</v>
      </c>
      <c r="J3438">
        <v>12</v>
      </c>
      <c r="K3438">
        <v>136</v>
      </c>
      <c r="L3438">
        <v>0</v>
      </c>
      <c r="M3438" t="str">
        <f t="shared" si="53"/>
        <v>2010-2020</v>
      </c>
    </row>
    <row r="3439" spans="1:13" hidden="1">
      <c r="A3439" t="s">
        <v>4868</v>
      </c>
      <c r="B3439" t="s">
        <v>4869</v>
      </c>
      <c r="C3439" s="1">
        <v>38718</v>
      </c>
      <c r="D3439" s="2">
        <v>1023825031</v>
      </c>
      <c r="E3439" s="2">
        <v>204464</v>
      </c>
      <c r="F3439">
        <v>80</v>
      </c>
      <c r="G3439" s="2">
        <v>1251716030</v>
      </c>
      <c r="H3439" s="2">
        <v>8866662</v>
      </c>
      <c r="I3439" s="2">
        <v>1957205</v>
      </c>
      <c r="J3439">
        <v>37</v>
      </c>
      <c r="L3439">
        <v>1</v>
      </c>
      <c r="M3439" t="str">
        <f t="shared" si="53"/>
        <v>Before 2010</v>
      </c>
    </row>
    <row r="3440" spans="1:13">
      <c r="A3440" t="s">
        <v>4870</v>
      </c>
      <c r="B3440" t="s">
        <v>4049</v>
      </c>
      <c r="C3440" s="1">
        <v>44316</v>
      </c>
      <c r="D3440" s="2">
        <v>260117606</v>
      </c>
      <c r="E3440" s="2">
        <v>92337</v>
      </c>
      <c r="F3440">
        <v>63</v>
      </c>
      <c r="G3440" s="2">
        <v>104323081</v>
      </c>
      <c r="H3440" s="2">
        <v>1049129</v>
      </c>
      <c r="I3440" s="2">
        <v>12058693</v>
      </c>
      <c r="J3440">
        <v>18</v>
      </c>
      <c r="K3440">
        <v>6</v>
      </c>
      <c r="L3440">
        <v>1</v>
      </c>
      <c r="M3440" t="str">
        <f t="shared" si="53"/>
        <v>After 2020</v>
      </c>
    </row>
    <row r="3441" spans="1:13" hidden="1">
      <c r="A3441" t="s">
        <v>4871</v>
      </c>
      <c r="B3441" t="s">
        <v>619</v>
      </c>
      <c r="C3441" s="1">
        <v>44792</v>
      </c>
      <c r="D3441" s="2">
        <v>49549021</v>
      </c>
      <c r="E3441" s="2">
        <v>10601</v>
      </c>
      <c r="F3441">
        <v>33</v>
      </c>
      <c r="G3441" s="2">
        <v>119899690</v>
      </c>
      <c r="H3441" s="2">
        <v>1194687</v>
      </c>
      <c r="I3441" s="2">
        <v>3499011841</v>
      </c>
      <c r="J3441">
        <v>5</v>
      </c>
      <c r="L3441">
        <v>0</v>
      </c>
      <c r="M3441" t="str">
        <f t="shared" si="53"/>
        <v>After 2020</v>
      </c>
    </row>
    <row r="3442" spans="1:13" hidden="1">
      <c r="A3442" t="s">
        <v>4872</v>
      </c>
      <c r="B3442" t="s">
        <v>755</v>
      </c>
      <c r="C3442" s="1">
        <v>45240</v>
      </c>
      <c r="D3442" s="2">
        <v>71016852</v>
      </c>
      <c r="E3442" s="2">
        <v>6500</v>
      </c>
      <c r="G3442" s="2">
        <v>68206031</v>
      </c>
      <c r="H3442" s="2">
        <v>1896395</v>
      </c>
      <c r="I3442" s="2">
        <v>6003993</v>
      </c>
      <c r="J3442">
        <v>1</v>
      </c>
      <c r="L3442">
        <v>0</v>
      </c>
      <c r="M3442" t="str">
        <f t="shared" si="53"/>
        <v>After 2020</v>
      </c>
    </row>
    <row r="3443" spans="1:13" hidden="1">
      <c r="A3443" t="s">
        <v>4873</v>
      </c>
      <c r="B3443" t="s">
        <v>1534</v>
      </c>
      <c r="C3443" s="1">
        <v>45170</v>
      </c>
      <c r="D3443" s="2">
        <v>28876525</v>
      </c>
      <c r="E3443" s="2">
        <v>6626</v>
      </c>
      <c r="G3443" s="2">
        <v>22591925</v>
      </c>
      <c r="H3443" s="2">
        <v>181723</v>
      </c>
      <c r="I3443" s="2">
        <v>28824932</v>
      </c>
      <c r="J3443">
        <v>8</v>
      </c>
      <c r="L3443">
        <v>1</v>
      </c>
      <c r="M3443" t="str">
        <f t="shared" si="53"/>
        <v>After 2020</v>
      </c>
    </row>
    <row r="3444" spans="1:13">
      <c r="A3444" t="s">
        <v>4874</v>
      </c>
      <c r="B3444" t="s">
        <v>411</v>
      </c>
      <c r="C3444" s="1">
        <v>45128</v>
      </c>
      <c r="D3444" s="2">
        <v>165916276</v>
      </c>
      <c r="E3444" s="2">
        <v>17423</v>
      </c>
      <c r="F3444">
        <v>70</v>
      </c>
      <c r="G3444" s="2">
        <v>52705822</v>
      </c>
      <c r="H3444" s="2">
        <v>887461</v>
      </c>
      <c r="I3444" s="2">
        <v>92644726</v>
      </c>
      <c r="J3444">
        <v>6</v>
      </c>
      <c r="K3444">
        <v>31</v>
      </c>
      <c r="L3444">
        <v>0</v>
      </c>
      <c r="M3444" t="str">
        <f t="shared" si="53"/>
        <v>After 2020</v>
      </c>
    </row>
    <row r="3445" spans="1:13" hidden="1">
      <c r="A3445" t="s">
        <v>4875</v>
      </c>
      <c r="B3445" t="s">
        <v>4876</v>
      </c>
      <c r="C3445" s="1">
        <v>45335</v>
      </c>
      <c r="D3445" s="2">
        <v>11776885</v>
      </c>
      <c r="E3445" s="2">
        <v>2274</v>
      </c>
      <c r="G3445" s="2">
        <v>1925268</v>
      </c>
      <c r="H3445" s="2">
        <v>46321</v>
      </c>
      <c r="J3445">
        <v>21</v>
      </c>
      <c r="K3445">
        <v>45</v>
      </c>
      <c r="L3445">
        <v>0</v>
      </c>
      <c r="M3445" t="str">
        <f t="shared" si="53"/>
        <v>After 2020</v>
      </c>
    </row>
    <row r="3446" spans="1:13" hidden="1">
      <c r="A3446" t="s">
        <v>4877</v>
      </c>
      <c r="B3446" t="s">
        <v>330</v>
      </c>
      <c r="C3446" s="1">
        <v>43713</v>
      </c>
      <c r="D3446" s="2">
        <v>524463179</v>
      </c>
      <c r="E3446" s="2">
        <v>59700</v>
      </c>
      <c r="F3446">
        <v>76</v>
      </c>
      <c r="G3446" s="2">
        <v>297234963</v>
      </c>
      <c r="H3446" s="2">
        <v>4259163</v>
      </c>
      <c r="I3446" s="2">
        <v>1255373850</v>
      </c>
      <c r="J3446">
        <v>35</v>
      </c>
      <c r="L3446">
        <v>0</v>
      </c>
      <c r="M3446" t="str">
        <f t="shared" si="53"/>
        <v>2010-2020</v>
      </c>
    </row>
    <row r="3447" spans="1:13">
      <c r="A3447" t="s">
        <v>4878</v>
      </c>
      <c r="B3447" t="s">
        <v>4879</v>
      </c>
      <c r="C3447" s="1">
        <v>43003</v>
      </c>
      <c r="D3447" s="2">
        <v>317302250</v>
      </c>
      <c r="E3447" s="2">
        <v>59316</v>
      </c>
      <c r="F3447">
        <v>54</v>
      </c>
      <c r="G3447" s="2">
        <v>113727264</v>
      </c>
      <c r="H3447" s="2">
        <v>1143446</v>
      </c>
      <c r="I3447" s="2">
        <v>286048019</v>
      </c>
      <c r="J3447">
        <v>63</v>
      </c>
      <c r="K3447">
        <v>140</v>
      </c>
      <c r="L3447">
        <v>1</v>
      </c>
      <c r="M3447" t="str">
        <f t="shared" si="53"/>
        <v>2010-2020</v>
      </c>
    </row>
    <row r="3448" spans="1:13" hidden="1">
      <c r="A3448" t="s">
        <v>4880</v>
      </c>
      <c r="B3448" t="s">
        <v>1314</v>
      </c>
      <c r="C3448" s="1">
        <v>45176</v>
      </c>
      <c r="D3448" s="2">
        <v>103722826</v>
      </c>
      <c r="E3448" s="2">
        <v>13322</v>
      </c>
      <c r="G3448" s="2">
        <v>55495034</v>
      </c>
      <c r="H3448" s="2">
        <v>291171</v>
      </c>
      <c r="I3448" s="2">
        <v>81845600</v>
      </c>
      <c r="J3448">
        <v>16</v>
      </c>
      <c r="K3448">
        <v>251</v>
      </c>
      <c r="L3448">
        <v>0</v>
      </c>
      <c r="M3448" t="str">
        <f t="shared" si="53"/>
        <v>After 2020</v>
      </c>
    </row>
    <row r="3449" spans="1:13">
      <c r="A3449" t="s">
        <v>4881</v>
      </c>
      <c r="B3449" t="s">
        <v>1659</v>
      </c>
      <c r="C3449" s="1">
        <v>43077</v>
      </c>
      <c r="D3449" s="2">
        <v>579189526</v>
      </c>
      <c r="E3449" s="2">
        <v>60397</v>
      </c>
      <c r="F3449">
        <v>65</v>
      </c>
      <c r="G3449" s="2">
        <v>828853696</v>
      </c>
      <c r="H3449" s="2">
        <v>3086157</v>
      </c>
      <c r="I3449" s="2">
        <v>158504854</v>
      </c>
      <c r="J3449">
        <v>34</v>
      </c>
      <c r="K3449">
        <v>9</v>
      </c>
      <c r="L3449">
        <v>0</v>
      </c>
      <c r="M3449" t="str">
        <f t="shared" si="53"/>
        <v>2010-2020</v>
      </c>
    </row>
    <row r="3450" spans="1:13" hidden="1">
      <c r="A3450" t="s">
        <v>4882</v>
      </c>
      <c r="B3450" t="s">
        <v>2701</v>
      </c>
      <c r="C3450" s="1">
        <v>44778</v>
      </c>
      <c r="D3450" s="2">
        <v>152307497</v>
      </c>
      <c r="E3450" s="2">
        <v>35409</v>
      </c>
      <c r="F3450">
        <v>67</v>
      </c>
      <c r="G3450" s="2">
        <v>154243444</v>
      </c>
      <c r="H3450" s="2">
        <v>1898082</v>
      </c>
      <c r="I3450" s="2">
        <v>120806447</v>
      </c>
      <c r="J3450">
        <v>10</v>
      </c>
      <c r="L3450">
        <v>1</v>
      </c>
      <c r="M3450" t="str">
        <f t="shared" si="53"/>
        <v>After 2020</v>
      </c>
    </row>
    <row r="3451" spans="1:13" hidden="1">
      <c r="A3451" t="s">
        <v>4883</v>
      </c>
      <c r="B3451" t="s">
        <v>4884</v>
      </c>
      <c r="C3451" s="1">
        <v>45030</v>
      </c>
      <c r="D3451" s="2">
        <v>11960</v>
      </c>
      <c r="E3451">
        <v>69</v>
      </c>
      <c r="F3451">
        <v>2</v>
      </c>
      <c r="G3451" s="2">
        <v>234911523</v>
      </c>
      <c r="H3451" s="2">
        <v>836587</v>
      </c>
      <c r="L3451">
        <v>0</v>
      </c>
      <c r="M3451" t="str">
        <f t="shared" si="53"/>
        <v>After 2020</v>
      </c>
    </row>
    <row r="3452" spans="1:13">
      <c r="A3452" t="s">
        <v>4881</v>
      </c>
      <c r="B3452" t="s">
        <v>1659</v>
      </c>
      <c r="C3452" s="1">
        <v>43077</v>
      </c>
      <c r="D3452" s="2">
        <v>579189526</v>
      </c>
      <c r="E3452" s="2">
        <v>60397</v>
      </c>
      <c r="F3452">
        <v>65</v>
      </c>
      <c r="G3452" s="2">
        <v>828853696</v>
      </c>
      <c r="H3452" s="2">
        <v>3086157</v>
      </c>
      <c r="I3452" s="2">
        <v>158504854</v>
      </c>
      <c r="J3452">
        <v>34</v>
      </c>
      <c r="K3452">
        <v>9</v>
      </c>
      <c r="L3452">
        <v>0</v>
      </c>
      <c r="M3452" t="str">
        <f t="shared" si="53"/>
        <v>2010-2020</v>
      </c>
    </row>
    <row r="3453" spans="1:13" hidden="1">
      <c r="A3453" t="s">
        <v>827</v>
      </c>
      <c r="B3453" t="s">
        <v>61</v>
      </c>
      <c r="C3453" s="1">
        <v>45400</v>
      </c>
      <c r="D3453" s="2">
        <v>210385853</v>
      </c>
      <c r="E3453">
        <v>418</v>
      </c>
      <c r="J3453">
        <v>69</v>
      </c>
      <c r="L3453">
        <v>0</v>
      </c>
      <c r="M3453" t="str">
        <f t="shared" si="53"/>
        <v>After 2020</v>
      </c>
    </row>
    <row r="3454" spans="1:13" hidden="1">
      <c r="A3454" t="s">
        <v>4885</v>
      </c>
      <c r="B3454" t="s">
        <v>288</v>
      </c>
      <c r="C3454" s="1">
        <v>43532</v>
      </c>
      <c r="D3454" s="2">
        <v>392674468</v>
      </c>
      <c r="E3454" s="2">
        <v>73288</v>
      </c>
      <c r="F3454">
        <v>62</v>
      </c>
      <c r="G3454" s="2">
        <v>119252275</v>
      </c>
      <c r="H3454" s="2">
        <v>1233579</v>
      </c>
      <c r="I3454" s="2">
        <v>39728302</v>
      </c>
      <c r="J3454">
        <v>27</v>
      </c>
      <c r="L3454">
        <v>1</v>
      </c>
      <c r="M3454" t="str">
        <f t="shared" si="53"/>
        <v>2010-2020</v>
      </c>
    </row>
    <row r="3455" spans="1:13">
      <c r="A3455" t="s">
        <v>4886</v>
      </c>
      <c r="B3455" t="s">
        <v>3678</v>
      </c>
      <c r="C3455" s="1">
        <v>42452</v>
      </c>
      <c r="D3455" s="2">
        <v>609032900</v>
      </c>
      <c r="E3455" s="2">
        <v>93938</v>
      </c>
      <c r="F3455">
        <v>66</v>
      </c>
      <c r="G3455" s="2">
        <v>176053242</v>
      </c>
      <c r="H3455" s="2">
        <v>1338088</v>
      </c>
      <c r="I3455" s="2">
        <v>38686929</v>
      </c>
      <c r="J3455">
        <v>27</v>
      </c>
      <c r="K3455">
        <v>65</v>
      </c>
      <c r="L3455">
        <v>1</v>
      </c>
      <c r="M3455" t="str">
        <f t="shared" si="53"/>
        <v>2010-2020</v>
      </c>
    </row>
    <row r="3456" spans="1:13" hidden="1">
      <c r="A3456" t="s">
        <v>4887</v>
      </c>
      <c r="B3456" t="s">
        <v>3777</v>
      </c>
      <c r="C3456" s="1">
        <v>43202</v>
      </c>
      <c r="D3456" s="2">
        <v>279105227</v>
      </c>
      <c r="E3456" s="2">
        <v>46745</v>
      </c>
      <c r="F3456">
        <v>59</v>
      </c>
      <c r="G3456" s="2">
        <v>138981651</v>
      </c>
      <c r="H3456" s="2">
        <v>2563777</v>
      </c>
      <c r="I3456" s="2">
        <v>4596936089</v>
      </c>
      <c r="J3456">
        <v>16</v>
      </c>
      <c r="L3456">
        <v>0</v>
      </c>
      <c r="M3456" t="str">
        <f t="shared" si="53"/>
        <v>2010-2020</v>
      </c>
    </row>
    <row r="3457" spans="1:13" hidden="1">
      <c r="A3457" t="s">
        <v>4888</v>
      </c>
      <c r="B3457" t="s">
        <v>1186</v>
      </c>
      <c r="C3457" s="1">
        <v>44938</v>
      </c>
      <c r="D3457" s="2">
        <v>162551255</v>
      </c>
      <c r="E3457" s="2">
        <v>20554</v>
      </c>
      <c r="F3457">
        <v>57</v>
      </c>
      <c r="G3457" s="2">
        <v>159174916</v>
      </c>
      <c r="H3457" s="2">
        <v>713718</v>
      </c>
      <c r="J3457">
        <v>13</v>
      </c>
      <c r="K3457">
        <v>270</v>
      </c>
      <c r="L3457">
        <v>0</v>
      </c>
      <c r="M3457" t="str">
        <f t="shared" si="53"/>
        <v>After 2020</v>
      </c>
    </row>
    <row r="3458" spans="1:13" hidden="1">
      <c r="A3458" t="s">
        <v>4889</v>
      </c>
      <c r="B3458" t="s">
        <v>4890</v>
      </c>
      <c r="C3458" s="1">
        <v>45398</v>
      </c>
      <c r="D3458" s="2">
        <v>66225764</v>
      </c>
      <c r="E3458" s="2">
        <v>4531</v>
      </c>
      <c r="F3458">
        <v>78</v>
      </c>
      <c r="J3458">
        <v>6</v>
      </c>
      <c r="L3458">
        <v>1</v>
      </c>
      <c r="M3458" t="str">
        <f t="shared" si="53"/>
        <v>After 2020</v>
      </c>
    </row>
    <row r="3459" spans="1:13">
      <c r="A3459" t="s">
        <v>4891</v>
      </c>
      <c r="B3459" t="s">
        <v>4067</v>
      </c>
      <c r="C3459" s="1">
        <v>44463</v>
      </c>
      <c r="D3459" s="2">
        <v>259023338</v>
      </c>
      <c r="E3459" s="2">
        <v>21380</v>
      </c>
      <c r="F3459">
        <v>63</v>
      </c>
      <c r="G3459" s="2">
        <v>381462973</v>
      </c>
      <c r="H3459" s="2">
        <v>6675316</v>
      </c>
      <c r="I3459" s="2">
        <v>909400567</v>
      </c>
      <c r="J3459">
        <v>13</v>
      </c>
      <c r="K3459">
        <v>136</v>
      </c>
      <c r="L3459">
        <v>0</v>
      </c>
      <c r="M3459" t="str">
        <f t="shared" ref="M3459:M3522" si="54">IF(YEAR(C3459)&lt;2010,"Before 2010",IF(YEAR(C3459)&lt;=2020,"2010-2020","After 2020"))</f>
        <v>After 2020</v>
      </c>
    </row>
    <row r="3460" spans="1:13" hidden="1">
      <c r="A3460" t="s">
        <v>4892</v>
      </c>
      <c r="B3460" t="s">
        <v>288</v>
      </c>
      <c r="C3460" s="1">
        <v>44018</v>
      </c>
      <c r="D3460" s="2">
        <v>319737440</v>
      </c>
      <c r="E3460" s="2">
        <v>63731</v>
      </c>
      <c r="F3460">
        <v>61</v>
      </c>
      <c r="G3460" s="2">
        <v>108796209</v>
      </c>
      <c r="H3460" s="2">
        <v>1558911</v>
      </c>
      <c r="I3460" s="2">
        <v>11172071</v>
      </c>
      <c r="J3460">
        <v>20</v>
      </c>
      <c r="L3460">
        <v>1</v>
      </c>
      <c r="M3460" t="str">
        <f t="shared" si="54"/>
        <v>2010-2020</v>
      </c>
    </row>
    <row r="3461" spans="1:13" hidden="1">
      <c r="A3461" t="s">
        <v>2727</v>
      </c>
      <c r="B3461" t="s">
        <v>2728</v>
      </c>
      <c r="C3461" s="1">
        <v>41275</v>
      </c>
      <c r="D3461" s="2">
        <v>2188592950</v>
      </c>
      <c r="E3461" s="2">
        <v>11669</v>
      </c>
      <c r="F3461">
        <v>46</v>
      </c>
      <c r="G3461" s="2">
        <v>1719916219</v>
      </c>
      <c r="H3461" s="2">
        <v>10641718</v>
      </c>
      <c r="J3461">
        <v>7</v>
      </c>
      <c r="L3461">
        <v>0</v>
      </c>
      <c r="M3461" t="str">
        <f t="shared" si="54"/>
        <v>2010-2020</v>
      </c>
    </row>
    <row r="3462" spans="1:13">
      <c r="A3462" t="s">
        <v>4893</v>
      </c>
      <c r="B3462" t="s">
        <v>4894</v>
      </c>
      <c r="C3462" s="1">
        <v>44449</v>
      </c>
      <c r="D3462" s="2">
        <v>202781631</v>
      </c>
      <c r="E3462" s="2">
        <v>32888</v>
      </c>
      <c r="F3462">
        <v>60</v>
      </c>
      <c r="G3462" s="2">
        <v>1271445</v>
      </c>
      <c r="H3462" s="2">
        <v>21984</v>
      </c>
      <c r="I3462" s="2">
        <v>2410282562</v>
      </c>
      <c r="J3462">
        <v>44</v>
      </c>
      <c r="K3462" s="2">
        <v>1447</v>
      </c>
      <c r="L3462">
        <v>1</v>
      </c>
      <c r="M3462" t="str">
        <f t="shared" si="54"/>
        <v>After 2020</v>
      </c>
    </row>
    <row r="3463" spans="1:13" hidden="1">
      <c r="A3463" t="s">
        <v>1552</v>
      </c>
      <c r="B3463" t="s">
        <v>4895</v>
      </c>
      <c r="C3463" s="1">
        <v>44973</v>
      </c>
      <c r="D3463" s="2">
        <v>1614203949</v>
      </c>
      <c r="E3463">
        <v>1</v>
      </c>
      <c r="L3463">
        <v>1</v>
      </c>
      <c r="M3463" t="str">
        <f t="shared" si="54"/>
        <v>After 2020</v>
      </c>
    </row>
    <row r="3464" spans="1:13">
      <c r="A3464" t="s">
        <v>4896</v>
      </c>
      <c r="B3464" t="s">
        <v>926</v>
      </c>
      <c r="C3464" s="1">
        <v>44778</v>
      </c>
      <c r="D3464" s="2">
        <v>259730016</v>
      </c>
      <c r="E3464" s="2">
        <v>21452</v>
      </c>
      <c r="F3464">
        <v>62</v>
      </c>
      <c r="G3464" s="2">
        <v>102357127</v>
      </c>
      <c r="H3464" s="2">
        <v>3788945</v>
      </c>
      <c r="I3464" s="2">
        <v>597069529</v>
      </c>
      <c r="J3464">
        <v>37</v>
      </c>
      <c r="K3464">
        <v>51</v>
      </c>
      <c r="L3464">
        <v>0</v>
      </c>
      <c r="M3464" t="str">
        <f t="shared" si="54"/>
        <v>After 2020</v>
      </c>
    </row>
    <row r="3465" spans="1:13">
      <c r="A3465" t="s">
        <v>4897</v>
      </c>
      <c r="B3465" t="s">
        <v>295</v>
      </c>
      <c r="C3465" s="1">
        <v>44442</v>
      </c>
      <c r="D3465" s="2">
        <v>349849639</v>
      </c>
      <c r="E3465" s="2">
        <v>81889</v>
      </c>
      <c r="F3465">
        <v>71</v>
      </c>
      <c r="G3465" s="2">
        <v>59701089</v>
      </c>
      <c r="H3465" s="2">
        <v>650033</v>
      </c>
      <c r="I3465" s="2">
        <v>352584596</v>
      </c>
      <c r="J3465">
        <v>13</v>
      </c>
      <c r="K3465">
        <v>8</v>
      </c>
      <c r="L3465">
        <v>1</v>
      </c>
      <c r="M3465" t="str">
        <f t="shared" si="54"/>
        <v>After 2020</v>
      </c>
    </row>
    <row r="3466" spans="1:13" hidden="1">
      <c r="A3466" t="s">
        <v>4898</v>
      </c>
      <c r="B3466" t="s">
        <v>621</v>
      </c>
      <c r="C3466" s="1">
        <v>45205</v>
      </c>
      <c r="D3466" s="2">
        <v>48573000</v>
      </c>
      <c r="E3466" s="2">
        <v>12116</v>
      </c>
      <c r="G3466" s="2">
        <v>10575780</v>
      </c>
      <c r="H3466" s="2">
        <v>130509</v>
      </c>
      <c r="I3466" s="2">
        <v>7526758</v>
      </c>
      <c r="J3466">
        <v>26</v>
      </c>
      <c r="K3466">
        <v>176</v>
      </c>
      <c r="L3466">
        <v>0</v>
      </c>
      <c r="M3466" t="str">
        <f t="shared" si="54"/>
        <v>After 2020</v>
      </c>
    </row>
    <row r="3467" spans="1:13" hidden="1">
      <c r="A3467" t="s">
        <v>4899</v>
      </c>
      <c r="B3467" t="s">
        <v>4900</v>
      </c>
      <c r="C3467" s="1">
        <v>44497</v>
      </c>
      <c r="D3467" s="2">
        <v>11569095</v>
      </c>
      <c r="E3467" s="2">
        <v>3147</v>
      </c>
      <c r="F3467">
        <v>41</v>
      </c>
      <c r="G3467" s="2">
        <v>134929794</v>
      </c>
      <c r="H3467" s="2">
        <v>751052</v>
      </c>
      <c r="I3467" s="2">
        <v>5210740180</v>
      </c>
      <c r="J3467">
        <v>4</v>
      </c>
      <c r="L3467">
        <v>0</v>
      </c>
      <c r="M3467" t="str">
        <f t="shared" si="54"/>
        <v>After 2020</v>
      </c>
    </row>
    <row r="3468" spans="1:13">
      <c r="A3468" t="s">
        <v>4901</v>
      </c>
      <c r="B3468" t="s">
        <v>3933</v>
      </c>
      <c r="C3468" s="1">
        <v>44778</v>
      </c>
      <c r="D3468" s="2">
        <v>103858433</v>
      </c>
      <c r="E3468" s="2">
        <v>17543</v>
      </c>
      <c r="F3468">
        <v>63</v>
      </c>
      <c r="G3468" s="2">
        <v>23571548</v>
      </c>
      <c r="H3468" s="2">
        <v>127913</v>
      </c>
      <c r="I3468" s="2">
        <v>32959012</v>
      </c>
      <c r="J3468">
        <v>18</v>
      </c>
      <c r="K3468">
        <v>31</v>
      </c>
      <c r="L3468">
        <v>0</v>
      </c>
      <c r="M3468" t="str">
        <f t="shared" si="54"/>
        <v>After 2020</v>
      </c>
    </row>
    <row r="3469" spans="1:13" hidden="1">
      <c r="A3469" t="s">
        <v>4902</v>
      </c>
      <c r="B3469" t="s">
        <v>4903</v>
      </c>
      <c r="C3469" s="1">
        <v>45419</v>
      </c>
      <c r="D3469" s="2">
        <v>168750749</v>
      </c>
      <c r="E3469">
        <v>1</v>
      </c>
      <c r="F3469">
        <v>19</v>
      </c>
      <c r="L3469">
        <v>0</v>
      </c>
      <c r="M3469" t="str">
        <f t="shared" si="54"/>
        <v>After 2020</v>
      </c>
    </row>
    <row r="3470" spans="1:13" hidden="1">
      <c r="A3470" t="s">
        <v>4904</v>
      </c>
      <c r="B3470" t="s">
        <v>4905</v>
      </c>
      <c r="C3470" s="1">
        <v>45287</v>
      </c>
      <c r="D3470" s="2">
        <v>332936854</v>
      </c>
      <c r="E3470">
        <v>6</v>
      </c>
      <c r="L3470">
        <v>0</v>
      </c>
      <c r="M3470" t="str">
        <f t="shared" si="54"/>
        <v>After 2020</v>
      </c>
    </row>
    <row r="3471" spans="1:13">
      <c r="A3471" t="s">
        <v>4906</v>
      </c>
      <c r="B3471" t="s">
        <v>1083</v>
      </c>
      <c r="C3471" s="1">
        <v>42783</v>
      </c>
      <c r="D3471" s="2">
        <v>654828389</v>
      </c>
      <c r="E3471" s="2">
        <v>139540</v>
      </c>
      <c r="F3471">
        <v>68</v>
      </c>
      <c r="G3471" s="2">
        <v>97450066</v>
      </c>
      <c r="H3471" s="2">
        <v>884775</v>
      </c>
      <c r="I3471" s="2">
        <v>86649600</v>
      </c>
      <c r="J3471">
        <v>75</v>
      </c>
      <c r="K3471">
        <v>15</v>
      </c>
      <c r="L3471">
        <v>1</v>
      </c>
      <c r="M3471" t="str">
        <f t="shared" si="54"/>
        <v>2010-2020</v>
      </c>
    </row>
    <row r="3472" spans="1:13">
      <c r="A3472" t="s">
        <v>4907</v>
      </c>
      <c r="B3472" t="s">
        <v>4827</v>
      </c>
      <c r="C3472" s="1">
        <v>44022</v>
      </c>
      <c r="D3472" s="2">
        <v>277094824</v>
      </c>
      <c r="E3472" s="2">
        <v>75966</v>
      </c>
      <c r="F3472">
        <v>63</v>
      </c>
      <c r="G3472" s="2">
        <v>118824965</v>
      </c>
      <c r="H3472" s="2">
        <v>1513533</v>
      </c>
      <c r="I3472" s="2">
        <v>537618525</v>
      </c>
      <c r="J3472">
        <v>18</v>
      </c>
      <c r="K3472">
        <v>36</v>
      </c>
      <c r="L3472">
        <v>1</v>
      </c>
      <c r="M3472" t="str">
        <f t="shared" si="54"/>
        <v>2010-2020</v>
      </c>
    </row>
    <row r="3473" spans="1:13" hidden="1">
      <c r="A3473" t="s">
        <v>4908</v>
      </c>
      <c r="B3473" t="s">
        <v>4909</v>
      </c>
      <c r="C3473" s="1">
        <v>45377</v>
      </c>
      <c r="D3473" s="2">
        <v>2759335</v>
      </c>
      <c r="E3473">
        <v>248</v>
      </c>
      <c r="G3473" s="2">
        <v>40796081</v>
      </c>
      <c r="H3473" s="2">
        <v>268043</v>
      </c>
      <c r="J3473">
        <v>4</v>
      </c>
      <c r="L3473">
        <v>0</v>
      </c>
      <c r="M3473" t="str">
        <f t="shared" si="54"/>
        <v>After 2020</v>
      </c>
    </row>
    <row r="3474" spans="1:13" hidden="1">
      <c r="A3474" t="s">
        <v>3537</v>
      </c>
      <c r="B3474" t="s">
        <v>133</v>
      </c>
      <c r="C3474" s="1">
        <v>41893</v>
      </c>
      <c r="D3474" s="2">
        <v>93040974</v>
      </c>
      <c r="E3474" s="2">
        <v>10520</v>
      </c>
      <c r="F3474">
        <v>16</v>
      </c>
      <c r="G3474" s="2">
        <v>1663836563</v>
      </c>
      <c r="H3474" s="2">
        <v>6794854</v>
      </c>
      <c r="J3474">
        <v>4</v>
      </c>
      <c r="L3474">
        <v>0</v>
      </c>
      <c r="M3474" t="str">
        <f t="shared" si="54"/>
        <v>2010-2020</v>
      </c>
    </row>
    <row r="3475" spans="1:13" hidden="1">
      <c r="A3475" t="s">
        <v>4910</v>
      </c>
      <c r="B3475" t="s">
        <v>4911</v>
      </c>
      <c r="C3475" s="1">
        <v>45204</v>
      </c>
      <c r="D3475" s="2">
        <v>3872</v>
      </c>
      <c r="E3475">
        <v>5</v>
      </c>
      <c r="I3475" s="2">
        <v>135542729</v>
      </c>
      <c r="L3475">
        <v>0</v>
      </c>
      <c r="M3475" t="str">
        <f t="shared" si="54"/>
        <v>After 2020</v>
      </c>
    </row>
    <row r="3476" spans="1:13" hidden="1">
      <c r="A3476" t="s">
        <v>4912</v>
      </c>
      <c r="B3476" t="s">
        <v>2649</v>
      </c>
      <c r="C3476" s="1">
        <v>44701</v>
      </c>
      <c r="D3476" s="2">
        <v>411006233</v>
      </c>
      <c r="E3476" s="2">
        <v>63319</v>
      </c>
      <c r="F3476">
        <v>67</v>
      </c>
      <c r="G3476" s="2">
        <v>6186421</v>
      </c>
      <c r="H3476" s="2">
        <v>60126</v>
      </c>
      <c r="J3476">
        <v>29</v>
      </c>
      <c r="K3476">
        <v>60</v>
      </c>
      <c r="L3476">
        <v>1</v>
      </c>
      <c r="M3476" t="str">
        <f t="shared" si="54"/>
        <v>After 2020</v>
      </c>
    </row>
    <row r="3477" spans="1:13">
      <c r="A3477" t="s">
        <v>4913</v>
      </c>
      <c r="B3477" t="s">
        <v>99</v>
      </c>
      <c r="C3477" s="1">
        <v>44463</v>
      </c>
      <c r="D3477" s="2">
        <v>133039977</v>
      </c>
      <c r="E3477" s="2">
        <v>69577</v>
      </c>
      <c r="F3477">
        <v>54</v>
      </c>
      <c r="G3477" s="2">
        <v>21842375</v>
      </c>
      <c r="H3477" s="2">
        <v>250732</v>
      </c>
      <c r="I3477" s="2">
        <v>241202185</v>
      </c>
      <c r="J3477">
        <v>17</v>
      </c>
      <c r="K3477">
        <v>401</v>
      </c>
      <c r="L3477">
        <v>1</v>
      </c>
      <c r="M3477" t="str">
        <f t="shared" si="54"/>
        <v>After 2020</v>
      </c>
    </row>
    <row r="3478" spans="1:13">
      <c r="A3478" t="s">
        <v>4914</v>
      </c>
      <c r="B3478" t="s">
        <v>2740</v>
      </c>
      <c r="C3478" s="1">
        <v>39448</v>
      </c>
      <c r="D3478" s="2">
        <v>923637058</v>
      </c>
      <c r="E3478" s="2">
        <v>248136</v>
      </c>
      <c r="F3478">
        <v>74</v>
      </c>
      <c r="G3478" s="2">
        <v>326484288</v>
      </c>
      <c r="H3478" s="2">
        <v>2513872</v>
      </c>
      <c r="I3478" s="2">
        <v>1346152082</v>
      </c>
      <c r="J3478">
        <v>180</v>
      </c>
      <c r="K3478">
        <v>111</v>
      </c>
      <c r="L3478">
        <v>0</v>
      </c>
      <c r="M3478" t="str">
        <f t="shared" si="54"/>
        <v>Before 2010</v>
      </c>
    </row>
    <row r="3479" spans="1:13">
      <c r="A3479" t="s">
        <v>4915</v>
      </c>
      <c r="B3479" t="s">
        <v>252</v>
      </c>
      <c r="C3479" s="1">
        <v>45086</v>
      </c>
      <c r="D3479" s="2">
        <v>259288333</v>
      </c>
      <c r="E3479" s="2">
        <v>9472</v>
      </c>
      <c r="F3479">
        <v>69</v>
      </c>
      <c r="G3479" s="2">
        <v>40948018</v>
      </c>
      <c r="H3479" s="2">
        <v>2324228</v>
      </c>
      <c r="I3479" s="2">
        <v>503776050</v>
      </c>
      <c r="J3479">
        <v>36</v>
      </c>
      <c r="K3479">
        <v>4</v>
      </c>
      <c r="L3479">
        <v>0</v>
      </c>
      <c r="M3479" t="str">
        <f t="shared" si="54"/>
        <v>After 2020</v>
      </c>
    </row>
    <row r="3480" spans="1:13" hidden="1">
      <c r="A3480" t="s">
        <v>4916</v>
      </c>
      <c r="B3480" t="s">
        <v>88</v>
      </c>
      <c r="C3480" s="1">
        <v>45247</v>
      </c>
      <c r="D3480" s="2">
        <v>51588608</v>
      </c>
      <c r="E3480" s="2">
        <v>14616</v>
      </c>
      <c r="I3480" s="2">
        <v>18843138</v>
      </c>
      <c r="J3480">
        <v>28</v>
      </c>
      <c r="L3480">
        <v>0</v>
      </c>
      <c r="M3480" t="str">
        <f t="shared" si="54"/>
        <v>After 2020</v>
      </c>
    </row>
    <row r="3481" spans="1:13">
      <c r="A3481" t="s">
        <v>4917</v>
      </c>
      <c r="B3481" t="s">
        <v>674</v>
      </c>
      <c r="C3481" s="1">
        <v>41926</v>
      </c>
      <c r="D3481" s="2">
        <v>506083686</v>
      </c>
      <c r="E3481" s="2">
        <v>88997</v>
      </c>
      <c r="F3481">
        <v>65</v>
      </c>
      <c r="G3481" s="2">
        <v>191257884</v>
      </c>
      <c r="H3481" s="2">
        <v>1917299</v>
      </c>
      <c r="I3481" s="2">
        <v>53859932</v>
      </c>
      <c r="J3481">
        <v>105</v>
      </c>
      <c r="K3481">
        <v>45</v>
      </c>
      <c r="L3481">
        <v>0</v>
      </c>
      <c r="M3481" t="str">
        <f t="shared" si="54"/>
        <v>2010-2020</v>
      </c>
    </row>
    <row r="3482" spans="1:13" hidden="1">
      <c r="A3482" t="s">
        <v>4918</v>
      </c>
      <c r="B3482" t="s">
        <v>4919</v>
      </c>
      <c r="C3482" s="1">
        <v>42971</v>
      </c>
      <c r="D3482" s="2">
        <v>55362558</v>
      </c>
      <c r="E3482" s="2">
        <v>9861</v>
      </c>
      <c r="F3482">
        <v>46</v>
      </c>
      <c r="G3482" s="2">
        <v>1292844409</v>
      </c>
      <c r="H3482" s="2">
        <v>5695565</v>
      </c>
      <c r="I3482" s="2">
        <v>45939694</v>
      </c>
      <c r="J3482">
        <v>3</v>
      </c>
      <c r="L3482">
        <v>0</v>
      </c>
      <c r="M3482" t="str">
        <f t="shared" si="54"/>
        <v>2010-2020</v>
      </c>
    </row>
    <row r="3483" spans="1:13" hidden="1">
      <c r="A3483" t="s">
        <v>4920</v>
      </c>
      <c r="B3483" t="s">
        <v>4921</v>
      </c>
      <c r="C3483" s="1">
        <v>45380</v>
      </c>
      <c r="D3483" s="2">
        <v>52510463</v>
      </c>
      <c r="E3483">
        <v>992</v>
      </c>
      <c r="F3483">
        <v>76</v>
      </c>
      <c r="G3483" s="2">
        <v>27329009</v>
      </c>
      <c r="H3483" s="2">
        <v>200501</v>
      </c>
      <c r="J3483">
        <v>9</v>
      </c>
      <c r="L3483">
        <v>0</v>
      </c>
      <c r="M3483" t="str">
        <f t="shared" si="54"/>
        <v>After 2020</v>
      </c>
    </row>
    <row r="3484" spans="1:13" hidden="1">
      <c r="A3484" t="s">
        <v>4922</v>
      </c>
      <c r="B3484" t="s">
        <v>890</v>
      </c>
      <c r="C3484" s="1">
        <v>44435</v>
      </c>
      <c r="D3484" s="2">
        <v>283108875</v>
      </c>
      <c r="E3484" s="2">
        <v>69176</v>
      </c>
      <c r="F3484">
        <v>66</v>
      </c>
      <c r="G3484" s="2">
        <v>147447678</v>
      </c>
      <c r="H3484" s="2">
        <v>1916013</v>
      </c>
      <c r="I3484" s="2">
        <v>1067856594</v>
      </c>
      <c r="J3484">
        <v>14</v>
      </c>
      <c r="L3484">
        <v>1</v>
      </c>
      <c r="M3484" t="str">
        <f t="shared" si="54"/>
        <v>After 2020</v>
      </c>
    </row>
    <row r="3485" spans="1:13" hidden="1">
      <c r="A3485" t="s">
        <v>4923</v>
      </c>
      <c r="B3485" t="s">
        <v>4924</v>
      </c>
      <c r="C3485" s="1">
        <v>44557</v>
      </c>
      <c r="D3485" s="2">
        <v>8316794</v>
      </c>
      <c r="E3485" s="2">
        <v>1342</v>
      </c>
      <c r="F3485">
        <v>47</v>
      </c>
      <c r="I3485" s="2">
        <v>307818</v>
      </c>
      <c r="L3485">
        <v>0</v>
      </c>
      <c r="M3485" t="str">
        <f t="shared" si="54"/>
        <v>After 2020</v>
      </c>
    </row>
    <row r="3486" spans="1:13" hidden="1">
      <c r="A3486" t="s">
        <v>4925</v>
      </c>
      <c r="B3486" t="s">
        <v>444</v>
      </c>
      <c r="C3486" s="1">
        <v>44372</v>
      </c>
      <c r="D3486" s="2">
        <v>293361823</v>
      </c>
      <c r="E3486" s="2">
        <v>61096</v>
      </c>
      <c r="F3486">
        <v>66</v>
      </c>
      <c r="G3486" s="2">
        <v>141862016</v>
      </c>
      <c r="H3486" s="2">
        <v>1051171</v>
      </c>
      <c r="I3486" s="2">
        <v>1336043098</v>
      </c>
      <c r="J3486">
        <v>58</v>
      </c>
      <c r="L3486">
        <v>1</v>
      </c>
      <c r="M3486" t="str">
        <f t="shared" si="54"/>
        <v>After 2020</v>
      </c>
    </row>
    <row r="3487" spans="1:13" hidden="1">
      <c r="A3487" t="s">
        <v>4926</v>
      </c>
      <c r="B3487" t="s">
        <v>4927</v>
      </c>
      <c r="C3487" s="1">
        <v>44315</v>
      </c>
      <c r="D3487" s="2">
        <v>158404124</v>
      </c>
      <c r="E3487" s="2">
        <v>19033</v>
      </c>
      <c r="F3487">
        <v>51</v>
      </c>
      <c r="G3487" s="2">
        <v>156298379</v>
      </c>
      <c r="H3487" s="2">
        <v>1025633</v>
      </c>
      <c r="I3487" s="2">
        <v>927182106</v>
      </c>
      <c r="J3487">
        <v>32</v>
      </c>
      <c r="L3487">
        <v>0</v>
      </c>
      <c r="M3487" t="str">
        <f t="shared" si="54"/>
        <v>After 2020</v>
      </c>
    </row>
    <row r="3488" spans="1:13" hidden="1">
      <c r="A3488" t="s">
        <v>4928</v>
      </c>
      <c r="B3488" t="s">
        <v>4929</v>
      </c>
      <c r="C3488" s="1">
        <v>44169</v>
      </c>
      <c r="D3488" s="2">
        <v>60358583</v>
      </c>
      <c r="E3488" s="2">
        <v>32582</v>
      </c>
      <c r="F3488">
        <v>50</v>
      </c>
      <c r="G3488" s="2">
        <v>43371351</v>
      </c>
      <c r="H3488" s="2">
        <v>749082</v>
      </c>
      <c r="I3488" s="2">
        <v>8680132146</v>
      </c>
      <c r="J3488">
        <v>4</v>
      </c>
      <c r="L3488">
        <v>1</v>
      </c>
      <c r="M3488" t="str">
        <f t="shared" si="54"/>
        <v>2010-2020</v>
      </c>
    </row>
    <row r="3489" spans="1:13">
      <c r="A3489" t="s">
        <v>4930</v>
      </c>
      <c r="B3489" t="s">
        <v>301</v>
      </c>
      <c r="C3489" s="1">
        <v>43217</v>
      </c>
      <c r="D3489" s="2">
        <v>609984789</v>
      </c>
      <c r="E3489" s="2">
        <v>66397</v>
      </c>
      <c r="F3489">
        <v>74</v>
      </c>
      <c r="G3489" s="2">
        <v>255780709</v>
      </c>
      <c r="H3489" s="2">
        <v>1101498</v>
      </c>
      <c r="I3489" s="2">
        <v>142412314</v>
      </c>
      <c r="J3489">
        <v>43</v>
      </c>
      <c r="K3489">
        <v>8</v>
      </c>
      <c r="L3489">
        <v>0</v>
      </c>
      <c r="M3489" t="str">
        <f t="shared" si="54"/>
        <v>2010-2020</v>
      </c>
    </row>
    <row r="3490" spans="1:13" hidden="1">
      <c r="A3490" t="s">
        <v>4931</v>
      </c>
      <c r="B3490" t="s">
        <v>4932</v>
      </c>
      <c r="C3490" s="1">
        <v>45079</v>
      </c>
      <c r="D3490" s="2">
        <v>63442980</v>
      </c>
      <c r="E3490" s="2">
        <v>10414</v>
      </c>
      <c r="F3490">
        <v>58</v>
      </c>
      <c r="G3490" s="2">
        <v>127252829</v>
      </c>
      <c r="H3490" s="2">
        <v>552569</v>
      </c>
      <c r="I3490" s="2">
        <v>108671025</v>
      </c>
      <c r="J3490">
        <v>7</v>
      </c>
      <c r="L3490">
        <v>0</v>
      </c>
      <c r="M3490" t="str">
        <f t="shared" si="54"/>
        <v>After 2020</v>
      </c>
    </row>
    <row r="3491" spans="1:13">
      <c r="A3491" t="s">
        <v>4933</v>
      </c>
      <c r="B3491" t="s">
        <v>4934</v>
      </c>
      <c r="C3491" s="1">
        <v>44938</v>
      </c>
      <c r="D3491" s="2">
        <v>149986283</v>
      </c>
      <c r="E3491" s="2">
        <v>48038</v>
      </c>
      <c r="F3491">
        <v>63</v>
      </c>
      <c r="G3491" s="2">
        <v>9500978</v>
      </c>
      <c r="H3491" s="2">
        <v>157127</v>
      </c>
      <c r="I3491" s="2">
        <v>13195696</v>
      </c>
      <c r="J3491">
        <v>31</v>
      </c>
      <c r="K3491">
        <v>185</v>
      </c>
      <c r="L3491">
        <v>0</v>
      </c>
      <c r="M3491" t="str">
        <f t="shared" si="54"/>
        <v>After 2020</v>
      </c>
    </row>
    <row r="3492" spans="1:13">
      <c r="A3492" t="s">
        <v>4935</v>
      </c>
      <c r="B3492" t="s">
        <v>1262</v>
      </c>
      <c r="C3492" s="1">
        <v>45163</v>
      </c>
      <c r="D3492" s="2">
        <v>21485335</v>
      </c>
      <c r="E3492" s="2">
        <v>4032</v>
      </c>
      <c r="F3492">
        <v>1</v>
      </c>
      <c r="G3492" s="2">
        <v>5878965</v>
      </c>
      <c r="H3492" s="2">
        <v>68296</v>
      </c>
      <c r="I3492" s="2">
        <v>9858141</v>
      </c>
      <c r="J3492">
        <v>9</v>
      </c>
      <c r="K3492">
        <v>8</v>
      </c>
      <c r="L3492">
        <v>0</v>
      </c>
      <c r="M3492" t="str">
        <f t="shared" si="54"/>
        <v>After 2020</v>
      </c>
    </row>
    <row r="3493" spans="1:13" hidden="1">
      <c r="A3493" t="s">
        <v>4936</v>
      </c>
      <c r="B3493" t="s">
        <v>301</v>
      </c>
      <c r="C3493" s="1">
        <v>45317</v>
      </c>
      <c r="D3493" s="2">
        <v>77564567</v>
      </c>
      <c r="E3493" s="2">
        <v>7109</v>
      </c>
      <c r="J3493">
        <v>23</v>
      </c>
      <c r="L3493">
        <v>0</v>
      </c>
      <c r="M3493" t="str">
        <f t="shared" si="54"/>
        <v>After 2020</v>
      </c>
    </row>
    <row r="3494" spans="1:13" hidden="1">
      <c r="A3494" t="s">
        <v>4937</v>
      </c>
      <c r="B3494" t="s">
        <v>3208</v>
      </c>
      <c r="C3494" s="1">
        <v>44750</v>
      </c>
      <c r="D3494" s="2">
        <v>175374235</v>
      </c>
      <c r="E3494" s="2">
        <v>19506</v>
      </c>
      <c r="F3494">
        <v>66</v>
      </c>
      <c r="G3494" s="2">
        <v>236220298</v>
      </c>
      <c r="H3494" s="2">
        <v>1251377</v>
      </c>
      <c r="I3494" s="2">
        <v>146435027</v>
      </c>
      <c r="J3494">
        <v>4</v>
      </c>
      <c r="L3494">
        <v>0</v>
      </c>
      <c r="M3494" t="str">
        <f t="shared" si="54"/>
        <v>After 2020</v>
      </c>
    </row>
    <row r="3495" spans="1:13">
      <c r="A3495" t="s">
        <v>4938</v>
      </c>
      <c r="B3495" t="s">
        <v>260</v>
      </c>
      <c r="C3495" s="1">
        <v>42013</v>
      </c>
      <c r="D3495" s="2">
        <v>1060255231</v>
      </c>
      <c r="E3495" s="2">
        <v>88246</v>
      </c>
      <c r="F3495">
        <v>71</v>
      </c>
      <c r="G3495" s="2">
        <v>950074212</v>
      </c>
      <c r="H3495" s="2">
        <v>5331921</v>
      </c>
      <c r="I3495" s="2">
        <v>196304893</v>
      </c>
      <c r="J3495">
        <v>117</v>
      </c>
      <c r="K3495">
        <v>32</v>
      </c>
      <c r="L3495">
        <v>0</v>
      </c>
      <c r="M3495" t="str">
        <f t="shared" si="54"/>
        <v>2010-2020</v>
      </c>
    </row>
    <row r="3496" spans="1:13" hidden="1">
      <c r="A3496" t="s">
        <v>4939</v>
      </c>
      <c r="B3496" t="s">
        <v>4940</v>
      </c>
      <c r="C3496" s="1">
        <v>43509</v>
      </c>
      <c r="D3496" s="2">
        <v>509011250</v>
      </c>
      <c r="E3496" s="2">
        <v>72182</v>
      </c>
      <c r="F3496">
        <v>67</v>
      </c>
      <c r="G3496" s="2">
        <v>220773540</v>
      </c>
      <c r="H3496" s="2">
        <v>2241242</v>
      </c>
      <c r="I3496" s="2">
        <v>685543612</v>
      </c>
      <c r="J3496">
        <v>31</v>
      </c>
      <c r="L3496">
        <v>0</v>
      </c>
      <c r="M3496" t="str">
        <f t="shared" si="54"/>
        <v>2010-2020</v>
      </c>
    </row>
    <row r="3497" spans="1:13" hidden="1">
      <c r="A3497" t="s">
        <v>4941</v>
      </c>
      <c r="B3497" t="s">
        <v>4942</v>
      </c>
      <c r="C3497" s="1">
        <v>45233</v>
      </c>
      <c r="D3497" s="2">
        <v>964357785</v>
      </c>
      <c r="E3497">
        <v>2</v>
      </c>
      <c r="L3497">
        <v>0</v>
      </c>
      <c r="M3497" t="str">
        <f t="shared" si="54"/>
        <v>After 2020</v>
      </c>
    </row>
    <row r="3498" spans="1:13">
      <c r="A3498" t="s">
        <v>4943</v>
      </c>
      <c r="B3498" t="s">
        <v>1011</v>
      </c>
      <c r="C3498" s="1">
        <v>41275</v>
      </c>
      <c r="D3498" s="2">
        <v>718634962</v>
      </c>
      <c r="E3498" s="2">
        <v>116033</v>
      </c>
      <c r="F3498">
        <v>65</v>
      </c>
      <c r="G3498" s="2">
        <v>88651556</v>
      </c>
      <c r="H3498" s="2">
        <v>872188</v>
      </c>
      <c r="I3498" s="2">
        <v>429272415</v>
      </c>
      <c r="J3498">
        <v>64</v>
      </c>
      <c r="K3498">
        <v>625</v>
      </c>
      <c r="L3498">
        <v>1</v>
      </c>
      <c r="M3498" t="str">
        <f t="shared" si="54"/>
        <v>2010-2020</v>
      </c>
    </row>
    <row r="3499" spans="1:13">
      <c r="A3499" t="s">
        <v>4944</v>
      </c>
      <c r="B3499" t="s">
        <v>30</v>
      </c>
      <c r="C3499" s="1">
        <v>44610</v>
      </c>
      <c r="D3499" s="2">
        <v>224376030</v>
      </c>
      <c r="E3499" s="2">
        <v>65837</v>
      </c>
      <c r="F3499">
        <v>56</v>
      </c>
      <c r="G3499" s="2">
        <v>67524036</v>
      </c>
      <c r="H3499" s="2">
        <v>880646</v>
      </c>
      <c r="I3499" s="2">
        <v>205572867</v>
      </c>
      <c r="J3499">
        <v>28</v>
      </c>
      <c r="K3499">
        <v>103</v>
      </c>
      <c r="L3499">
        <v>1</v>
      </c>
      <c r="M3499" t="str">
        <f t="shared" si="54"/>
        <v>After 2020</v>
      </c>
    </row>
    <row r="3500" spans="1:13" hidden="1">
      <c r="A3500" t="s">
        <v>4945</v>
      </c>
      <c r="B3500" t="s">
        <v>2928</v>
      </c>
      <c r="C3500" s="1">
        <v>43308</v>
      </c>
      <c r="D3500" s="2">
        <v>77999</v>
      </c>
      <c r="E3500">
        <v>96</v>
      </c>
      <c r="G3500" s="2">
        <v>1174983850</v>
      </c>
      <c r="H3500" s="2">
        <v>6804449</v>
      </c>
      <c r="I3500" s="2">
        <v>6457</v>
      </c>
      <c r="L3500">
        <v>0</v>
      </c>
      <c r="M3500" t="str">
        <f t="shared" si="54"/>
        <v>2010-2020</v>
      </c>
    </row>
    <row r="3501" spans="1:13">
      <c r="A3501" t="s">
        <v>4946</v>
      </c>
      <c r="B3501" t="s">
        <v>4947</v>
      </c>
      <c r="C3501" s="1">
        <v>44932</v>
      </c>
      <c r="D3501" s="2">
        <v>135976140</v>
      </c>
      <c r="E3501" s="2">
        <v>41454</v>
      </c>
      <c r="F3501">
        <v>69</v>
      </c>
      <c r="G3501" s="2">
        <v>37952419</v>
      </c>
      <c r="H3501" s="2">
        <v>465940</v>
      </c>
      <c r="I3501" s="2">
        <v>14785534</v>
      </c>
      <c r="J3501">
        <v>22</v>
      </c>
      <c r="K3501">
        <v>3</v>
      </c>
      <c r="L3501">
        <v>0</v>
      </c>
      <c r="M3501" t="str">
        <f t="shared" si="54"/>
        <v>After 2020</v>
      </c>
    </row>
    <row r="3502" spans="1:13" hidden="1">
      <c r="A3502" t="s">
        <v>3287</v>
      </c>
      <c r="B3502" t="s">
        <v>3288</v>
      </c>
      <c r="C3502" s="1">
        <v>42901</v>
      </c>
      <c r="D3502" s="2">
        <v>1303018999</v>
      </c>
      <c r="E3502">
        <v>239</v>
      </c>
      <c r="F3502">
        <v>26</v>
      </c>
      <c r="J3502">
        <v>309</v>
      </c>
      <c r="L3502">
        <v>0</v>
      </c>
      <c r="M3502" t="str">
        <f t="shared" si="54"/>
        <v>2010-2020</v>
      </c>
    </row>
    <row r="3503" spans="1:13" hidden="1">
      <c r="A3503" t="s">
        <v>4948</v>
      </c>
      <c r="B3503" t="s">
        <v>1243</v>
      </c>
      <c r="C3503" s="1">
        <v>43994</v>
      </c>
      <c r="D3503" s="2">
        <v>169376113</v>
      </c>
      <c r="E3503" s="2">
        <v>37282</v>
      </c>
      <c r="F3503">
        <v>2</v>
      </c>
      <c r="G3503" s="2">
        <v>485978356</v>
      </c>
      <c r="H3503" s="2">
        <v>7474199</v>
      </c>
      <c r="I3503" s="2">
        <v>728033853</v>
      </c>
      <c r="J3503">
        <v>12</v>
      </c>
      <c r="L3503">
        <v>1</v>
      </c>
      <c r="M3503" t="str">
        <f t="shared" si="54"/>
        <v>2010-2020</v>
      </c>
    </row>
    <row r="3504" spans="1:13" hidden="1">
      <c r="A3504" t="s">
        <v>4949</v>
      </c>
      <c r="B3504" t="s">
        <v>301</v>
      </c>
      <c r="C3504" s="1">
        <v>43560</v>
      </c>
      <c r="D3504" s="2">
        <v>457252350</v>
      </c>
      <c r="E3504" s="2">
        <v>58811</v>
      </c>
      <c r="F3504">
        <v>70</v>
      </c>
      <c r="G3504" s="2">
        <v>284333103</v>
      </c>
      <c r="H3504" s="2">
        <v>1250573</v>
      </c>
      <c r="I3504" s="2">
        <v>226942604</v>
      </c>
      <c r="J3504">
        <v>14</v>
      </c>
      <c r="L3504">
        <v>0</v>
      </c>
      <c r="M3504" t="str">
        <f t="shared" si="54"/>
        <v>2010-2020</v>
      </c>
    </row>
    <row r="3505" spans="1:13" hidden="1">
      <c r="A3505" t="s">
        <v>4950</v>
      </c>
      <c r="B3505" t="s">
        <v>141</v>
      </c>
      <c r="C3505" s="1">
        <v>44687</v>
      </c>
      <c r="D3505" s="2">
        <v>360149048</v>
      </c>
      <c r="E3505" s="2">
        <v>49439</v>
      </c>
      <c r="F3505">
        <v>69</v>
      </c>
      <c r="G3505" s="2">
        <v>94595491</v>
      </c>
      <c r="H3505" s="2">
        <v>955663</v>
      </c>
      <c r="I3505" s="2">
        <v>154135701</v>
      </c>
      <c r="J3505">
        <v>11</v>
      </c>
      <c r="L3505">
        <v>0</v>
      </c>
      <c r="M3505" t="str">
        <f t="shared" si="54"/>
        <v>After 2020</v>
      </c>
    </row>
    <row r="3506" spans="1:13" hidden="1">
      <c r="A3506" t="s">
        <v>4951</v>
      </c>
      <c r="B3506" t="s">
        <v>3208</v>
      </c>
      <c r="C3506" s="1">
        <v>45436</v>
      </c>
      <c r="D3506" s="2">
        <v>8104357</v>
      </c>
      <c r="E3506">
        <v>456</v>
      </c>
      <c r="F3506">
        <v>68</v>
      </c>
      <c r="G3506" s="2">
        <v>9180171</v>
      </c>
      <c r="H3506" s="2">
        <v>67291</v>
      </c>
      <c r="J3506">
        <v>3</v>
      </c>
      <c r="L3506">
        <v>0</v>
      </c>
      <c r="M3506" t="str">
        <f t="shared" si="54"/>
        <v>After 2020</v>
      </c>
    </row>
    <row r="3507" spans="1:13" hidden="1">
      <c r="A3507" t="s">
        <v>4952</v>
      </c>
      <c r="B3507" t="s">
        <v>3669</v>
      </c>
      <c r="C3507" s="1">
        <v>45173</v>
      </c>
      <c r="D3507" s="2">
        <v>67887030</v>
      </c>
      <c r="E3507" s="2">
        <v>5721</v>
      </c>
      <c r="G3507" s="2">
        <v>106807094</v>
      </c>
      <c r="H3507" s="2">
        <v>1208052</v>
      </c>
      <c r="I3507" s="2">
        <v>430468374</v>
      </c>
      <c r="J3507">
        <v>7</v>
      </c>
      <c r="L3507">
        <v>0</v>
      </c>
      <c r="M3507" t="str">
        <f t="shared" si="54"/>
        <v>After 2020</v>
      </c>
    </row>
    <row r="3508" spans="1:13">
      <c r="A3508" t="s">
        <v>4953</v>
      </c>
      <c r="B3508" t="s">
        <v>99</v>
      </c>
      <c r="C3508" s="1">
        <v>43636</v>
      </c>
      <c r="D3508" s="2">
        <v>174090982</v>
      </c>
      <c r="E3508" s="2">
        <v>34958</v>
      </c>
      <c r="F3508">
        <v>55</v>
      </c>
      <c r="G3508" s="2">
        <v>353442033</v>
      </c>
      <c r="H3508" s="2">
        <v>2306325</v>
      </c>
      <c r="I3508" s="2">
        <v>26278533</v>
      </c>
      <c r="J3508">
        <v>31</v>
      </c>
      <c r="K3508">
        <v>1</v>
      </c>
      <c r="L3508">
        <v>1</v>
      </c>
      <c r="M3508" t="str">
        <f t="shared" si="54"/>
        <v>2010-2020</v>
      </c>
    </row>
    <row r="3509" spans="1:13" hidden="1">
      <c r="A3509" t="s">
        <v>4954</v>
      </c>
      <c r="B3509" t="s">
        <v>4955</v>
      </c>
      <c r="C3509" s="1">
        <v>45268</v>
      </c>
      <c r="D3509" s="2">
        <v>21664308</v>
      </c>
      <c r="E3509" s="2">
        <v>2953</v>
      </c>
      <c r="J3509">
        <v>22</v>
      </c>
      <c r="L3509">
        <v>0</v>
      </c>
      <c r="M3509" t="str">
        <f t="shared" si="54"/>
        <v>After 2020</v>
      </c>
    </row>
    <row r="3510" spans="1:13" hidden="1">
      <c r="A3510" t="s">
        <v>4956</v>
      </c>
      <c r="B3510" t="s">
        <v>127</v>
      </c>
      <c r="C3510" s="1">
        <v>43188</v>
      </c>
      <c r="D3510" s="2">
        <v>995463505</v>
      </c>
      <c r="E3510" s="2">
        <v>139596</v>
      </c>
      <c r="F3510">
        <v>78</v>
      </c>
      <c r="G3510" s="2">
        <v>283348553</v>
      </c>
      <c r="H3510" s="2">
        <v>3003483</v>
      </c>
      <c r="I3510" s="2">
        <v>175752903</v>
      </c>
      <c r="J3510">
        <v>28</v>
      </c>
      <c r="L3510">
        <v>0</v>
      </c>
      <c r="M3510" t="str">
        <f t="shared" si="54"/>
        <v>2010-2020</v>
      </c>
    </row>
    <row r="3511" spans="1:13" hidden="1">
      <c r="A3511" t="s">
        <v>4957</v>
      </c>
      <c r="B3511" t="s">
        <v>2488</v>
      </c>
      <c r="C3511" s="1">
        <v>45401</v>
      </c>
      <c r="D3511" s="2">
        <v>9591249</v>
      </c>
      <c r="E3511" s="2">
        <v>4565</v>
      </c>
      <c r="G3511" s="2">
        <v>339265</v>
      </c>
      <c r="H3511" s="2">
        <v>6058</v>
      </c>
      <c r="J3511">
        <v>16</v>
      </c>
      <c r="K3511">
        <v>3</v>
      </c>
      <c r="L3511">
        <v>0</v>
      </c>
      <c r="M3511" t="str">
        <f t="shared" si="54"/>
        <v>After 2020</v>
      </c>
    </row>
    <row r="3512" spans="1:13" hidden="1">
      <c r="A3512" t="s">
        <v>4958</v>
      </c>
      <c r="B3512" t="s">
        <v>2828</v>
      </c>
      <c r="C3512" s="1">
        <v>45425</v>
      </c>
      <c r="D3512" s="2">
        <v>2378738</v>
      </c>
      <c r="E3512">
        <v>544</v>
      </c>
      <c r="G3512" s="2">
        <v>261611</v>
      </c>
      <c r="H3512" s="2">
        <v>5555</v>
      </c>
      <c r="J3512">
        <v>12</v>
      </c>
      <c r="K3512">
        <v>3</v>
      </c>
      <c r="L3512">
        <v>0</v>
      </c>
      <c r="M3512" t="str">
        <f t="shared" si="54"/>
        <v>After 2020</v>
      </c>
    </row>
    <row r="3513" spans="1:13">
      <c r="A3513" t="s">
        <v>4959</v>
      </c>
      <c r="B3513" t="s">
        <v>1186</v>
      </c>
      <c r="C3513" s="1">
        <v>44511</v>
      </c>
      <c r="D3513" s="2">
        <v>231155441</v>
      </c>
      <c r="E3513" s="2">
        <v>33491</v>
      </c>
      <c r="F3513">
        <v>54</v>
      </c>
      <c r="G3513" s="2">
        <v>314218837</v>
      </c>
      <c r="H3513" s="2">
        <v>1831905</v>
      </c>
      <c r="I3513" s="2">
        <v>72618</v>
      </c>
      <c r="J3513">
        <v>22</v>
      </c>
      <c r="K3513">
        <v>297</v>
      </c>
      <c r="L3513">
        <v>0</v>
      </c>
      <c r="M3513" t="str">
        <f t="shared" si="54"/>
        <v>After 2020</v>
      </c>
    </row>
    <row r="3514" spans="1:13" hidden="1">
      <c r="A3514" t="s">
        <v>4960</v>
      </c>
      <c r="B3514" t="s">
        <v>4961</v>
      </c>
      <c r="C3514" s="1">
        <v>44951</v>
      </c>
      <c r="D3514" s="2">
        <v>17745591</v>
      </c>
      <c r="E3514" s="2">
        <v>2837</v>
      </c>
      <c r="F3514">
        <v>47</v>
      </c>
      <c r="G3514" s="2">
        <v>172379457</v>
      </c>
      <c r="H3514" s="2">
        <v>1396751</v>
      </c>
      <c r="I3514" s="2">
        <v>749416523</v>
      </c>
      <c r="J3514">
        <v>6</v>
      </c>
      <c r="L3514">
        <v>1</v>
      </c>
      <c r="M3514" t="str">
        <f t="shared" si="54"/>
        <v>After 2020</v>
      </c>
    </row>
    <row r="3515" spans="1:13" hidden="1">
      <c r="A3515" t="s">
        <v>4962</v>
      </c>
      <c r="B3515" t="s">
        <v>1570</v>
      </c>
      <c r="C3515" s="1">
        <v>45198</v>
      </c>
      <c r="D3515" s="2">
        <v>48353674</v>
      </c>
      <c r="E3515" s="2">
        <v>7078</v>
      </c>
      <c r="G3515" s="2">
        <v>97635698</v>
      </c>
      <c r="H3515" s="2">
        <v>720820</v>
      </c>
      <c r="I3515" s="2">
        <v>5805614</v>
      </c>
      <c r="J3515">
        <v>8</v>
      </c>
      <c r="L3515">
        <v>0</v>
      </c>
      <c r="M3515" t="str">
        <f t="shared" si="54"/>
        <v>After 2020</v>
      </c>
    </row>
    <row r="3516" spans="1:13" hidden="1">
      <c r="A3516" t="s">
        <v>4963</v>
      </c>
      <c r="B3516" t="s">
        <v>4964</v>
      </c>
      <c r="C3516" s="1">
        <v>45275</v>
      </c>
      <c r="D3516" s="2">
        <v>29171226</v>
      </c>
      <c r="E3516" s="2">
        <v>1511</v>
      </c>
      <c r="G3516" s="2">
        <v>84972873</v>
      </c>
      <c r="H3516" s="2">
        <v>1156897</v>
      </c>
      <c r="J3516">
        <v>1</v>
      </c>
      <c r="L3516">
        <v>0</v>
      </c>
      <c r="M3516" t="str">
        <f t="shared" si="54"/>
        <v>After 2020</v>
      </c>
    </row>
    <row r="3517" spans="1:13">
      <c r="A3517" t="s">
        <v>4965</v>
      </c>
      <c r="B3517" t="s">
        <v>4966</v>
      </c>
      <c r="C3517" s="1">
        <v>44518</v>
      </c>
      <c r="D3517" s="2">
        <v>74338196</v>
      </c>
      <c r="E3517" s="2">
        <v>12229</v>
      </c>
      <c r="F3517">
        <v>45</v>
      </c>
      <c r="G3517" s="2">
        <v>85204123</v>
      </c>
      <c r="H3517" s="2">
        <v>792210</v>
      </c>
      <c r="I3517" s="2">
        <v>2134165382</v>
      </c>
      <c r="J3517">
        <v>18</v>
      </c>
      <c r="K3517">
        <v>2</v>
      </c>
      <c r="L3517">
        <v>0</v>
      </c>
      <c r="M3517" t="str">
        <f t="shared" si="54"/>
        <v>After 2020</v>
      </c>
    </row>
    <row r="3518" spans="1:13" hidden="1">
      <c r="A3518" t="s">
        <v>65</v>
      </c>
      <c r="B3518" t="s">
        <v>4967</v>
      </c>
      <c r="C3518" s="1">
        <v>45009</v>
      </c>
      <c r="D3518" s="2">
        <v>479006</v>
      </c>
      <c r="E3518">
        <v>111</v>
      </c>
      <c r="F3518">
        <v>30</v>
      </c>
      <c r="G3518" s="2">
        <v>236027939</v>
      </c>
      <c r="H3518" s="2">
        <v>2149041</v>
      </c>
      <c r="J3518">
        <v>1</v>
      </c>
      <c r="L3518">
        <v>0</v>
      </c>
      <c r="M3518" t="str">
        <f t="shared" si="54"/>
        <v>After 2020</v>
      </c>
    </row>
    <row r="3519" spans="1:13" hidden="1">
      <c r="A3519" t="s">
        <v>4968</v>
      </c>
      <c r="B3519" t="s">
        <v>4969</v>
      </c>
      <c r="C3519" s="1">
        <v>41688</v>
      </c>
      <c r="E3519">
        <v>342</v>
      </c>
      <c r="F3519">
        <v>1</v>
      </c>
      <c r="G3519" s="2">
        <v>2049579300</v>
      </c>
      <c r="H3519" s="2">
        <v>2525179</v>
      </c>
      <c r="L3519">
        <v>0</v>
      </c>
      <c r="M3519" t="str">
        <f t="shared" si="54"/>
        <v>2010-2020</v>
      </c>
    </row>
    <row r="3520" spans="1:13" hidden="1">
      <c r="A3520" t="s">
        <v>4970</v>
      </c>
      <c r="B3520" t="s">
        <v>4921</v>
      </c>
      <c r="C3520" s="1">
        <v>44949</v>
      </c>
      <c r="D3520" s="2">
        <v>324327622</v>
      </c>
      <c r="E3520" s="2">
        <v>13022</v>
      </c>
      <c r="F3520">
        <v>75</v>
      </c>
      <c r="G3520" s="2">
        <v>97061421</v>
      </c>
      <c r="H3520" s="2">
        <v>500989</v>
      </c>
      <c r="I3520" s="2">
        <v>1614389086</v>
      </c>
      <c r="J3520">
        <v>8</v>
      </c>
      <c r="L3520">
        <v>0</v>
      </c>
      <c r="M3520" t="str">
        <f t="shared" si="54"/>
        <v>After 2020</v>
      </c>
    </row>
    <row r="3521" spans="1:13">
      <c r="A3521" t="s">
        <v>4971</v>
      </c>
      <c r="B3521" t="s">
        <v>2222</v>
      </c>
      <c r="C3521" s="1">
        <v>44554</v>
      </c>
      <c r="D3521" s="2">
        <v>153262121</v>
      </c>
      <c r="E3521" s="2">
        <v>62043</v>
      </c>
      <c r="F3521">
        <v>64</v>
      </c>
      <c r="G3521" s="2">
        <v>105229861</v>
      </c>
      <c r="H3521" s="2">
        <v>923515</v>
      </c>
      <c r="I3521" s="2">
        <v>777095126</v>
      </c>
      <c r="J3521">
        <v>11</v>
      </c>
      <c r="K3521">
        <v>18</v>
      </c>
      <c r="L3521">
        <v>0</v>
      </c>
      <c r="M3521" t="str">
        <f t="shared" si="54"/>
        <v>After 2020</v>
      </c>
    </row>
    <row r="3522" spans="1:13" hidden="1">
      <c r="A3522" t="s">
        <v>4972</v>
      </c>
      <c r="B3522" t="s">
        <v>930</v>
      </c>
      <c r="C3522" s="1">
        <v>45282</v>
      </c>
      <c r="D3522" s="2">
        <v>26192177</v>
      </c>
      <c r="E3522" s="2">
        <v>1252</v>
      </c>
      <c r="G3522" s="2">
        <v>83675431</v>
      </c>
      <c r="H3522" s="2">
        <v>568393</v>
      </c>
      <c r="J3522">
        <v>6</v>
      </c>
      <c r="L3522">
        <v>0</v>
      </c>
      <c r="M3522" t="str">
        <f t="shared" si="54"/>
        <v>After 2020</v>
      </c>
    </row>
    <row r="3523" spans="1:13" hidden="1">
      <c r="A3523" t="s">
        <v>4973</v>
      </c>
      <c r="B3523" t="s">
        <v>170</v>
      </c>
      <c r="C3523" s="1">
        <v>44981</v>
      </c>
      <c r="D3523" s="2">
        <v>89487508</v>
      </c>
      <c r="E3523" s="2">
        <v>7595</v>
      </c>
      <c r="F3523">
        <v>66</v>
      </c>
      <c r="G3523" s="2">
        <v>64767621</v>
      </c>
      <c r="H3523" s="2">
        <v>301091</v>
      </c>
      <c r="I3523" s="2">
        <v>466245707</v>
      </c>
      <c r="J3523">
        <v>5</v>
      </c>
      <c r="L3523">
        <v>0</v>
      </c>
      <c r="M3523" t="str">
        <f t="shared" ref="M3523:M3586" si="55">IF(YEAR(C3523)&lt;2010,"Before 2010",IF(YEAR(C3523)&lt;=2020,"2010-2020","After 2020"))</f>
        <v>After 2020</v>
      </c>
    </row>
    <row r="3524" spans="1:13">
      <c r="A3524" t="s">
        <v>4974</v>
      </c>
      <c r="B3524" t="s">
        <v>173</v>
      </c>
      <c r="C3524" s="1">
        <v>42951</v>
      </c>
      <c r="D3524" s="2">
        <v>261207310</v>
      </c>
      <c r="E3524" s="2">
        <v>29638</v>
      </c>
      <c r="F3524">
        <v>56</v>
      </c>
      <c r="G3524" s="2">
        <v>1008664592</v>
      </c>
      <c r="H3524" s="2">
        <v>6613034</v>
      </c>
      <c r="I3524" s="2">
        <v>251282695</v>
      </c>
      <c r="J3524">
        <v>31</v>
      </c>
      <c r="K3524">
        <v>16</v>
      </c>
      <c r="L3524">
        <v>1</v>
      </c>
      <c r="M3524" t="str">
        <f t="shared" si="55"/>
        <v>2010-2020</v>
      </c>
    </row>
    <row r="3525" spans="1:13" hidden="1">
      <c r="A3525" t="s">
        <v>4975</v>
      </c>
      <c r="B3525" t="s">
        <v>1857</v>
      </c>
      <c r="C3525" s="1">
        <v>45331</v>
      </c>
      <c r="D3525" s="2">
        <v>58509914</v>
      </c>
      <c r="E3525" s="2">
        <v>11523</v>
      </c>
      <c r="G3525" s="2">
        <v>971307</v>
      </c>
      <c r="H3525" s="2">
        <v>26740</v>
      </c>
      <c r="I3525" s="2">
        <v>62692000</v>
      </c>
      <c r="J3525">
        <v>3</v>
      </c>
      <c r="L3525">
        <v>1</v>
      </c>
      <c r="M3525" t="str">
        <f t="shared" si="55"/>
        <v>After 2020</v>
      </c>
    </row>
    <row r="3526" spans="1:13" hidden="1">
      <c r="A3526" t="s">
        <v>4976</v>
      </c>
      <c r="B3526" t="s">
        <v>4977</v>
      </c>
      <c r="C3526" s="1">
        <v>45345</v>
      </c>
      <c r="D3526" s="2">
        <v>95980260</v>
      </c>
      <c r="E3526" s="2">
        <v>6191</v>
      </c>
      <c r="F3526">
        <v>79</v>
      </c>
      <c r="G3526" s="2">
        <v>16013821</v>
      </c>
      <c r="H3526" s="2">
        <v>177114</v>
      </c>
      <c r="J3526">
        <v>7</v>
      </c>
      <c r="L3526">
        <v>0</v>
      </c>
      <c r="M3526" t="str">
        <f t="shared" si="55"/>
        <v>After 2020</v>
      </c>
    </row>
    <row r="3527" spans="1:13">
      <c r="A3527" t="s">
        <v>4978</v>
      </c>
      <c r="B3527" t="s">
        <v>129</v>
      </c>
      <c r="C3527" s="1">
        <v>44897</v>
      </c>
      <c r="D3527" s="2">
        <v>134971918</v>
      </c>
      <c r="E3527" s="2">
        <v>58239</v>
      </c>
      <c r="F3527">
        <v>64</v>
      </c>
      <c r="G3527" s="2">
        <v>8374578</v>
      </c>
      <c r="H3527" s="2">
        <v>77621</v>
      </c>
      <c r="I3527" s="2">
        <v>34056492</v>
      </c>
      <c r="J3527">
        <v>5</v>
      </c>
      <c r="K3527">
        <v>10</v>
      </c>
      <c r="L3527">
        <v>1</v>
      </c>
      <c r="M3527" t="str">
        <f t="shared" si="55"/>
        <v>After 2020</v>
      </c>
    </row>
    <row r="3528" spans="1:13" hidden="1">
      <c r="A3528" t="s">
        <v>4979</v>
      </c>
      <c r="B3528" t="s">
        <v>3604</v>
      </c>
      <c r="C3528" s="1">
        <v>43595</v>
      </c>
      <c r="D3528" s="2">
        <v>415170963</v>
      </c>
      <c r="E3528" s="2">
        <v>57071</v>
      </c>
      <c r="F3528">
        <v>63</v>
      </c>
      <c r="G3528" s="2">
        <v>618739499</v>
      </c>
      <c r="H3528" s="2">
        <v>3018799</v>
      </c>
      <c r="I3528" s="2">
        <v>72178937</v>
      </c>
      <c r="J3528">
        <v>54</v>
      </c>
      <c r="L3528">
        <v>1</v>
      </c>
      <c r="M3528" t="str">
        <f t="shared" si="55"/>
        <v>2010-2020</v>
      </c>
    </row>
    <row r="3529" spans="1:13" hidden="1">
      <c r="A3529" t="s">
        <v>4980</v>
      </c>
      <c r="B3529" t="s">
        <v>2323</v>
      </c>
      <c r="C3529" s="1">
        <v>43428</v>
      </c>
      <c r="D3529" s="2">
        <v>64612903</v>
      </c>
      <c r="E3529" s="2">
        <v>7444</v>
      </c>
      <c r="F3529">
        <v>55</v>
      </c>
      <c r="G3529" s="2">
        <v>1035234284</v>
      </c>
      <c r="H3529" s="2">
        <v>6201188</v>
      </c>
      <c r="I3529" s="2">
        <v>8550</v>
      </c>
      <c r="J3529">
        <v>7</v>
      </c>
      <c r="L3529">
        <v>0</v>
      </c>
      <c r="M3529" t="str">
        <f t="shared" si="55"/>
        <v>2010-2020</v>
      </c>
    </row>
    <row r="3530" spans="1:13" hidden="1">
      <c r="A3530" t="s">
        <v>4981</v>
      </c>
      <c r="B3530" t="s">
        <v>4982</v>
      </c>
      <c r="C3530" s="1">
        <v>45444</v>
      </c>
      <c r="D3530" s="2">
        <v>881858</v>
      </c>
      <c r="E3530">
        <v>75</v>
      </c>
      <c r="F3530">
        <v>53</v>
      </c>
      <c r="G3530" s="2">
        <v>7429733</v>
      </c>
      <c r="H3530" s="2">
        <v>106911</v>
      </c>
      <c r="J3530">
        <v>1</v>
      </c>
      <c r="L3530">
        <v>0</v>
      </c>
      <c r="M3530" t="str">
        <f t="shared" si="55"/>
        <v>After 2020</v>
      </c>
    </row>
    <row r="3531" spans="1:13" hidden="1">
      <c r="A3531" t="s">
        <v>4983</v>
      </c>
      <c r="B3531" t="s">
        <v>3105</v>
      </c>
      <c r="C3531" s="1">
        <v>44336</v>
      </c>
      <c r="D3531" s="2">
        <v>92866817</v>
      </c>
      <c r="E3531" s="2">
        <v>20834</v>
      </c>
      <c r="F3531">
        <v>53</v>
      </c>
      <c r="G3531" s="2">
        <v>510081</v>
      </c>
      <c r="H3531" s="2">
        <v>8586</v>
      </c>
      <c r="I3531" s="2">
        <v>6637149421</v>
      </c>
      <c r="J3531">
        <v>3</v>
      </c>
      <c r="L3531">
        <v>1</v>
      </c>
      <c r="M3531" t="str">
        <f t="shared" si="55"/>
        <v>After 2020</v>
      </c>
    </row>
    <row r="3532" spans="1:13" hidden="1">
      <c r="A3532" t="s">
        <v>4984</v>
      </c>
      <c r="B3532" t="s">
        <v>318</v>
      </c>
      <c r="C3532" s="1">
        <v>44812</v>
      </c>
      <c r="D3532" s="2">
        <v>261905370</v>
      </c>
      <c r="E3532" s="2">
        <v>42715</v>
      </c>
      <c r="F3532">
        <v>75</v>
      </c>
      <c r="G3532" s="2">
        <v>23316855</v>
      </c>
      <c r="H3532" s="2">
        <v>136558</v>
      </c>
      <c r="I3532" s="2">
        <v>16825671</v>
      </c>
      <c r="J3532">
        <v>14</v>
      </c>
      <c r="L3532">
        <v>0</v>
      </c>
      <c r="M3532" t="str">
        <f t="shared" si="55"/>
        <v>After 2020</v>
      </c>
    </row>
    <row r="3533" spans="1:13" hidden="1">
      <c r="A3533" t="s">
        <v>4985</v>
      </c>
      <c r="B3533" t="s">
        <v>59</v>
      </c>
      <c r="C3533" s="1">
        <v>43854</v>
      </c>
      <c r="D3533" s="2">
        <v>358885100</v>
      </c>
      <c r="E3533" s="2">
        <v>66574</v>
      </c>
      <c r="F3533">
        <v>70</v>
      </c>
      <c r="G3533" s="2">
        <v>386760006</v>
      </c>
      <c r="H3533" s="2">
        <v>2110339</v>
      </c>
      <c r="I3533" s="2">
        <v>384081312</v>
      </c>
      <c r="J3533">
        <v>35</v>
      </c>
      <c r="L3533">
        <v>1</v>
      </c>
      <c r="M3533" t="str">
        <f t="shared" si="55"/>
        <v>2010-2020</v>
      </c>
    </row>
    <row r="3534" spans="1:13" hidden="1">
      <c r="A3534" t="s">
        <v>4986</v>
      </c>
      <c r="B3534" t="s">
        <v>3269</v>
      </c>
      <c r="C3534" s="1">
        <v>45205</v>
      </c>
      <c r="D3534" s="2">
        <v>68053989</v>
      </c>
      <c r="E3534" s="2">
        <v>21585</v>
      </c>
      <c r="G3534" s="2">
        <v>1482245</v>
      </c>
      <c r="H3534" s="2">
        <v>22209</v>
      </c>
      <c r="I3534" s="2">
        <v>48264636</v>
      </c>
      <c r="J3534">
        <v>34</v>
      </c>
      <c r="K3534">
        <v>145</v>
      </c>
      <c r="L3534">
        <v>0</v>
      </c>
      <c r="M3534" t="str">
        <f t="shared" si="55"/>
        <v>After 2020</v>
      </c>
    </row>
    <row r="3535" spans="1:13">
      <c r="A3535" t="s">
        <v>4987</v>
      </c>
      <c r="B3535" t="s">
        <v>546</v>
      </c>
      <c r="C3535" s="1">
        <v>42972</v>
      </c>
      <c r="D3535" s="2">
        <v>973400151</v>
      </c>
      <c r="E3535" s="2">
        <v>172881</v>
      </c>
      <c r="F3535">
        <v>74</v>
      </c>
      <c r="G3535" s="2">
        <v>320288878</v>
      </c>
      <c r="H3535" s="2">
        <v>2792426</v>
      </c>
      <c r="I3535" s="2">
        <v>83669477</v>
      </c>
      <c r="J3535">
        <v>2</v>
      </c>
      <c r="K3535">
        <v>17</v>
      </c>
      <c r="L3535">
        <v>1</v>
      </c>
      <c r="M3535" t="str">
        <f t="shared" si="55"/>
        <v>2010-2020</v>
      </c>
    </row>
    <row r="3536" spans="1:13" hidden="1">
      <c r="A3536" t="s">
        <v>4988</v>
      </c>
      <c r="B3536" t="s">
        <v>471</v>
      </c>
      <c r="C3536" s="1">
        <v>44274</v>
      </c>
      <c r="D3536" s="2">
        <v>331506695</v>
      </c>
      <c r="E3536" s="2">
        <v>116321</v>
      </c>
      <c r="F3536">
        <v>65</v>
      </c>
      <c r="G3536" s="2">
        <v>22151531</v>
      </c>
      <c r="H3536" s="2">
        <v>381423</v>
      </c>
      <c r="I3536" s="2">
        <v>89324319</v>
      </c>
      <c r="J3536">
        <v>38</v>
      </c>
      <c r="L3536">
        <v>1</v>
      </c>
      <c r="M3536" t="str">
        <f t="shared" si="55"/>
        <v>After 2020</v>
      </c>
    </row>
    <row r="3537" spans="1:13" hidden="1">
      <c r="A3537" t="s">
        <v>4989</v>
      </c>
      <c r="B3537" t="s">
        <v>1418</v>
      </c>
      <c r="C3537" s="1">
        <v>43447</v>
      </c>
      <c r="D3537" s="2">
        <v>74027513</v>
      </c>
      <c r="E3537" s="2">
        <v>5648</v>
      </c>
      <c r="F3537">
        <v>59</v>
      </c>
      <c r="G3537" s="2">
        <v>1014261335</v>
      </c>
      <c r="H3537" s="2">
        <v>4638798</v>
      </c>
      <c r="J3537">
        <v>1</v>
      </c>
      <c r="L3537">
        <v>0</v>
      </c>
      <c r="M3537" t="str">
        <f t="shared" si="55"/>
        <v>2010-2020</v>
      </c>
    </row>
    <row r="3538" spans="1:13">
      <c r="A3538" t="s">
        <v>4990</v>
      </c>
      <c r="B3538" t="s">
        <v>313</v>
      </c>
      <c r="C3538" s="1">
        <v>44953</v>
      </c>
      <c r="D3538" s="2">
        <v>163400564</v>
      </c>
      <c r="E3538" s="2">
        <v>25380</v>
      </c>
      <c r="F3538">
        <v>60</v>
      </c>
      <c r="G3538" s="2">
        <v>37506561</v>
      </c>
      <c r="H3538" s="2">
        <v>368510</v>
      </c>
      <c r="I3538" s="2">
        <v>107127704</v>
      </c>
      <c r="J3538">
        <v>75</v>
      </c>
      <c r="K3538">
        <v>9</v>
      </c>
      <c r="L3538">
        <v>0</v>
      </c>
      <c r="M3538" t="str">
        <f t="shared" si="55"/>
        <v>After 2020</v>
      </c>
    </row>
    <row r="3539" spans="1:13" hidden="1">
      <c r="A3539" t="s">
        <v>4991</v>
      </c>
      <c r="B3539" t="s">
        <v>3111</v>
      </c>
      <c r="C3539" s="1">
        <v>44706</v>
      </c>
      <c r="D3539" s="2">
        <v>146988095</v>
      </c>
      <c r="E3539" s="2">
        <v>16234</v>
      </c>
      <c r="F3539">
        <v>59</v>
      </c>
      <c r="G3539" s="2">
        <v>262992730</v>
      </c>
      <c r="H3539" s="2">
        <v>4331524</v>
      </c>
      <c r="I3539" s="2">
        <v>69189680</v>
      </c>
      <c r="J3539">
        <v>8</v>
      </c>
      <c r="L3539">
        <v>1</v>
      </c>
      <c r="M3539" t="str">
        <f t="shared" si="55"/>
        <v>After 2020</v>
      </c>
    </row>
    <row r="3540" spans="1:13" hidden="1">
      <c r="A3540" t="s">
        <v>4992</v>
      </c>
      <c r="B3540" t="s">
        <v>4993</v>
      </c>
      <c r="C3540" s="1">
        <v>42160</v>
      </c>
      <c r="D3540" s="2">
        <v>24407534</v>
      </c>
      <c r="E3540" s="2">
        <v>2389</v>
      </c>
      <c r="F3540">
        <v>29</v>
      </c>
      <c r="G3540" s="2">
        <v>1753379058</v>
      </c>
      <c r="H3540" s="2">
        <v>9702237</v>
      </c>
      <c r="L3540">
        <v>0</v>
      </c>
      <c r="M3540" t="str">
        <f t="shared" si="55"/>
        <v>2010-2020</v>
      </c>
    </row>
    <row r="3541" spans="1:13" hidden="1">
      <c r="A3541" t="s">
        <v>4994</v>
      </c>
      <c r="B3541" t="s">
        <v>4995</v>
      </c>
      <c r="C3541" s="1">
        <v>44722</v>
      </c>
      <c r="D3541" s="2">
        <v>433037</v>
      </c>
      <c r="E3541">
        <v>120</v>
      </c>
      <c r="F3541">
        <v>20</v>
      </c>
      <c r="G3541" s="2">
        <v>386932138</v>
      </c>
      <c r="H3541" s="2">
        <v>889910</v>
      </c>
      <c r="J3541">
        <v>4</v>
      </c>
      <c r="L3541">
        <v>0</v>
      </c>
      <c r="M3541" t="str">
        <f t="shared" si="55"/>
        <v>After 2020</v>
      </c>
    </row>
    <row r="3542" spans="1:13">
      <c r="A3542" t="s">
        <v>4996</v>
      </c>
      <c r="B3542" t="s">
        <v>3421</v>
      </c>
      <c r="C3542" s="1">
        <v>43154</v>
      </c>
      <c r="D3542" s="2">
        <v>603009543</v>
      </c>
      <c r="E3542" s="2">
        <v>60339</v>
      </c>
      <c r="F3542">
        <v>65</v>
      </c>
      <c r="G3542" s="2">
        <v>752863338</v>
      </c>
      <c r="H3542" s="2">
        <v>1897331</v>
      </c>
      <c r="I3542" s="2">
        <v>33166882</v>
      </c>
      <c r="J3542">
        <v>33</v>
      </c>
      <c r="K3542">
        <v>19</v>
      </c>
      <c r="L3542">
        <v>0</v>
      </c>
      <c r="M3542" t="str">
        <f t="shared" si="55"/>
        <v>2010-2020</v>
      </c>
    </row>
    <row r="3543" spans="1:13" hidden="1">
      <c r="A3543" t="s">
        <v>4997</v>
      </c>
      <c r="B3543" t="s">
        <v>88</v>
      </c>
      <c r="C3543" s="1">
        <v>45352</v>
      </c>
      <c r="D3543" s="2">
        <v>46863836</v>
      </c>
      <c r="E3543" s="2">
        <v>3984</v>
      </c>
      <c r="G3543" s="2">
        <v>17633827</v>
      </c>
      <c r="H3543" s="2">
        <v>366176</v>
      </c>
      <c r="I3543" s="2">
        <v>2574072</v>
      </c>
      <c r="J3543">
        <v>45</v>
      </c>
      <c r="K3543">
        <v>16</v>
      </c>
      <c r="L3543">
        <v>0</v>
      </c>
      <c r="M3543" t="str">
        <f t="shared" si="55"/>
        <v>After 2020</v>
      </c>
    </row>
    <row r="3544" spans="1:13" hidden="1">
      <c r="A3544" t="s">
        <v>4998</v>
      </c>
      <c r="B3544" t="s">
        <v>892</v>
      </c>
      <c r="C3544" s="1">
        <v>44085</v>
      </c>
      <c r="D3544" s="2">
        <v>222571023</v>
      </c>
      <c r="E3544" s="2">
        <v>44252</v>
      </c>
      <c r="F3544">
        <v>57</v>
      </c>
      <c r="G3544" s="2">
        <v>68547283</v>
      </c>
      <c r="H3544" s="2">
        <v>647482</v>
      </c>
      <c r="I3544" s="2">
        <v>221346418</v>
      </c>
      <c r="J3544">
        <v>102</v>
      </c>
      <c r="L3544">
        <v>0</v>
      </c>
      <c r="M3544" t="str">
        <f t="shared" si="55"/>
        <v>2010-2020</v>
      </c>
    </row>
    <row r="3545" spans="1:13">
      <c r="A3545" t="s">
        <v>4999</v>
      </c>
      <c r="B3545" t="s">
        <v>5000</v>
      </c>
      <c r="C3545" s="1">
        <v>45306</v>
      </c>
      <c r="D3545" s="2">
        <v>40620097</v>
      </c>
      <c r="E3545" s="2">
        <v>2870</v>
      </c>
      <c r="F3545">
        <v>11</v>
      </c>
      <c r="G3545" s="2">
        <v>59080794</v>
      </c>
      <c r="H3545" s="2">
        <v>673001</v>
      </c>
      <c r="I3545" s="2">
        <v>1553400</v>
      </c>
      <c r="J3545">
        <v>7</v>
      </c>
      <c r="K3545">
        <v>18</v>
      </c>
      <c r="L3545">
        <v>0</v>
      </c>
      <c r="M3545" t="str">
        <f t="shared" si="55"/>
        <v>After 2020</v>
      </c>
    </row>
    <row r="3546" spans="1:13">
      <c r="A3546" t="s">
        <v>5001</v>
      </c>
      <c r="B3546" t="s">
        <v>4280</v>
      </c>
      <c r="C3546" s="1">
        <v>43812</v>
      </c>
      <c r="D3546" s="2">
        <v>287897439</v>
      </c>
      <c r="E3546" s="2">
        <v>146593</v>
      </c>
      <c r="F3546">
        <v>60</v>
      </c>
      <c r="G3546" s="2">
        <v>68649223</v>
      </c>
      <c r="H3546" s="2">
        <v>853541</v>
      </c>
      <c r="I3546" s="2">
        <v>855075576</v>
      </c>
      <c r="J3546">
        <v>74</v>
      </c>
      <c r="K3546">
        <v>113</v>
      </c>
      <c r="L3546">
        <v>0</v>
      </c>
      <c r="M3546" t="str">
        <f t="shared" si="55"/>
        <v>2010-2020</v>
      </c>
    </row>
    <row r="3547" spans="1:13" hidden="1">
      <c r="A3547" t="s">
        <v>5002</v>
      </c>
      <c r="B3547" t="s">
        <v>3581</v>
      </c>
      <c r="C3547" s="1">
        <v>44649</v>
      </c>
      <c r="D3547" s="2">
        <v>250112783</v>
      </c>
      <c r="E3547" s="2">
        <v>37790</v>
      </c>
      <c r="F3547">
        <v>67</v>
      </c>
      <c r="G3547" s="2">
        <v>207570990</v>
      </c>
      <c r="H3547" s="2">
        <v>2206717</v>
      </c>
      <c r="I3547" s="2">
        <v>81406851</v>
      </c>
      <c r="J3547">
        <v>18</v>
      </c>
      <c r="L3547">
        <v>0</v>
      </c>
      <c r="M3547" t="str">
        <f t="shared" si="55"/>
        <v>After 2020</v>
      </c>
    </row>
    <row r="3548" spans="1:13" hidden="1">
      <c r="A3548" t="s">
        <v>5003</v>
      </c>
      <c r="B3548" t="s">
        <v>295</v>
      </c>
      <c r="C3548" s="1">
        <v>45205</v>
      </c>
      <c r="D3548" s="2">
        <v>61355849</v>
      </c>
      <c r="E3548" s="2">
        <v>24182</v>
      </c>
      <c r="G3548" s="2">
        <v>11131343</v>
      </c>
      <c r="H3548" s="2">
        <v>254050</v>
      </c>
      <c r="I3548" s="2">
        <v>16120565</v>
      </c>
      <c r="J3548">
        <v>2</v>
      </c>
      <c r="K3548">
        <v>31</v>
      </c>
      <c r="L3548">
        <v>1</v>
      </c>
      <c r="M3548" t="str">
        <f t="shared" si="55"/>
        <v>After 2020</v>
      </c>
    </row>
    <row r="3549" spans="1:13" hidden="1">
      <c r="A3549" t="s">
        <v>5004</v>
      </c>
      <c r="B3549" t="s">
        <v>978</v>
      </c>
      <c r="C3549" s="1">
        <v>45422</v>
      </c>
      <c r="D3549" s="2">
        <v>10114922</v>
      </c>
      <c r="E3549" s="2">
        <v>1567</v>
      </c>
      <c r="F3549">
        <v>74</v>
      </c>
      <c r="J3549">
        <v>38</v>
      </c>
      <c r="L3549">
        <v>0</v>
      </c>
      <c r="M3549" t="str">
        <f t="shared" si="55"/>
        <v>After 2020</v>
      </c>
    </row>
    <row r="3550" spans="1:13" hidden="1">
      <c r="A3550" t="s">
        <v>5005</v>
      </c>
      <c r="B3550" t="s">
        <v>5006</v>
      </c>
      <c r="C3550" s="1">
        <v>44792</v>
      </c>
      <c r="D3550" s="2">
        <v>190095480</v>
      </c>
      <c r="E3550" s="2">
        <v>35863</v>
      </c>
      <c r="F3550">
        <v>68</v>
      </c>
      <c r="G3550" s="2">
        <v>83772680</v>
      </c>
      <c r="H3550" s="2">
        <v>753857</v>
      </c>
      <c r="I3550" s="2">
        <v>801557207</v>
      </c>
      <c r="J3550">
        <v>17</v>
      </c>
      <c r="L3550">
        <v>1</v>
      </c>
      <c r="M3550" t="str">
        <f t="shared" si="55"/>
        <v>After 2020</v>
      </c>
    </row>
    <row r="3551" spans="1:13" hidden="1">
      <c r="A3551" t="s">
        <v>5007</v>
      </c>
      <c r="B3551" t="s">
        <v>703</v>
      </c>
      <c r="C3551" s="1">
        <v>45366</v>
      </c>
      <c r="D3551" s="2">
        <v>30301728</v>
      </c>
      <c r="E3551" s="2">
        <v>2993</v>
      </c>
      <c r="J3551">
        <v>34</v>
      </c>
      <c r="L3551">
        <v>1</v>
      </c>
      <c r="M3551" t="str">
        <f t="shared" si="55"/>
        <v>After 2020</v>
      </c>
    </row>
    <row r="3552" spans="1:13" hidden="1">
      <c r="A3552" t="s">
        <v>5008</v>
      </c>
      <c r="B3552" t="s">
        <v>957</v>
      </c>
      <c r="C3552" s="1">
        <v>44729</v>
      </c>
      <c r="D3552" s="2">
        <v>171920896</v>
      </c>
      <c r="E3552" s="2">
        <v>41774</v>
      </c>
      <c r="F3552">
        <v>65</v>
      </c>
      <c r="G3552" s="2">
        <v>14115131</v>
      </c>
      <c r="H3552" s="2">
        <v>142485</v>
      </c>
      <c r="I3552" s="2">
        <v>51987916</v>
      </c>
      <c r="J3552">
        <v>39</v>
      </c>
      <c r="L3552">
        <v>0</v>
      </c>
      <c r="M3552" t="str">
        <f t="shared" si="55"/>
        <v>After 2020</v>
      </c>
    </row>
    <row r="3553" spans="1:13" hidden="1">
      <c r="A3553" t="s">
        <v>5009</v>
      </c>
      <c r="B3553" t="s">
        <v>1862</v>
      </c>
      <c r="C3553" s="1">
        <v>45016</v>
      </c>
      <c r="D3553" s="2">
        <v>98301770</v>
      </c>
      <c r="E3553" s="2">
        <v>40539</v>
      </c>
      <c r="F3553">
        <v>63</v>
      </c>
      <c r="G3553" s="2">
        <v>30136123</v>
      </c>
      <c r="H3553" s="2">
        <v>792334</v>
      </c>
      <c r="I3553" s="2">
        <v>19817648</v>
      </c>
      <c r="J3553">
        <v>4</v>
      </c>
      <c r="L3553">
        <v>1</v>
      </c>
      <c r="M3553" t="str">
        <f t="shared" si="55"/>
        <v>After 2020</v>
      </c>
    </row>
    <row r="3554" spans="1:13" hidden="1">
      <c r="A3554" t="s">
        <v>5010</v>
      </c>
      <c r="B3554" t="s">
        <v>5011</v>
      </c>
      <c r="C3554" s="1">
        <v>41640</v>
      </c>
      <c r="D3554" s="2">
        <v>602359731</v>
      </c>
      <c r="E3554" s="2">
        <v>109606</v>
      </c>
      <c r="F3554">
        <v>62</v>
      </c>
      <c r="G3554" s="2">
        <v>1099999155</v>
      </c>
      <c r="H3554" s="2">
        <v>5250942</v>
      </c>
      <c r="I3554" s="2">
        <v>95570279</v>
      </c>
      <c r="J3554">
        <v>38</v>
      </c>
      <c r="L3554">
        <v>0</v>
      </c>
      <c r="M3554" t="str">
        <f t="shared" si="55"/>
        <v>2010-2020</v>
      </c>
    </row>
    <row r="3555" spans="1:13" hidden="1">
      <c r="A3555" t="s">
        <v>5012</v>
      </c>
      <c r="B3555" t="s">
        <v>141</v>
      </c>
      <c r="C3555" s="1">
        <v>45212</v>
      </c>
      <c r="D3555" s="2">
        <v>99022909</v>
      </c>
      <c r="E3555" s="2">
        <v>18212</v>
      </c>
      <c r="G3555" s="2">
        <v>14594444</v>
      </c>
      <c r="H3555" s="2">
        <v>227707</v>
      </c>
      <c r="J3555">
        <v>8</v>
      </c>
      <c r="L3555">
        <v>1</v>
      </c>
      <c r="M3555" t="str">
        <f t="shared" si="55"/>
        <v>After 2020</v>
      </c>
    </row>
    <row r="3556" spans="1:13" hidden="1">
      <c r="A3556" t="s">
        <v>5013</v>
      </c>
      <c r="B3556" t="s">
        <v>930</v>
      </c>
      <c r="C3556" s="1">
        <v>45275</v>
      </c>
      <c r="D3556" s="2">
        <v>22277518</v>
      </c>
      <c r="E3556" s="2">
        <v>1494</v>
      </c>
      <c r="G3556" s="2">
        <v>86835991</v>
      </c>
      <c r="H3556" s="2">
        <v>726713</v>
      </c>
      <c r="J3556">
        <v>9</v>
      </c>
      <c r="L3556">
        <v>0</v>
      </c>
      <c r="M3556" t="str">
        <f t="shared" si="55"/>
        <v>After 2020</v>
      </c>
    </row>
    <row r="3557" spans="1:13" hidden="1">
      <c r="A3557" t="s">
        <v>5014</v>
      </c>
      <c r="B3557" t="s">
        <v>112</v>
      </c>
      <c r="C3557" s="1">
        <v>43917</v>
      </c>
      <c r="D3557" s="2">
        <v>381166294</v>
      </c>
      <c r="E3557" s="2">
        <v>50838</v>
      </c>
      <c r="F3557">
        <v>57</v>
      </c>
      <c r="G3557" s="2">
        <v>168485708</v>
      </c>
      <c r="H3557" s="2">
        <v>1688852</v>
      </c>
      <c r="I3557" s="2">
        <v>728998950</v>
      </c>
      <c r="J3557">
        <v>102</v>
      </c>
      <c r="L3557">
        <v>0</v>
      </c>
      <c r="M3557" t="str">
        <f t="shared" si="55"/>
        <v>2010-2020</v>
      </c>
    </row>
    <row r="3558" spans="1:13" hidden="1">
      <c r="A3558" t="s">
        <v>5015</v>
      </c>
      <c r="B3558" t="s">
        <v>157</v>
      </c>
      <c r="C3558" s="1">
        <v>44559</v>
      </c>
      <c r="D3558" s="2">
        <v>454467751</v>
      </c>
      <c r="E3558" s="2">
        <v>75230</v>
      </c>
      <c r="F3558">
        <v>67</v>
      </c>
      <c r="G3558" s="2">
        <v>35155712</v>
      </c>
      <c r="H3558" s="2">
        <v>250394</v>
      </c>
      <c r="I3558" s="2">
        <v>13072</v>
      </c>
      <c r="J3558">
        <v>18</v>
      </c>
      <c r="L3558">
        <v>0</v>
      </c>
      <c r="M3558" t="str">
        <f t="shared" si="55"/>
        <v>After 2020</v>
      </c>
    </row>
    <row r="3559" spans="1:13" hidden="1">
      <c r="A3559" t="s">
        <v>5016</v>
      </c>
      <c r="B3559" t="s">
        <v>2453</v>
      </c>
      <c r="C3559" s="1">
        <v>44905</v>
      </c>
      <c r="D3559" s="2">
        <v>144555119</v>
      </c>
      <c r="E3559" s="2">
        <v>30542</v>
      </c>
      <c r="F3559">
        <v>5</v>
      </c>
      <c r="G3559" s="2">
        <v>26566933</v>
      </c>
      <c r="H3559" s="2">
        <v>480339</v>
      </c>
      <c r="I3559" s="2">
        <v>381921701</v>
      </c>
      <c r="L3559">
        <v>1</v>
      </c>
      <c r="M3559" t="str">
        <f t="shared" si="55"/>
        <v>After 2020</v>
      </c>
    </row>
    <row r="3560" spans="1:13" hidden="1">
      <c r="A3560" t="s">
        <v>5017</v>
      </c>
      <c r="B3560" t="s">
        <v>384</v>
      </c>
      <c r="C3560" s="1">
        <v>45191</v>
      </c>
      <c r="D3560" s="2">
        <v>108163942</v>
      </c>
      <c r="E3560" s="2">
        <v>22023</v>
      </c>
      <c r="G3560" s="2">
        <v>17211451</v>
      </c>
      <c r="H3560" s="2">
        <v>202291</v>
      </c>
      <c r="I3560" s="2">
        <v>23664790</v>
      </c>
      <c r="J3560">
        <v>9</v>
      </c>
      <c r="L3560">
        <v>0</v>
      </c>
      <c r="M3560" t="str">
        <f t="shared" si="55"/>
        <v>After 2020</v>
      </c>
    </row>
    <row r="3561" spans="1:13" hidden="1">
      <c r="A3561" t="s">
        <v>5018</v>
      </c>
      <c r="B3561" t="s">
        <v>5019</v>
      </c>
      <c r="C3561" s="1">
        <v>45331</v>
      </c>
      <c r="D3561" s="2">
        <v>72492332</v>
      </c>
      <c r="E3561" s="2">
        <v>5624</v>
      </c>
      <c r="G3561" s="2">
        <v>19013959</v>
      </c>
      <c r="H3561" s="2">
        <v>630558</v>
      </c>
      <c r="J3561">
        <v>20</v>
      </c>
      <c r="K3561">
        <v>22</v>
      </c>
      <c r="L3561">
        <v>0</v>
      </c>
      <c r="M3561" t="str">
        <f t="shared" si="55"/>
        <v>After 2020</v>
      </c>
    </row>
    <row r="3562" spans="1:13">
      <c r="A3562" t="s">
        <v>794</v>
      </c>
      <c r="B3562" t="s">
        <v>795</v>
      </c>
      <c r="C3562" s="1">
        <v>40909</v>
      </c>
      <c r="D3562" s="2">
        <v>2252713547</v>
      </c>
      <c r="E3562" s="2">
        <v>205647</v>
      </c>
      <c r="F3562">
        <v>73</v>
      </c>
      <c r="G3562" s="2">
        <v>423531195</v>
      </c>
      <c r="H3562" s="2">
        <v>4118839</v>
      </c>
      <c r="I3562" s="2">
        <v>641996440</v>
      </c>
      <c r="J3562">
        <v>192</v>
      </c>
      <c r="K3562">
        <v>288</v>
      </c>
      <c r="L3562">
        <v>0</v>
      </c>
      <c r="M3562" t="str">
        <f t="shared" si="55"/>
        <v>2010-2020</v>
      </c>
    </row>
    <row r="3563" spans="1:13">
      <c r="A3563" t="s">
        <v>5020</v>
      </c>
      <c r="B3563" t="s">
        <v>5021</v>
      </c>
      <c r="C3563" s="1">
        <v>43945</v>
      </c>
      <c r="D3563" s="2">
        <v>600521313</v>
      </c>
      <c r="E3563" s="2">
        <v>79793</v>
      </c>
      <c r="F3563">
        <v>65</v>
      </c>
      <c r="G3563" s="2">
        <v>50025071</v>
      </c>
      <c r="H3563" s="2">
        <v>705508</v>
      </c>
      <c r="I3563" s="2">
        <v>79947183</v>
      </c>
      <c r="J3563">
        <v>95</v>
      </c>
      <c r="K3563">
        <v>400</v>
      </c>
      <c r="L3563">
        <v>0</v>
      </c>
      <c r="M3563" t="str">
        <f t="shared" si="55"/>
        <v>2010-2020</v>
      </c>
    </row>
    <row r="3564" spans="1:13">
      <c r="A3564" t="s">
        <v>5022</v>
      </c>
      <c r="B3564" t="s">
        <v>617</v>
      </c>
      <c r="C3564" s="1">
        <v>43531</v>
      </c>
      <c r="D3564" s="2">
        <v>570045987</v>
      </c>
      <c r="E3564" s="2">
        <v>57702</v>
      </c>
      <c r="F3564">
        <v>66</v>
      </c>
      <c r="G3564" s="2">
        <v>368297733</v>
      </c>
      <c r="H3564" s="2">
        <v>4429234</v>
      </c>
      <c r="I3564" s="2">
        <v>218968895</v>
      </c>
      <c r="J3564">
        <v>36</v>
      </c>
      <c r="K3564">
        <v>23</v>
      </c>
      <c r="L3564">
        <v>0</v>
      </c>
      <c r="M3564" t="str">
        <f t="shared" si="55"/>
        <v>2010-2020</v>
      </c>
    </row>
    <row r="3565" spans="1:13">
      <c r="A3565" t="s">
        <v>5023</v>
      </c>
      <c r="B3565" t="s">
        <v>631</v>
      </c>
      <c r="C3565" s="1">
        <v>42790</v>
      </c>
      <c r="D3565" s="2">
        <v>1044358962</v>
      </c>
      <c r="E3565" s="2">
        <v>165916</v>
      </c>
      <c r="F3565">
        <v>69</v>
      </c>
      <c r="G3565" s="2">
        <v>37191231</v>
      </c>
      <c r="H3565" s="2">
        <v>380168</v>
      </c>
      <c r="I3565" s="2">
        <v>323428098</v>
      </c>
      <c r="J3565">
        <v>255</v>
      </c>
      <c r="K3565">
        <v>90</v>
      </c>
      <c r="L3565">
        <v>1</v>
      </c>
      <c r="M3565" t="str">
        <f t="shared" si="55"/>
        <v>2010-2020</v>
      </c>
    </row>
    <row r="3566" spans="1:13">
      <c r="A3566" t="s">
        <v>5024</v>
      </c>
      <c r="B3566" t="s">
        <v>3918</v>
      </c>
      <c r="C3566" s="1">
        <v>38495</v>
      </c>
      <c r="D3566" s="2">
        <v>1407382497</v>
      </c>
      <c r="E3566" s="2">
        <v>357484</v>
      </c>
      <c r="F3566">
        <v>78</v>
      </c>
      <c r="G3566" s="2">
        <v>1211241854</v>
      </c>
      <c r="H3566" s="2">
        <v>10819604</v>
      </c>
      <c r="I3566" s="2">
        <v>1396761942</v>
      </c>
      <c r="J3566">
        <v>18</v>
      </c>
      <c r="K3566">
        <v>172</v>
      </c>
      <c r="L3566">
        <v>0</v>
      </c>
      <c r="M3566" t="str">
        <f t="shared" si="55"/>
        <v>Before 2010</v>
      </c>
    </row>
    <row r="3567" spans="1:13">
      <c r="A3567" t="s">
        <v>5025</v>
      </c>
      <c r="B3567" t="s">
        <v>5026</v>
      </c>
      <c r="C3567" s="1">
        <v>41640</v>
      </c>
      <c r="D3567" s="2">
        <v>733931275</v>
      </c>
      <c r="E3567" s="2">
        <v>115255</v>
      </c>
      <c r="F3567">
        <v>71</v>
      </c>
      <c r="G3567" s="2">
        <v>535024991</v>
      </c>
      <c r="H3567" s="2">
        <v>4702620</v>
      </c>
      <c r="I3567" s="2">
        <v>47138593</v>
      </c>
      <c r="J3567">
        <v>27</v>
      </c>
      <c r="K3567">
        <v>138</v>
      </c>
      <c r="L3567">
        <v>0</v>
      </c>
      <c r="M3567" t="str">
        <f t="shared" si="55"/>
        <v>2010-2020</v>
      </c>
    </row>
    <row r="3568" spans="1:13" hidden="1">
      <c r="A3568" t="s">
        <v>5027</v>
      </c>
      <c r="B3568" t="s">
        <v>829</v>
      </c>
      <c r="C3568" s="1">
        <v>43644</v>
      </c>
      <c r="D3568" s="2">
        <v>332224927</v>
      </c>
      <c r="E3568" s="2">
        <v>90422</v>
      </c>
      <c r="F3568">
        <v>58</v>
      </c>
      <c r="G3568" s="2">
        <v>33056892</v>
      </c>
      <c r="H3568" s="2">
        <v>353473</v>
      </c>
      <c r="I3568" s="2">
        <v>210052450</v>
      </c>
      <c r="J3568">
        <v>20</v>
      </c>
      <c r="L3568">
        <v>1</v>
      </c>
      <c r="M3568" t="str">
        <f t="shared" si="55"/>
        <v>2010-2020</v>
      </c>
    </row>
    <row r="3569" spans="1:13" hidden="1">
      <c r="A3569" t="s">
        <v>5028</v>
      </c>
      <c r="B3569" t="s">
        <v>1460</v>
      </c>
      <c r="C3569" s="1">
        <v>44419</v>
      </c>
      <c r="D3569" s="2">
        <v>25893883</v>
      </c>
      <c r="E3569" s="2">
        <v>3377</v>
      </c>
      <c r="F3569">
        <v>46</v>
      </c>
      <c r="G3569" s="2">
        <v>535109576</v>
      </c>
      <c r="H3569" s="2">
        <v>7807029</v>
      </c>
      <c r="J3569">
        <v>2</v>
      </c>
      <c r="L3569">
        <v>0</v>
      </c>
      <c r="M3569" t="str">
        <f t="shared" si="55"/>
        <v>After 2020</v>
      </c>
    </row>
    <row r="3570" spans="1:13" hidden="1">
      <c r="A3570" t="s">
        <v>5029</v>
      </c>
      <c r="B3570" t="s">
        <v>5030</v>
      </c>
      <c r="C3570" s="1">
        <v>41954</v>
      </c>
      <c r="D3570" s="2">
        <v>296711145</v>
      </c>
      <c r="E3570" s="2">
        <v>17197</v>
      </c>
      <c r="F3570">
        <v>67</v>
      </c>
      <c r="G3570" s="2">
        <v>1599246274</v>
      </c>
      <c r="H3570" s="2">
        <v>4273511</v>
      </c>
      <c r="I3570" s="2">
        <v>78337323</v>
      </c>
      <c r="J3570">
        <v>10</v>
      </c>
      <c r="L3570">
        <v>0</v>
      </c>
      <c r="M3570" t="str">
        <f t="shared" si="55"/>
        <v>2010-2020</v>
      </c>
    </row>
    <row r="3571" spans="1:13">
      <c r="A3571" t="s">
        <v>4306</v>
      </c>
      <c r="B3571" t="s">
        <v>1062</v>
      </c>
      <c r="C3571" s="1">
        <v>44000</v>
      </c>
      <c r="D3571" s="2">
        <v>529404392</v>
      </c>
      <c r="E3571" s="2">
        <v>74777</v>
      </c>
      <c r="F3571">
        <v>62</v>
      </c>
      <c r="G3571" s="2">
        <v>53885408</v>
      </c>
      <c r="H3571" s="2">
        <v>433692</v>
      </c>
      <c r="I3571" s="2">
        <v>583303862</v>
      </c>
      <c r="J3571">
        <v>111</v>
      </c>
      <c r="K3571">
        <v>16</v>
      </c>
      <c r="L3571">
        <v>1</v>
      </c>
      <c r="M3571" t="str">
        <f t="shared" si="55"/>
        <v>2010-2020</v>
      </c>
    </row>
    <row r="3572" spans="1:13" hidden="1">
      <c r="A3572" t="s">
        <v>5031</v>
      </c>
      <c r="B3572" t="s">
        <v>127</v>
      </c>
      <c r="C3572" s="1">
        <v>44085</v>
      </c>
      <c r="D3572" s="2">
        <v>5191059</v>
      </c>
      <c r="E3572" s="2">
        <v>1333</v>
      </c>
      <c r="F3572">
        <v>32</v>
      </c>
      <c r="G3572" s="2">
        <v>685599294</v>
      </c>
      <c r="H3572" s="2">
        <v>5046214</v>
      </c>
      <c r="I3572" s="2">
        <v>490367040</v>
      </c>
      <c r="J3572">
        <v>1</v>
      </c>
      <c r="L3572">
        <v>0</v>
      </c>
      <c r="M3572" t="str">
        <f t="shared" si="55"/>
        <v>2010-2020</v>
      </c>
    </row>
    <row r="3573" spans="1:13" hidden="1">
      <c r="A3573" t="s">
        <v>5032</v>
      </c>
      <c r="B3573" t="s">
        <v>61</v>
      </c>
      <c r="C3573" s="1">
        <v>44456</v>
      </c>
      <c r="D3573" s="2">
        <v>732118596</v>
      </c>
      <c r="E3573" s="2">
        <v>62990</v>
      </c>
      <c r="F3573">
        <v>69</v>
      </c>
      <c r="G3573" s="2">
        <v>31242374</v>
      </c>
      <c r="H3573" s="2">
        <v>533953</v>
      </c>
      <c r="J3573">
        <v>74</v>
      </c>
      <c r="L3573">
        <v>0</v>
      </c>
      <c r="M3573" t="str">
        <f t="shared" si="55"/>
        <v>After 2020</v>
      </c>
    </row>
    <row r="3574" spans="1:13">
      <c r="A3574" t="s">
        <v>419</v>
      </c>
      <c r="B3574" t="s">
        <v>520</v>
      </c>
      <c r="C3574" s="1">
        <v>43532</v>
      </c>
      <c r="D3574" s="2">
        <v>676451716</v>
      </c>
      <c r="E3574" s="2">
        <v>70317</v>
      </c>
      <c r="F3574">
        <v>66</v>
      </c>
      <c r="G3574" s="2">
        <v>211922060</v>
      </c>
      <c r="H3574" s="2">
        <v>2621667</v>
      </c>
      <c r="I3574" s="2">
        <v>89270256</v>
      </c>
      <c r="J3574">
        <v>103</v>
      </c>
      <c r="K3574">
        <v>12</v>
      </c>
      <c r="L3574">
        <v>0</v>
      </c>
      <c r="M3574" t="str">
        <f t="shared" si="55"/>
        <v>2010-2020</v>
      </c>
    </row>
    <row r="3575" spans="1:13">
      <c r="A3575" t="s">
        <v>5033</v>
      </c>
      <c r="B3575" t="s">
        <v>3723</v>
      </c>
      <c r="C3575" s="1">
        <v>42467</v>
      </c>
      <c r="D3575" s="2">
        <v>478791369</v>
      </c>
      <c r="E3575" s="2">
        <v>58453</v>
      </c>
      <c r="F3575">
        <v>63</v>
      </c>
      <c r="G3575" s="2">
        <v>964694090</v>
      </c>
      <c r="H3575" s="2">
        <v>6231853</v>
      </c>
      <c r="I3575" s="2">
        <v>281205271</v>
      </c>
      <c r="J3575">
        <v>55</v>
      </c>
      <c r="K3575">
        <v>36</v>
      </c>
      <c r="L3575">
        <v>0</v>
      </c>
      <c r="M3575" t="str">
        <f t="shared" si="55"/>
        <v>2010-2020</v>
      </c>
    </row>
    <row r="3576" spans="1:13">
      <c r="A3576" t="s">
        <v>5034</v>
      </c>
      <c r="B3576" t="s">
        <v>5035</v>
      </c>
      <c r="C3576" s="1">
        <v>45044</v>
      </c>
      <c r="D3576" s="2">
        <v>155454907</v>
      </c>
      <c r="E3576" s="2">
        <v>26701</v>
      </c>
      <c r="F3576">
        <v>73</v>
      </c>
      <c r="G3576" s="2">
        <v>49199015</v>
      </c>
      <c r="H3576" s="2">
        <v>427756</v>
      </c>
      <c r="I3576" s="2">
        <v>2164944</v>
      </c>
      <c r="J3576">
        <v>35</v>
      </c>
      <c r="K3576">
        <v>2</v>
      </c>
      <c r="L3576">
        <v>0</v>
      </c>
      <c r="M3576" t="str">
        <f t="shared" si="55"/>
        <v>After 2020</v>
      </c>
    </row>
    <row r="3577" spans="1:13">
      <c r="A3577" t="s">
        <v>5036</v>
      </c>
      <c r="B3577" t="s">
        <v>413</v>
      </c>
      <c r="C3577" s="1">
        <v>44459</v>
      </c>
      <c r="D3577" s="2">
        <v>34116353</v>
      </c>
      <c r="E3577" s="2">
        <v>10084</v>
      </c>
      <c r="F3577">
        <v>42</v>
      </c>
      <c r="G3577" s="2">
        <v>73393043</v>
      </c>
      <c r="H3577" s="2">
        <v>1278586</v>
      </c>
      <c r="I3577" s="2">
        <v>6661617341</v>
      </c>
      <c r="J3577">
        <v>10</v>
      </c>
      <c r="K3577" s="2">
        <v>1051</v>
      </c>
      <c r="L3577">
        <v>1</v>
      </c>
      <c r="M3577" t="str">
        <f t="shared" si="55"/>
        <v>After 2020</v>
      </c>
    </row>
    <row r="3578" spans="1:13" hidden="1">
      <c r="A3578" t="s">
        <v>5037</v>
      </c>
      <c r="B3578" t="s">
        <v>5038</v>
      </c>
      <c r="C3578" s="1">
        <v>44778</v>
      </c>
      <c r="D3578" s="2">
        <v>86132200</v>
      </c>
      <c r="E3578" s="2">
        <v>50326</v>
      </c>
      <c r="F3578">
        <v>55</v>
      </c>
      <c r="G3578" s="2">
        <v>43654805</v>
      </c>
      <c r="H3578" s="2">
        <v>405433</v>
      </c>
      <c r="I3578" s="2">
        <v>397336191</v>
      </c>
      <c r="J3578">
        <v>12</v>
      </c>
      <c r="L3578">
        <v>1</v>
      </c>
      <c r="M3578" t="str">
        <f t="shared" si="55"/>
        <v>After 2020</v>
      </c>
    </row>
    <row r="3579" spans="1:13" hidden="1">
      <c r="A3579" t="s">
        <v>5039</v>
      </c>
      <c r="B3579" t="s">
        <v>5040</v>
      </c>
      <c r="C3579" s="1">
        <v>45219</v>
      </c>
      <c r="D3579" s="2">
        <v>94305899</v>
      </c>
      <c r="E3579" s="2">
        <v>11356</v>
      </c>
      <c r="F3579">
        <v>72</v>
      </c>
      <c r="G3579" s="2">
        <v>48837884</v>
      </c>
      <c r="H3579" s="2">
        <v>316446</v>
      </c>
      <c r="I3579" s="2">
        <v>73323706</v>
      </c>
      <c r="J3579">
        <v>6</v>
      </c>
      <c r="L3579">
        <v>1</v>
      </c>
      <c r="M3579" t="str">
        <f t="shared" si="55"/>
        <v>After 2020</v>
      </c>
    </row>
    <row r="3580" spans="1:13" hidden="1">
      <c r="A3580" t="s">
        <v>5041</v>
      </c>
      <c r="B3580" t="s">
        <v>157</v>
      </c>
      <c r="C3580" s="1">
        <v>44881</v>
      </c>
      <c r="D3580" s="2">
        <v>158017957</v>
      </c>
      <c r="E3580" s="2">
        <v>35544</v>
      </c>
      <c r="F3580">
        <v>62</v>
      </c>
      <c r="G3580" s="2">
        <v>112378481</v>
      </c>
      <c r="H3580" s="2">
        <v>3043988</v>
      </c>
      <c r="I3580" s="2">
        <v>227308261</v>
      </c>
      <c r="J3580">
        <v>8</v>
      </c>
      <c r="L3580">
        <v>0</v>
      </c>
      <c r="M3580" t="str">
        <f t="shared" si="55"/>
        <v>After 2020</v>
      </c>
    </row>
    <row r="3581" spans="1:13" hidden="1">
      <c r="A3581" t="s">
        <v>5042</v>
      </c>
      <c r="B3581" t="s">
        <v>5043</v>
      </c>
      <c r="C3581" s="1">
        <v>45457</v>
      </c>
      <c r="E3581">
        <v>8</v>
      </c>
      <c r="J3581">
        <v>6</v>
      </c>
      <c r="L3581">
        <v>0</v>
      </c>
      <c r="M3581" t="str">
        <f t="shared" si="55"/>
        <v>After 2020</v>
      </c>
    </row>
    <row r="3582" spans="1:13" hidden="1">
      <c r="A3582" t="s">
        <v>5044</v>
      </c>
      <c r="B3582" t="s">
        <v>5045</v>
      </c>
      <c r="C3582" s="1">
        <v>45010</v>
      </c>
      <c r="G3582" s="2">
        <v>254288195</v>
      </c>
      <c r="H3582" s="2">
        <v>617991</v>
      </c>
      <c r="L3582">
        <v>1</v>
      </c>
      <c r="M3582" t="str">
        <f t="shared" si="55"/>
        <v>After 2020</v>
      </c>
    </row>
    <row r="3583" spans="1:13">
      <c r="A3583" t="s">
        <v>5046</v>
      </c>
      <c r="B3583" t="s">
        <v>5047</v>
      </c>
      <c r="C3583" s="1">
        <v>43518</v>
      </c>
      <c r="D3583" s="2">
        <v>461420009</v>
      </c>
      <c r="E3583" s="2">
        <v>32656</v>
      </c>
      <c r="F3583">
        <v>63</v>
      </c>
      <c r="G3583" s="2">
        <v>97498335</v>
      </c>
      <c r="H3583" s="2">
        <v>724848</v>
      </c>
      <c r="I3583" s="2">
        <v>123888567</v>
      </c>
      <c r="J3583">
        <v>85</v>
      </c>
      <c r="K3583">
        <v>276</v>
      </c>
      <c r="L3583">
        <v>0</v>
      </c>
      <c r="M3583" t="str">
        <f t="shared" si="55"/>
        <v>2010-2020</v>
      </c>
    </row>
    <row r="3584" spans="1:13">
      <c r="A3584" t="s">
        <v>5048</v>
      </c>
      <c r="B3584" t="s">
        <v>3651</v>
      </c>
      <c r="C3584" s="1">
        <v>43839</v>
      </c>
      <c r="D3584" s="2">
        <v>447761883</v>
      </c>
      <c r="E3584" s="2">
        <v>116525</v>
      </c>
      <c r="F3584">
        <v>64</v>
      </c>
      <c r="G3584" s="2">
        <v>183168994</v>
      </c>
      <c r="H3584" s="2">
        <v>2032885</v>
      </c>
      <c r="I3584" s="2">
        <v>367511487</v>
      </c>
      <c r="J3584">
        <v>57</v>
      </c>
      <c r="K3584">
        <v>31</v>
      </c>
      <c r="L3584">
        <v>0</v>
      </c>
      <c r="M3584" t="str">
        <f t="shared" si="55"/>
        <v>2010-2020</v>
      </c>
    </row>
    <row r="3585" spans="1:13" hidden="1">
      <c r="A3585" t="s">
        <v>5049</v>
      </c>
      <c r="B3585" t="s">
        <v>384</v>
      </c>
      <c r="C3585" s="1">
        <v>44764</v>
      </c>
      <c r="D3585" s="2">
        <v>281829019</v>
      </c>
      <c r="E3585" s="2">
        <v>58130</v>
      </c>
      <c r="F3585">
        <v>62</v>
      </c>
      <c r="G3585" s="2">
        <v>49681285</v>
      </c>
      <c r="H3585" s="2">
        <v>476250</v>
      </c>
      <c r="J3585">
        <v>14</v>
      </c>
      <c r="L3585">
        <v>0</v>
      </c>
      <c r="M3585" t="str">
        <f t="shared" si="55"/>
        <v>After 2020</v>
      </c>
    </row>
    <row r="3586" spans="1:13" hidden="1">
      <c r="A3586" t="s">
        <v>5050</v>
      </c>
      <c r="B3586" t="s">
        <v>633</v>
      </c>
      <c r="C3586" s="1">
        <v>45050</v>
      </c>
      <c r="D3586" s="2">
        <v>81623095</v>
      </c>
      <c r="E3586" s="2">
        <v>18046</v>
      </c>
      <c r="F3586">
        <v>59</v>
      </c>
      <c r="G3586" s="2">
        <v>109132919</v>
      </c>
      <c r="H3586" s="2">
        <v>1146510</v>
      </c>
      <c r="J3586">
        <v>18</v>
      </c>
      <c r="L3586">
        <v>1</v>
      </c>
      <c r="M3586" t="str">
        <f t="shared" si="55"/>
        <v>After 2020</v>
      </c>
    </row>
    <row r="3587" spans="1:13">
      <c r="A3587" t="s">
        <v>5051</v>
      </c>
      <c r="B3587" t="s">
        <v>1011</v>
      </c>
      <c r="C3587" s="1">
        <v>41527</v>
      </c>
      <c r="D3587" s="2">
        <v>458706557</v>
      </c>
      <c r="E3587" s="2">
        <v>72270</v>
      </c>
      <c r="F3587">
        <v>58</v>
      </c>
      <c r="G3587" s="2">
        <v>329962266</v>
      </c>
      <c r="H3587" s="2">
        <v>1714163</v>
      </c>
      <c r="I3587" s="2">
        <v>1599868506</v>
      </c>
      <c r="J3587">
        <v>41</v>
      </c>
      <c r="K3587">
        <v>87</v>
      </c>
      <c r="L3587">
        <v>0</v>
      </c>
      <c r="M3587" t="str">
        <f t="shared" ref="M3587:M3650" si="56">IF(YEAR(C3587)&lt;2010,"Before 2010",IF(YEAR(C3587)&lt;=2020,"2010-2020","After 2020"))</f>
        <v>2010-2020</v>
      </c>
    </row>
    <row r="3588" spans="1:13" hidden="1">
      <c r="A3588" t="s">
        <v>5052</v>
      </c>
      <c r="B3588" t="s">
        <v>5053</v>
      </c>
      <c r="C3588" s="1">
        <v>44813</v>
      </c>
      <c r="D3588" s="2">
        <v>224150665</v>
      </c>
      <c r="E3588" s="2">
        <v>33067</v>
      </c>
      <c r="F3588">
        <v>58</v>
      </c>
      <c r="G3588" s="2">
        <v>105711690</v>
      </c>
      <c r="H3588" s="2">
        <v>630231</v>
      </c>
      <c r="I3588" s="2">
        <v>279699428</v>
      </c>
      <c r="J3588">
        <v>7</v>
      </c>
      <c r="L3588">
        <v>1</v>
      </c>
      <c r="M3588" t="str">
        <f t="shared" si="56"/>
        <v>After 2020</v>
      </c>
    </row>
    <row r="3589" spans="1:13" hidden="1">
      <c r="A3589" t="s">
        <v>5054</v>
      </c>
      <c r="B3589" t="s">
        <v>374</v>
      </c>
      <c r="C3589" s="1">
        <v>45442</v>
      </c>
      <c r="D3589" s="2">
        <v>6073281</v>
      </c>
      <c r="E3589">
        <v>592</v>
      </c>
      <c r="F3589">
        <v>67</v>
      </c>
      <c r="G3589" s="2">
        <v>3597876</v>
      </c>
      <c r="H3589" s="2">
        <v>151835</v>
      </c>
      <c r="J3589">
        <v>61</v>
      </c>
      <c r="L3589">
        <v>0</v>
      </c>
      <c r="M3589" t="str">
        <f t="shared" si="56"/>
        <v>After 2020</v>
      </c>
    </row>
    <row r="3590" spans="1:13" hidden="1">
      <c r="A3590" t="s">
        <v>1325</v>
      </c>
      <c r="B3590" t="s">
        <v>5055</v>
      </c>
      <c r="C3590" s="1">
        <v>43587</v>
      </c>
      <c r="D3590" s="2">
        <v>143152814</v>
      </c>
      <c r="E3590" s="2">
        <v>37044</v>
      </c>
      <c r="F3590">
        <v>53</v>
      </c>
      <c r="G3590" s="2">
        <v>111536750</v>
      </c>
      <c r="H3590" s="2">
        <v>1932048</v>
      </c>
      <c r="I3590" s="2">
        <v>56902607</v>
      </c>
      <c r="J3590">
        <v>2</v>
      </c>
      <c r="L3590">
        <v>1</v>
      </c>
      <c r="M3590" t="str">
        <f t="shared" si="56"/>
        <v>2010-2020</v>
      </c>
    </row>
    <row r="3591" spans="1:13" hidden="1">
      <c r="A3591" t="s">
        <v>5056</v>
      </c>
      <c r="B3591" t="s">
        <v>3056</v>
      </c>
      <c r="C3591" s="1">
        <v>45106</v>
      </c>
      <c r="D3591" s="2">
        <v>43844757</v>
      </c>
      <c r="E3591" s="2">
        <v>25855</v>
      </c>
      <c r="F3591">
        <v>56</v>
      </c>
      <c r="G3591" s="2">
        <v>15389226</v>
      </c>
      <c r="H3591" s="2">
        <v>98631</v>
      </c>
      <c r="I3591" s="2">
        <v>1420</v>
      </c>
      <c r="J3591">
        <v>10</v>
      </c>
      <c r="L3591">
        <v>1</v>
      </c>
      <c r="M3591" t="str">
        <f t="shared" si="56"/>
        <v>After 2020</v>
      </c>
    </row>
    <row r="3592" spans="1:13">
      <c r="A3592" t="s">
        <v>5057</v>
      </c>
      <c r="B3592" t="s">
        <v>471</v>
      </c>
      <c r="C3592" s="1">
        <v>44799</v>
      </c>
      <c r="D3592" s="2">
        <v>115581471</v>
      </c>
      <c r="E3592" s="2">
        <v>49847</v>
      </c>
      <c r="F3592">
        <v>60</v>
      </c>
      <c r="G3592" s="2">
        <v>46251839</v>
      </c>
      <c r="H3592" s="2">
        <v>946512</v>
      </c>
      <c r="I3592" s="2">
        <v>93356963</v>
      </c>
      <c r="J3592">
        <v>16</v>
      </c>
      <c r="K3592" s="2">
        <v>1424</v>
      </c>
      <c r="L3592">
        <v>1</v>
      </c>
      <c r="M3592" t="str">
        <f t="shared" si="56"/>
        <v>After 2020</v>
      </c>
    </row>
    <row r="3593" spans="1:13" hidden="1">
      <c r="A3593" t="s">
        <v>5058</v>
      </c>
      <c r="B3593" t="s">
        <v>5059</v>
      </c>
      <c r="C3593" s="1">
        <v>44491</v>
      </c>
      <c r="D3593" s="2">
        <v>1479227</v>
      </c>
      <c r="E3593">
        <v>616</v>
      </c>
      <c r="F3593">
        <v>22</v>
      </c>
      <c r="G3593" s="2">
        <v>105953</v>
      </c>
      <c r="H3593" s="2">
        <v>2195</v>
      </c>
      <c r="I3593" s="2">
        <v>5235190320</v>
      </c>
      <c r="L3593">
        <v>0</v>
      </c>
      <c r="M3593" t="str">
        <f t="shared" si="56"/>
        <v>After 2020</v>
      </c>
    </row>
    <row r="3594" spans="1:13">
      <c r="A3594" t="s">
        <v>5060</v>
      </c>
      <c r="B3594" t="s">
        <v>5035</v>
      </c>
      <c r="C3594" s="1">
        <v>43560</v>
      </c>
      <c r="D3594" s="2">
        <v>654965766</v>
      </c>
      <c r="E3594" s="2">
        <v>124386</v>
      </c>
      <c r="F3594">
        <v>68</v>
      </c>
      <c r="G3594" s="2">
        <v>147035496</v>
      </c>
      <c r="H3594" s="2">
        <v>1383677</v>
      </c>
      <c r="I3594" s="2">
        <v>1859282676</v>
      </c>
      <c r="J3594">
        <v>87</v>
      </c>
      <c r="K3594">
        <v>1</v>
      </c>
      <c r="L3594">
        <v>0</v>
      </c>
      <c r="M3594" t="str">
        <f t="shared" si="56"/>
        <v>2010-2020</v>
      </c>
    </row>
    <row r="3595" spans="1:13">
      <c r="A3595" t="s">
        <v>5061</v>
      </c>
      <c r="B3595" t="s">
        <v>61</v>
      </c>
      <c r="C3595" s="1">
        <v>44855</v>
      </c>
      <c r="D3595" s="2">
        <v>587555589</v>
      </c>
      <c r="E3595" s="2">
        <v>34908</v>
      </c>
      <c r="F3595">
        <v>72</v>
      </c>
      <c r="G3595" s="2">
        <v>43130763</v>
      </c>
      <c r="H3595" s="2">
        <v>357803</v>
      </c>
      <c r="I3595" s="2">
        <v>342958656</v>
      </c>
      <c r="J3595">
        <v>13</v>
      </c>
      <c r="K3595">
        <v>2</v>
      </c>
      <c r="L3595">
        <v>0</v>
      </c>
      <c r="M3595" t="str">
        <f t="shared" si="56"/>
        <v>After 2020</v>
      </c>
    </row>
    <row r="3596" spans="1:13" hidden="1">
      <c r="A3596" t="s">
        <v>5062</v>
      </c>
      <c r="B3596" t="s">
        <v>5063</v>
      </c>
      <c r="C3596" s="1">
        <v>44229</v>
      </c>
      <c r="D3596" s="2">
        <v>116542329</v>
      </c>
      <c r="E3596" s="2">
        <v>41062</v>
      </c>
      <c r="F3596">
        <v>8</v>
      </c>
      <c r="G3596" s="2">
        <v>115229170</v>
      </c>
      <c r="H3596" s="2">
        <v>2436482</v>
      </c>
      <c r="I3596" s="2">
        <v>3964454629</v>
      </c>
      <c r="J3596">
        <v>9</v>
      </c>
      <c r="L3596">
        <v>1</v>
      </c>
      <c r="M3596" t="str">
        <f t="shared" si="56"/>
        <v>After 2020</v>
      </c>
    </row>
    <row r="3597" spans="1:13">
      <c r="A3597" t="s">
        <v>5064</v>
      </c>
      <c r="B3597" t="s">
        <v>747</v>
      </c>
      <c r="C3597" s="1">
        <v>45049</v>
      </c>
      <c r="D3597" s="2">
        <v>156047755</v>
      </c>
      <c r="E3597" s="2">
        <v>31578</v>
      </c>
      <c r="F3597">
        <v>70</v>
      </c>
      <c r="G3597" s="2">
        <v>13251602</v>
      </c>
      <c r="H3597" s="2">
        <v>156992</v>
      </c>
      <c r="I3597" s="2">
        <v>273007809</v>
      </c>
      <c r="J3597">
        <v>1</v>
      </c>
      <c r="K3597">
        <v>507</v>
      </c>
      <c r="L3597">
        <v>1</v>
      </c>
      <c r="M3597" t="str">
        <f t="shared" si="56"/>
        <v>After 2020</v>
      </c>
    </row>
    <row r="3598" spans="1:13" hidden="1">
      <c r="A3598" t="s">
        <v>4220</v>
      </c>
      <c r="B3598" t="s">
        <v>934</v>
      </c>
      <c r="C3598" s="1">
        <v>45380</v>
      </c>
      <c r="D3598" s="2">
        <v>41479958</v>
      </c>
      <c r="E3598" s="2">
        <v>1644</v>
      </c>
      <c r="F3598">
        <v>72</v>
      </c>
      <c r="G3598" s="2">
        <v>25606311</v>
      </c>
      <c r="H3598" s="2">
        <v>481855</v>
      </c>
      <c r="J3598">
        <v>14</v>
      </c>
      <c r="L3598">
        <v>0</v>
      </c>
      <c r="M3598" t="str">
        <f t="shared" si="56"/>
        <v>After 2020</v>
      </c>
    </row>
    <row r="3599" spans="1:13" hidden="1">
      <c r="A3599" t="s">
        <v>2494</v>
      </c>
      <c r="B3599" t="s">
        <v>5065</v>
      </c>
      <c r="C3599" s="1">
        <v>45393</v>
      </c>
      <c r="D3599" s="2">
        <v>26222603</v>
      </c>
      <c r="E3599">
        <v>921</v>
      </c>
      <c r="F3599">
        <v>74</v>
      </c>
      <c r="G3599" s="2">
        <v>23049880</v>
      </c>
      <c r="H3599" s="2">
        <v>275676</v>
      </c>
      <c r="J3599">
        <v>30</v>
      </c>
      <c r="L3599">
        <v>0</v>
      </c>
      <c r="M3599" t="str">
        <f t="shared" si="56"/>
        <v>After 2020</v>
      </c>
    </row>
    <row r="3600" spans="1:13" hidden="1">
      <c r="A3600" t="s">
        <v>5066</v>
      </c>
      <c r="B3600" t="s">
        <v>256</v>
      </c>
      <c r="C3600" s="1">
        <v>42825</v>
      </c>
      <c r="D3600" s="2">
        <v>1135588382</v>
      </c>
      <c r="E3600" s="2">
        <v>132498</v>
      </c>
      <c r="F3600">
        <v>73</v>
      </c>
      <c r="G3600" s="2">
        <v>375823933</v>
      </c>
      <c r="H3600" s="2">
        <v>3028107</v>
      </c>
      <c r="I3600" s="2">
        <v>120059618</v>
      </c>
      <c r="J3600">
        <v>69</v>
      </c>
      <c r="L3600">
        <v>0</v>
      </c>
      <c r="M3600" t="str">
        <f t="shared" si="56"/>
        <v>2010-2020</v>
      </c>
    </row>
    <row r="3601" spans="1:13">
      <c r="A3601" t="s">
        <v>5067</v>
      </c>
      <c r="B3601" t="s">
        <v>61</v>
      </c>
      <c r="C3601" s="1">
        <v>44036</v>
      </c>
      <c r="D3601" s="2">
        <v>757789027</v>
      </c>
      <c r="E3601" s="2">
        <v>81489</v>
      </c>
      <c r="F3601">
        <v>72</v>
      </c>
      <c r="G3601" s="2">
        <v>144150389</v>
      </c>
      <c r="H3601" s="2">
        <v>1468017</v>
      </c>
      <c r="I3601" s="2">
        <v>553360638</v>
      </c>
      <c r="J3601">
        <v>70</v>
      </c>
      <c r="K3601">
        <v>62</v>
      </c>
      <c r="L3601">
        <v>0</v>
      </c>
      <c r="M3601" t="str">
        <f t="shared" si="56"/>
        <v>2010-2020</v>
      </c>
    </row>
    <row r="3602" spans="1:13" hidden="1">
      <c r="A3602" t="s">
        <v>5068</v>
      </c>
      <c r="B3602" t="s">
        <v>391</v>
      </c>
      <c r="C3602" s="1">
        <v>45163</v>
      </c>
      <c r="D3602" s="2">
        <v>116539504</v>
      </c>
      <c r="E3602" s="2">
        <v>7964</v>
      </c>
      <c r="F3602">
        <v>62</v>
      </c>
      <c r="G3602" s="2">
        <v>92628391</v>
      </c>
      <c r="H3602" s="2">
        <v>2102936</v>
      </c>
      <c r="I3602" s="2">
        <v>870565</v>
      </c>
      <c r="J3602">
        <v>7</v>
      </c>
      <c r="L3602">
        <v>0</v>
      </c>
      <c r="M3602" t="str">
        <f t="shared" si="56"/>
        <v>After 2020</v>
      </c>
    </row>
    <row r="3603" spans="1:13" hidden="1">
      <c r="A3603" t="s">
        <v>5069</v>
      </c>
      <c r="B3603" t="s">
        <v>1427</v>
      </c>
      <c r="C3603" s="1">
        <v>45107</v>
      </c>
      <c r="D3603" s="2">
        <v>27244358</v>
      </c>
      <c r="E3603">
        <v>456</v>
      </c>
      <c r="F3603">
        <v>61</v>
      </c>
      <c r="G3603" s="2">
        <v>175350809</v>
      </c>
      <c r="H3603" s="2">
        <v>995898</v>
      </c>
      <c r="L3603">
        <v>0</v>
      </c>
      <c r="M3603" t="str">
        <f t="shared" si="56"/>
        <v>After 2020</v>
      </c>
    </row>
    <row r="3604" spans="1:13" hidden="1">
      <c r="A3604" t="s">
        <v>5070</v>
      </c>
      <c r="B3604" t="s">
        <v>5071</v>
      </c>
      <c r="C3604" s="1">
        <v>45124</v>
      </c>
      <c r="D3604" s="2">
        <v>10694922</v>
      </c>
      <c r="E3604" s="2">
        <v>5363</v>
      </c>
      <c r="F3604">
        <v>50</v>
      </c>
      <c r="G3604" s="2">
        <v>120681039</v>
      </c>
      <c r="H3604" s="2">
        <v>653249</v>
      </c>
      <c r="I3604" s="2">
        <v>16374449</v>
      </c>
      <c r="J3604">
        <v>7</v>
      </c>
      <c r="L3604">
        <v>0</v>
      </c>
      <c r="M3604" t="str">
        <f t="shared" si="56"/>
        <v>After 2020</v>
      </c>
    </row>
    <row r="3605" spans="1:13">
      <c r="A3605" t="s">
        <v>5072</v>
      </c>
      <c r="B3605" t="s">
        <v>5073</v>
      </c>
      <c r="C3605" s="1">
        <v>40909</v>
      </c>
      <c r="D3605" s="2">
        <v>757522352</v>
      </c>
      <c r="E3605" s="2">
        <v>224483</v>
      </c>
      <c r="F3605">
        <v>74</v>
      </c>
      <c r="G3605" s="2">
        <v>101146931</v>
      </c>
      <c r="H3605" s="2">
        <v>1073571</v>
      </c>
      <c r="I3605" s="2">
        <v>450672924</v>
      </c>
      <c r="J3605">
        <v>36</v>
      </c>
      <c r="K3605">
        <v>51</v>
      </c>
      <c r="L3605">
        <v>1</v>
      </c>
      <c r="M3605" t="str">
        <f t="shared" si="56"/>
        <v>2010-2020</v>
      </c>
    </row>
    <row r="3606" spans="1:13" hidden="1">
      <c r="A3606" t="s">
        <v>5074</v>
      </c>
      <c r="B3606" t="s">
        <v>4146</v>
      </c>
      <c r="C3606" s="1">
        <v>45422</v>
      </c>
      <c r="D3606" s="2">
        <v>22463244</v>
      </c>
      <c r="E3606" s="2">
        <v>2291</v>
      </c>
      <c r="F3606">
        <v>73</v>
      </c>
      <c r="G3606" s="2">
        <v>2237688</v>
      </c>
      <c r="H3606" s="2">
        <v>147286</v>
      </c>
      <c r="I3606" s="2">
        <v>272100</v>
      </c>
      <c r="J3606">
        <v>6</v>
      </c>
      <c r="L3606">
        <v>1</v>
      </c>
      <c r="M3606" t="str">
        <f t="shared" si="56"/>
        <v>After 2020</v>
      </c>
    </row>
    <row r="3607" spans="1:13" hidden="1">
      <c r="A3607" t="s">
        <v>5075</v>
      </c>
      <c r="B3607" t="s">
        <v>5076</v>
      </c>
      <c r="C3607" s="1">
        <v>43378</v>
      </c>
      <c r="D3607" s="2">
        <v>46872738</v>
      </c>
      <c r="E3607" s="2">
        <v>21343</v>
      </c>
      <c r="F3607">
        <v>49</v>
      </c>
      <c r="G3607" s="2">
        <v>876122384</v>
      </c>
      <c r="H3607" s="2">
        <v>6497142</v>
      </c>
      <c r="I3607" s="2">
        <v>460636179</v>
      </c>
      <c r="J3607">
        <v>14</v>
      </c>
      <c r="L3607">
        <v>0</v>
      </c>
      <c r="M3607" t="str">
        <f t="shared" si="56"/>
        <v>2010-2020</v>
      </c>
    </row>
    <row r="3608" spans="1:13">
      <c r="A3608" t="s">
        <v>5077</v>
      </c>
      <c r="B3608" t="s">
        <v>2474</v>
      </c>
      <c r="C3608" s="1">
        <v>45037</v>
      </c>
      <c r="D3608" s="2">
        <v>76004507</v>
      </c>
      <c r="E3608" s="2">
        <v>24334</v>
      </c>
      <c r="F3608">
        <v>60</v>
      </c>
      <c r="G3608" s="2">
        <v>9862592</v>
      </c>
      <c r="H3608" s="2">
        <v>231074</v>
      </c>
      <c r="I3608" s="2">
        <v>1467434192</v>
      </c>
      <c r="J3608">
        <v>9</v>
      </c>
      <c r="K3608">
        <v>351</v>
      </c>
      <c r="L3608">
        <v>1</v>
      </c>
      <c r="M3608" t="str">
        <f t="shared" si="56"/>
        <v>After 2020</v>
      </c>
    </row>
    <row r="3609" spans="1:13" hidden="1">
      <c r="A3609" t="s">
        <v>5078</v>
      </c>
      <c r="B3609" t="s">
        <v>1544</v>
      </c>
      <c r="C3609" s="1">
        <v>45310</v>
      </c>
      <c r="D3609" s="2">
        <v>77975794</v>
      </c>
      <c r="E3609" s="2">
        <v>7057</v>
      </c>
      <c r="F3609">
        <v>71</v>
      </c>
      <c r="G3609" s="2">
        <v>27130599</v>
      </c>
      <c r="H3609" s="2">
        <v>231540</v>
      </c>
      <c r="J3609">
        <v>11</v>
      </c>
      <c r="K3609">
        <v>3</v>
      </c>
      <c r="L3609">
        <v>0</v>
      </c>
      <c r="M3609" t="str">
        <f t="shared" si="56"/>
        <v>After 2020</v>
      </c>
    </row>
    <row r="3610" spans="1:13">
      <c r="A3610" t="s">
        <v>5079</v>
      </c>
      <c r="B3610" t="s">
        <v>2307</v>
      </c>
      <c r="C3610" s="1">
        <v>41695</v>
      </c>
      <c r="D3610" s="2">
        <v>562983225</v>
      </c>
      <c r="E3610" s="2">
        <v>52754</v>
      </c>
      <c r="F3610">
        <v>73</v>
      </c>
      <c r="G3610" s="2">
        <v>1452593496</v>
      </c>
      <c r="H3610" s="2">
        <v>4997178</v>
      </c>
      <c r="I3610" s="2">
        <v>314778494</v>
      </c>
      <c r="J3610">
        <v>25</v>
      </c>
      <c r="K3610">
        <v>7</v>
      </c>
      <c r="L3610">
        <v>0</v>
      </c>
      <c r="M3610" t="str">
        <f t="shared" si="56"/>
        <v>2010-2020</v>
      </c>
    </row>
    <row r="3611" spans="1:13" hidden="1">
      <c r="A3611" t="s">
        <v>5080</v>
      </c>
      <c r="B3611" t="s">
        <v>301</v>
      </c>
      <c r="C3611" s="1">
        <v>44988</v>
      </c>
      <c r="D3611" s="2">
        <v>104516305</v>
      </c>
      <c r="E3611" s="2">
        <v>16554</v>
      </c>
      <c r="F3611">
        <v>67</v>
      </c>
      <c r="G3611" s="2">
        <v>44535669</v>
      </c>
      <c r="H3611" s="2">
        <v>284688</v>
      </c>
      <c r="I3611" s="2">
        <v>23849216</v>
      </c>
      <c r="J3611">
        <v>3</v>
      </c>
      <c r="L3611">
        <v>0</v>
      </c>
      <c r="M3611" t="str">
        <f t="shared" si="56"/>
        <v>After 2020</v>
      </c>
    </row>
    <row r="3612" spans="1:13" hidden="1">
      <c r="A3612" t="s">
        <v>5081</v>
      </c>
      <c r="B3612" t="s">
        <v>61</v>
      </c>
      <c r="C3612" s="1">
        <v>43581</v>
      </c>
      <c r="D3612" s="2">
        <v>859985881</v>
      </c>
      <c r="E3612" s="2">
        <v>17061</v>
      </c>
      <c r="G3612" s="2">
        <v>441233054</v>
      </c>
      <c r="H3612" s="2">
        <v>6454290</v>
      </c>
      <c r="J3612">
        <v>112</v>
      </c>
      <c r="L3612">
        <v>0</v>
      </c>
      <c r="M3612" t="str">
        <f t="shared" si="56"/>
        <v>2010-2020</v>
      </c>
    </row>
    <row r="3613" spans="1:13" hidden="1">
      <c r="A3613" t="s">
        <v>5082</v>
      </c>
      <c r="B3613" t="s">
        <v>5083</v>
      </c>
      <c r="C3613" s="1">
        <v>45246</v>
      </c>
      <c r="D3613" s="2">
        <v>44091443</v>
      </c>
      <c r="E3613" s="2">
        <v>4971</v>
      </c>
      <c r="G3613" s="2">
        <v>81099679</v>
      </c>
      <c r="H3613" s="2">
        <v>575459</v>
      </c>
      <c r="I3613" s="2">
        <v>1998040</v>
      </c>
      <c r="L3613">
        <v>0</v>
      </c>
      <c r="M3613" t="str">
        <f t="shared" si="56"/>
        <v>After 2020</v>
      </c>
    </row>
    <row r="3614" spans="1:13" hidden="1">
      <c r="A3614" t="s">
        <v>5084</v>
      </c>
      <c r="B3614" t="s">
        <v>3672</v>
      </c>
      <c r="C3614" s="1">
        <v>45415</v>
      </c>
      <c r="D3614" s="2">
        <v>5588636</v>
      </c>
      <c r="E3614" s="2">
        <v>1252</v>
      </c>
      <c r="G3614" s="2">
        <v>5680064</v>
      </c>
      <c r="H3614" s="2">
        <v>87918</v>
      </c>
      <c r="J3614">
        <v>17</v>
      </c>
      <c r="K3614">
        <v>27</v>
      </c>
      <c r="L3614">
        <v>1</v>
      </c>
      <c r="M3614" t="str">
        <f t="shared" si="56"/>
        <v>After 2020</v>
      </c>
    </row>
    <row r="3615" spans="1:13" hidden="1">
      <c r="A3615" t="s">
        <v>5085</v>
      </c>
      <c r="B3615" t="s">
        <v>1355</v>
      </c>
      <c r="C3615" s="1">
        <v>44160</v>
      </c>
      <c r="D3615" s="2">
        <v>1969714</v>
      </c>
      <c r="E3615">
        <v>502</v>
      </c>
      <c r="F3615">
        <v>29</v>
      </c>
      <c r="G3615" s="2">
        <v>678412558</v>
      </c>
      <c r="H3615" s="2">
        <v>2502471</v>
      </c>
      <c r="I3615" s="2">
        <v>10405552</v>
      </c>
      <c r="L3615">
        <v>0</v>
      </c>
      <c r="M3615" t="str">
        <f t="shared" si="56"/>
        <v>2010-2020</v>
      </c>
    </row>
    <row r="3616" spans="1:13">
      <c r="A3616" t="s">
        <v>5086</v>
      </c>
      <c r="B3616" t="s">
        <v>2307</v>
      </c>
      <c r="C3616" s="1">
        <v>42937</v>
      </c>
      <c r="D3616" s="2">
        <v>494373634</v>
      </c>
      <c r="E3616" s="2">
        <v>45589</v>
      </c>
      <c r="F3616">
        <v>66</v>
      </c>
      <c r="G3616" s="2">
        <v>824555368</v>
      </c>
      <c r="H3616" s="2">
        <v>3078270</v>
      </c>
      <c r="I3616" s="2">
        <v>40949580</v>
      </c>
      <c r="J3616">
        <v>35</v>
      </c>
      <c r="K3616">
        <v>4</v>
      </c>
      <c r="L3616">
        <v>0</v>
      </c>
      <c r="M3616" t="str">
        <f t="shared" si="56"/>
        <v>2010-2020</v>
      </c>
    </row>
    <row r="3617" spans="1:13" hidden="1">
      <c r="A3617" t="s">
        <v>5087</v>
      </c>
      <c r="B3617" t="s">
        <v>3712</v>
      </c>
      <c r="C3617" s="1">
        <v>44594</v>
      </c>
      <c r="D3617" s="2">
        <v>171663870</v>
      </c>
      <c r="E3617" s="2">
        <v>10620</v>
      </c>
      <c r="F3617">
        <v>4</v>
      </c>
      <c r="G3617" s="2">
        <v>169981704</v>
      </c>
      <c r="H3617" s="2">
        <v>823356</v>
      </c>
      <c r="I3617" s="2">
        <v>4039554717</v>
      </c>
      <c r="J3617">
        <v>5</v>
      </c>
      <c r="L3617">
        <v>0</v>
      </c>
      <c r="M3617" t="str">
        <f t="shared" si="56"/>
        <v>After 2020</v>
      </c>
    </row>
    <row r="3618" spans="1:13">
      <c r="A3618" t="s">
        <v>5088</v>
      </c>
      <c r="B3618" t="s">
        <v>4056</v>
      </c>
      <c r="C3618" s="1">
        <v>44988</v>
      </c>
      <c r="D3618" s="2">
        <v>88771696</v>
      </c>
      <c r="E3618" s="2">
        <v>46086</v>
      </c>
      <c r="F3618">
        <v>62</v>
      </c>
      <c r="G3618" s="2">
        <v>11580205</v>
      </c>
      <c r="H3618" s="2">
        <v>273458</v>
      </c>
      <c r="I3618" s="2">
        <v>13785559</v>
      </c>
      <c r="J3618">
        <v>3</v>
      </c>
      <c r="K3618">
        <v>35</v>
      </c>
      <c r="L3618">
        <v>1</v>
      </c>
      <c r="M3618" t="str">
        <f t="shared" si="56"/>
        <v>After 2020</v>
      </c>
    </row>
    <row r="3619" spans="1:13" hidden="1">
      <c r="A3619" t="s">
        <v>5089</v>
      </c>
      <c r="B3619" t="s">
        <v>4596</v>
      </c>
      <c r="C3619" s="1">
        <v>45121</v>
      </c>
      <c r="D3619" s="2">
        <v>28945482</v>
      </c>
      <c r="E3619" s="2">
        <v>3303</v>
      </c>
      <c r="F3619">
        <v>52</v>
      </c>
      <c r="I3619" s="2">
        <v>1916491</v>
      </c>
      <c r="J3619">
        <v>10</v>
      </c>
      <c r="K3619">
        <v>2</v>
      </c>
      <c r="L3619">
        <v>0</v>
      </c>
      <c r="M3619" t="str">
        <f t="shared" si="56"/>
        <v>After 2020</v>
      </c>
    </row>
    <row r="3620" spans="1:13" hidden="1">
      <c r="A3620" t="s">
        <v>5090</v>
      </c>
      <c r="B3620" t="s">
        <v>502</v>
      </c>
      <c r="C3620" s="1">
        <v>44910</v>
      </c>
      <c r="D3620" s="2">
        <v>325264193</v>
      </c>
      <c r="E3620" s="2">
        <v>47780</v>
      </c>
      <c r="F3620">
        <v>70</v>
      </c>
      <c r="I3620" s="2">
        <v>83764776</v>
      </c>
      <c r="J3620">
        <v>9</v>
      </c>
      <c r="K3620">
        <v>20</v>
      </c>
      <c r="L3620">
        <v>1</v>
      </c>
      <c r="M3620" t="str">
        <f t="shared" si="56"/>
        <v>After 2020</v>
      </c>
    </row>
    <row r="3621" spans="1:13" hidden="1">
      <c r="A3621" t="s">
        <v>5091</v>
      </c>
      <c r="B3621" t="s">
        <v>5092</v>
      </c>
      <c r="C3621" s="1">
        <v>43238</v>
      </c>
      <c r="D3621" s="2">
        <v>229366200</v>
      </c>
      <c r="E3621" s="2">
        <v>37923</v>
      </c>
      <c r="F3621">
        <v>55</v>
      </c>
      <c r="G3621" s="2">
        <v>96307326</v>
      </c>
      <c r="H3621" s="2">
        <v>1364046</v>
      </c>
      <c r="I3621" s="2">
        <v>815192203</v>
      </c>
      <c r="J3621">
        <v>47</v>
      </c>
      <c r="L3621">
        <v>0</v>
      </c>
      <c r="M3621" t="str">
        <f t="shared" si="56"/>
        <v>2010-2020</v>
      </c>
    </row>
    <row r="3622" spans="1:13">
      <c r="A3622" t="s">
        <v>5093</v>
      </c>
      <c r="B3622" t="s">
        <v>5094</v>
      </c>
      <c r="C3622" s="1">
        <v>45037</v>
      </c>
      <c r="D3622" s="2">
        <v>79045342</v>
      </c>
      <c r="E3622" s="2">
        <v>18284</v>
      </c>
      <c r="F3622">
        <v>55</v>
      </c>
      <c r="G3622" s="2">
        <v>34142538</v>
      </c>
      <c r="H3622" s="2">
        <v>565870</v>
      </c>
      <c r="I3622" s="2">
        <v>105037367</v>
      </c>
      <c r="J3622">
        <v>42</v>
      </c>
      <c r="K3622">
        <v>858</v>
      </c>
      <c r="L3622">
        <v>1</v>
      </c>
      <c r="M3622" t="str">
        <f t="shared" si="56"/>
        <v>After 2020</v>
      </c>
    </row>
    <row r="3623" spans="1:13">
      <c r="A3623" t="s">
        <v>5095</v>
      </c>
      <c r="B3623" t="s">
        <v>755</v>
      </c>
      <c r="C3623" s="1">
        <v>43999</v>
      </c>
      <c r="D3623" s="2">
        <v>354643707</v>
      </c>
      <c r="E3623" s="2">
        <v>30447</v>
      </c>
      <c r="F3623">
        <v>68</v>
      </c>
      <c r="G3623" s="2">
        <v>529909818</v>
      </c>
      <c r="H3623" s="2">
        <v>8469062</v>
      </c>
      <c r="I3623" s="2">
        <v>703479878</v>
      </c>
      <c r="J3623">
        <v>14</v>
      </c>
      <c r="K3623">
        <v>20</v>
      </c>
      <c r="L3623">
        <v>0</v>
      </c>
      <c r="M3623" t="str">
        <f t="shared" si="56"/>
        <v>2010-2020</v>
      </c>
    </row>
    <row r="3624" spans="1:13">
      <c r="A3624" t="s">
        <v>5096</v>
      </c>
      <c r="B3624" t="s">
        <v>1654</v>
      </c>
      <c r="C3624" s="1">
        <v>43252</v>
      </c>
      <c r="D3624" s="2">
        <v>752708868</v>
      </c>
      <c r="E3624" s="2">
        <v>62653</v>
      </c>
      <c r="F3624">
        <v>70</v>
      </c>
      <c r="G3624" s="2">
        <v>535764821</v>
      </c>
      <c r="H3624" s="2">
        <v>2159262</v>
      </c>
      <c r="I3624" s="2">
        <v>427823320</v>
      </c>
      <c r="J3624">
        <v>68</v>
      </c>
      <c r="K3624">
        <v>69</v>
      </c>
      <c r="L3624">
        <v>0</v>
      </c>
      <c r="M3624" t="str">
        <f t="shared" si="56"/>
        <v>2010-2020</v>
      </c>
    </row>
    <row r="3625" spans="1:13" hidden="1">
      <c r="A3625" t="s">
        <v>5097</v>
      </c>
      <c r="B3625" t="s">
        <v>2728</v>
      </c>
      <c r="C3625" s="1">
        <v>41275</v>
      </c>
      <c r="D3625" s="2">
        <v>2185240293</v>
      </c>
      <c r="E3625" s="2">
        <v>277753</v>
      </c>
      <c r="F3625">
        <v>86</v>
      </c>
      <c r="G3625" s="2">
        <v>109538379</v>
      </c>
      <c r="H3625" s="2">
        <v>1268458</v>
      </c>
      <c r="I3625" s="2">
        <v>105020737</v>
      </c>
      <c r="J3625">
        <v>39</v>
      </c>
      <c r="L3625">
        <v>0</v>
      </c>
      <c r="M3625" t="str">
        <f t="shared" si="56"/>
        <v>2010-2020</v>
      </c>
    </row>
    <row r="3626" spans="1:13">
      <c r="A3626" t="s">
        <v>1231</v>
      </c>
      <c r="B3626" t="s">
        <v>285</v>
      </c>
      <c r="C3626" s="1">
        <v>40909</v>
      </c>
      <c r="D3626" s="2">
        <v>538918222</v>
      </c>
      <c r="E3626" s="2">
        <v>73149</v>
      </c>
      <c r="F3626">
        <v>70</v>
      </c>
      <c r="G3626" s="2">
        <v>992302781</v>
      </c>
      <c r="H3626" s="2">
        <v>6629367</v>
      </c>
      <c r="I3626" s="2">
        <v>149188520</v>
      </c>
      <c r="J3626">
        <v>43</v>
      </c>
      <c r="K3626">
        <v>66</v>
      </c>
      <c r="L3626">
        <v>0</v>
      </c>
      <c r="M3626" t="str">
        <f t="shared" si="56"/>
        <v>2010-2020</v>
      </c>
    </row>
    <row r="3627" spans="1:13" hidden="1">
      <c r="A3627" t="s">
        <v>5098</v>
      </c>
      <c r="B3627" t="s">
        <v>5099</v>
      </c>
      <c r="C3627" s="1">
        <v>45222</v>
      </c>
      <c r="D3627" s="2">
        <v>77600263</v>
      </c>
      <c r="E3627" s="2">
        <v>13012</v>
      </c>
      <c r="G3627" s="2">
        <v>50406342</v>
      </c>
      <c r="H3627" s="2">
        <v>923571</v>
      </c>
      <c r="I3627" s="2">
        <v>80073768</v>
      </c>
      <c r="L3627">
        <v>0</v>
      </c>
      <c r="M3627" t="str">
        <f t="shared" si="56"/>
        <v>After 2020</v>
      </c>
    </row>
    <row r="3628" spans="1:13">
      <c r="A3628" t="s">
        <v>5100</v>
      </c>
      <c r="B3628" t="s">
        <v>2267</v>
      </c>
      <c r="C3628" s="1">
        <v>41575</v>
      </c>
      <c r="D3628" s="2">
        <v>1275036167</v>
      </c>
      <c r="E3628" s="2">
        <v>143693</v>
      </c>
      <c r="F3628">
        <v>79</v>
      </c>
      <c r="G3628" s="2">
        <v>264658339</v>
      </c>
      <c r="H3628" s="2">
        <v>3696633</v>
      </c>
      <c r="I3628" s="2">
        <v>862277477</v>
      </c>
      <c r="J3628">
        <v>101</v>
      </c>
      <c r="K3628">
        <v>111</v>
      </c>
      <c r="L3628">
        <v>0</v>
      </c>
      <c r="M3628" t="str">
        <f t="shared" si="56"/>
        <v>2010-2020</v>
      </c>
    </row>
    <row r="3629" spans="1:13">
      <c r="A3629" t="s">
        <v>5101</v>
      </c>
      <c r="B3629" t="s">
        <v>5102</v>
      </c>
      <c r="C3629" s="1">
        <v>44596</v>
      </c>
      <c r="D3629" s="2">
        <v>128264127</v>
      </c>
      <c r="E3629" s="2">
        <v>34856</v>
      </c>
      <c r="F3629">
        <v>57</v>
      </c>
      <c r="G3629" s="2">
        <v>57252735</v>
      </c>
      <c r="H3629" s="2">
        <v>907529</v>
      </c>
      <c r="I3629" s="2">
        <v>20590526</v>
      </c>
      <c r="J3629">
        <v>21</v>
      </c>
      <c r="K3629">
        <v>100</v>
      </c>
      <c r="L3629">
        <v>0</v>
      </c>
      <c r="M3629" t="str">
        <f t="shared" si="56"/>
        <v>After 2020</v>
      </c>
    </row>
    <row r="3630" spans="1:13" hidden="1">
      <c r="A3630" t="s">
        <v>5103</v>
      </c>
      <c r="B3630" t="s">
        <v>5104</v>
      </c>
      <c r="C3630" s="1">
        <v>45324</v>
      </c>
      <c r="D3630" s="2">
        <v>37634335</v>
      </c>
      <c r="E3630" s="2">
        <v>4046</v>
      </c>
      <c r="F3630">
        <v>21</v>
      </c>
      <c r="G3630" s="2">
        <v>12646991</v>
      </c>
      <c r="H3630" s="2">
        <v>155250</v>
      </c>
      <c r="J3630">
        <v>7</v>
      </c>
      <c r="K3630">
        <v>43</v>
      </c>
      <c r="L3630">
        <v>0</v>
      </c>
      <c r="M3630" t="str">
        <f t="shared" si="56"/>
        <v>After 2020</v>
      </c>
    </row>
    <row r="3631" spans="1:13" hidden="1">
      <c r="A3631" t="s">
        <v>5105</v>
      </c>
      <c r="B3631" t="s">
        <v>63</v>
      </c>
      <c r="C3631" s="1">
        <v>45268</v>
      </c>
      <c r="D3631" s="2">
        <v>120880428</v>
      </c>
      <c r="E3631" s="2">
        <v>10296</v>
      </c>
      <c r="G3631" s="2">
        <v>11115978</v>
      </c>
      <c r="H3631" s="2">
        <v>143233</v>
      </c>
      <c r="J3631">
        <v>25</v>
      </c>
      <c r="K3631">
        <v>307</v>
      </c>
      <c r="L3631">
        <v>1</v>
      </c>
      <c r="M3631" t="str">
        <f t="shared" si="56"/>
        <v>After 2020</v>
      </c>
    </row>
    <row r="3632" spans="1:13" hidden="1">
      <c r="A3632" t="s">
        <v>5106</v>
      </c>
      <c r="B3632" t="s">
        <v>5107</v>
      </c>
      <c r="C3632" s="1">
        <v>45009</v>
      </c>
      <c r="D3632" s="2">
        <v>152454686</v>
      </c>
      <c r="E3632" s="2">
        <v>34461</v>
      </c>
      <c r="F3632">
        <v>65</v>
      </c>
      <c r="J3632">
        <v>4</v>
      </c>
      <c r="L3632">
        <v>1</v>
      </c>
      <c r="M3632" t="str">
        <f t="shared" si="56"/>
        <v>After 2020</v>
      </c>
    </row>
    <row r="3633" spans="1:13" hidden="1">
      <c r="A3633" t="s">
        <v>5108</v>
      </c>
      <c r="B3633" t="s">
        <v>1238</v>
      </c>
      <c r="C3633" s="1">
        <v>44155</v>
      </c>
      <c r="D3633" s="2">
        <v>10848948</v>
      </c>
      <c r="E3633" s="2">
        <v>1036</v>
      </c>
      <c r="F3633">
        <v>45</v>
      </c>
      <c r="G3633" s="2">
        <v>681881643</v>
      </c>
      <c r="H3633" s="2">
        <v>3559389</v>
      </c>
      <c r="I3633" s="2">
        <v>1327611</v>
      </c>
      <c r="L3633">
        <v>0</v>
      </c>
      <c r="M3633" t="str">
        <f t="shared" si="56"/>
        <v>2010-2020</v>
      </c>
    </row>
    <row r="3634" spans="1:13">
      <c r="A3634" t="s">
        <v>673</v>
      </c>
      <c r="B3634" t="s">
        <v>5109</v>
      </c>
      <c r="C3634" s="1">
        <v>37987</v>
      </c>
      <c r="D3634" s="2">
        <v>971172980</v>
      </c>
      <c r="E3634" s="2">
        <v>146441</v>
      </c>
      <c r="F3634">
        <v>70</v>
      </c>
      <c r="G3634" s="2">
        <v>996052113</v>
      </c>
      <c r="H3634" s="2">
        <v>5781852</v>
      </c>
      <c r="I3634" s="2">
        <v>171491357</v>
      </c>
      <c r="J3634">
        <v>119</v>
      </c>
      <c r="K3634">
        <v>106</v>
      </c>
      <c r="L3634">
        <v>0</v>
      </c>
      <c r="M3634" t="str">
        <f t="shared" si="56"/>
        <v>Before 2010</v>
      </c>
    </row>
    <row r="3635" spans="1:13">
      <c r="A3635" t="s">
        <v>4226</v>
      </c>
      <c r="B3635" t="s">
        <v>5110</v>
      </c>
      <c r="C3635" s="1">
        <v>42475</v>
      </c>
      <c r="D3635" s="2">
        <v>353525330</v>
      </c>
      <c r="E3635" s="2">
        <v>59509</v>
      </c>
      <c r="F3635">
        <v>65</v>
      </c>
      <c r="G3635" s="2">
        <v>1004545222</v>
      </c>
      <c r="H3635" s="2">
        <v>7106869</v>
      </c>
      <c r="I3635" s="2">
        <v>151019644</v>
      </c>
      <c r="J3635">
        <v>21</v>
      </c>
      <c r="K3635">
        <v>4</v>
      </c>
      <c r="L3635">
        <v>0</v>
      </c>
      <c r="M3635" t="str">
        <f t="shared" si="56"/>
        <v>2010-2020</v>
      </c>
    </row>
    <row r="3636" spans="1:13" hidden="1">
      <c r="A3636" t="s">
        <v>5111</v>
      </c>
      <c r="B3636" t="s">
        <v>5112</v>
      </c>
      <c r="C3636" s="1">
        <v>45273</v>
      </c>
      <c r="D3636" s="2">
        <v>26036782</v>
      </c>
      <c r="E3636" s="2">
        <v>13038</v>
      </c>
      <c r="G3636" s="2">
        <v>4008686</v>
      </c>
      <c r="H3636" s="2">
        <v>45996</v>
      </c>
      <c r="J3636">
        <v>5</v>
      </c>
      <c r="K3636">
        <v>36</v>
      </c>
      <c r="L3636">
        <v>0</v>
      </c>
      <c r="M3636" t="str">
        <f t="shared" si="56"/>
        <v>After 2020</v>
      </c>
    </row>
    <row r="3637" spans="1:13" hidden="1">
      <c r="A3637" t="s">
        <v>5113</v>
      </c>
      <c r="B3637" t="s">
        <v>5114</v>
      </c>
      <c r="C3637" s="1">
        <v>43046</v>
      </c>
      <c r="D3637" s="2">
        <v>54678867</v>
      </c>
      <c r="E3637" s="2">
        <v>18538</v>
      </c>
      <c r="F3637">
        <v>46</v>
      </c>
      <c r="G3637" s="2">
        <v>1004615686</v>
      </c>
      <c r="H3637" s="2">
        <v>7493088</v>
      </c>
      <c r="I3637" s="2">
        <v>816621236</v>
      </c>
      <c r="J3637">
        <v>4</v>
      </c>
      <c r="L3637">
        <v>0</v>
      </c>
      <c r="M3637" t="str">
        <f t="shared" si="56"/>
        <v>2010-2020</v>
      </c>
    </row>
    <row r="3638" spans="1:13">
      <c r="A3638" t="s">
        <v>5115</v>
      </c>
      <c r="B3638" t="s">
        <v>5116</v>
      </c>
      <c r="C3638" s="1">
        <v>43595</v>
      </c>
      <c r="D3638" s="2">
        <v>785139012</v>
      </c>
      <c r="E3638" s="2">
        <v>119530</v>
      </c>
      <c r="F3638">
        <v>73</v>
      </c>
      <c r="G3638" s="2">
        <v>147215663</v>
      </c>
      <c r="H3638" s="2">
        <v>1730949</v>
      </c>
      <c r="I3638" s="2">
        <v>594352793</v>
      </c>
      <c r="J3638">
        <v>23</v>
      </c>
      <c r="K3638">
        <v>399</v>
      </c>
      <c r="L3638">
        <v>0</v>
      </c>
      <c r="M3638" t="str">
        <f t="shared" si="56"/>
        <v>2010-2020</v>
      </c>
    </row>
    <row r="3639" spans="1:13" hidden="1">
      <c r="A3639" t="s">
        <v>5117</v>
      </c>
      <c r="B3639" t="s">
        <v>807</v>
      </c>
      <c r="C3639" s="1">
        <v>45425</v>
      </c>
      <c r="D3639" s="2">
        <v>7362358</v>
      </c>
      <c r="E3639" s="2">
        <v>1483</v>
      </c>
      <c r="G3639" s="2">
        <v>6647943</v>
      </c>
      <c r="H3639" s="2">
        <v>266158</v>
      </c>
      <c r="J3639">
        <v>17</v>
      </c>
      <c r="L3639">
        <v>1</v>
      </c>
      <c r="M3639" t="str">
        <f t="shared" si="56"/>
        <v>After 2020</v>
      </c>
    </row>
    <row r="3640" spans="1:13" hidden="1">
      <c r="A3640" t="s">
        <v>5118</v>
      </c>
      <c r="B3640" t="s">
        <v>59</v>
      </c>
      <c r="C3640" s="1">
        <v>44180</v>
      </c>
      <c r="D3640" s="2">
        <v>243931915</v>
      </c>
      <c r="E3640" s="2">
        <v>57909</v>
      </c>
      <c r="F3640">
        <v>62</v>
      </c>
      <c r="G3640" s="2">
        <v>337123245</v>
      </c>
      <c r="H3640" s="2">
        <v>1592106</v>
      </c>
      <c r="I3640" s="2">
        <v>116038150</v>
      </c>
      <c r="J3640">
        <v>24</v>
      </c>
      <c r="L3640">
        <v>1</v>
      </c>
      <c r="M3640" t="str">
        <f t="shared" si="56"/>
        <v>2010-2020</v>
      </c>
    </row>
    <row r="3641" spans="1:13">
      <c r="A3641" t="s">
        <v>5119</v>
      </c>
      <c r="B3641" t="s">
        <v>5120</v>
      </c>
      <c r="C3641" s="1">
        <v>40909</v>
      </c>
      <c r="D3641" s="2">
        <v>646295324</v>
      </c>
      <c r="E3641" s="2">
        <v>96138</v>
      </c>
      <c r="F3641">
        <v>71</v>
      </c>
      <c r="G3641" s="2">
        <v>719570982</v>
      </c>
      <c r="H3641" s="2">
        <v>5771711</v>
      </c>
      <c r="I3641" s="2">
        <v>1264756176</v>
      </c>
      <c r="J3641">
        <v>112</v>
      </c>
      <c r="K3641">
        <v>164</v>
      </c>
      <c r="L3641">
        <v>0</v>
      </c>
      <c r="M3641" t="str">
        <f t="shared" si="56"/>
        <v>2010-2020</v>
      </c>
    </row>
    <row r="3642" spans="1:13">
      <c r="A3642" t="s">
        <v>5121</v>
      </c>
      <c r="B3642" t="s">
        <v>1067</v>
      </c>
      <c r="C3642" s="1">
        <v>43790</v>
      </c>
      <c r="D3642" s="2">
        <v>382565051</v>
      </c>
      <c r="E3642" s="2">
        <v>85310</v>
      </c>
      <c r="F3642">
        <v>69</v>
      </c>
      <c r="G3642" s="2">
        <v>121875542</v>
      </c>
      <c r="H3642" s="2">
        <v>986189</v>
      </c>
      <c r="I3642" s="2">
        <v>123745488</v>
      </c>
      <c r="J3642">
        <v>55</v>
      </c>
      <c r="K3642">
        <v>24</v>
      </c>
      <c r="L3642">
        <v>0</v>
      </c>
      <c r="M3642" t="str">
        <f t="shared" si="56"/>
        <v>2010-2020</v>
      </c>
    </row>
    <row r="3643" spans="1:13" hidden="1">
      <c r="A3643" t="s">
        <v>5122</v>
      </c>
      <c r="B3643" t="s">
        <v>5123</v>
      </c>
      <c r="C3643" s="1">
        <v>44969</v>
      </c>
      <c r="D3643" s="2">
        <v>5828713</v>
      </c>
      <c r="E3643">
        <v>790</v>
      </c>
      <c r="G3643" s="2">
        <v>251302629</v>
      </c>
      <c r="H3643" s="2">
        <v>2884972</v>
      </c>
      <c r="J3643">
        <v>2</v>
      </c>
      <c r="L3643">
        <v>0</v>
      </c>
      <c r="M3643" t="str">
        <f t="shared" si="56"/>
        <v>After 2020</v>
      </c>
    </row>
    <row r="3644" spans="1:13">
      <c r="A3644" t="s">
        <v>5124</v>
      </c>
      <c r="B3644" t="s">
        <v>5125</v>
      </c>
      <c r="C3644" s="1">
        <v>42145</v>
      </c>
      <c r="D3644" s="2">
        <v>642037328</v>
      </c>
      <c r="E3644" s="2">
        <v>56621</v>
      </c>
      <c r="F3644">
        <v>67</v>
      </c>
      <c r="G3644" s="2">
        <v>1143353058</v>
      </c>
      <c r="H3644" s="2">
        <v>9332783</v>
      </c>
      <c r="I3644" s="2">
        <v>290754721</v>
      </c>
      <c r="J3644">
        <v>110</v>
      </c>
      <c r="K3644">
        <v>2</v>
      </c>
      <c r="L3644">
        <v>0</v>
      </c>
      <c r="M3644" t="str">
        <f t="shared" si="56"/>
        <v>2010-2020</v>
      </c>
    </row>
    <row r="3645" spans="1:13">
      <c r="A3645" t="s">
        <v>5126</v>
      </c>
      <c r="B3645" t="s">
        <v>1758</v>
      </c>
      <c r="C3645" s="1">
        <v>41581</v>
      </c>
      <c r="D3645" s="2">
        <v>1142061871</v>
      </c>
      <c r="E3645" s="2">
        <v>140545</v>
      </c>
      <c r="F3645">
        <v>79</v>
      </c>
      <c r="G3645" s="2">
        <v>265620751</v>
      </c>
      <c r="H3645" s="2">
        <v>1528733</v>
      </c>
      <c r="I3645" s="2">
        <v>42711557</v>
      </c>
      <c r="J3645">
        <v>183</v>
      </c>
      <c r="K3645">
        <v>208</v>
      </c>
      <c r="L3645">
        <v>0</v>
      </c>
      <c r="M3645" t="str">
        <f t="shared" si="56"/>
        <v>2010-2020</v>
      </c>
    </row>
    <row r="3646" spans="1:13" hidden="1">
      <c r="A3646" t="s">
        <v>5127</v>
      </c>
      <c r="B3646" t="s">
        <v>5128</v>
      </c>
      <c r="C3646" s="1">
        <v>45016</v>
      </c>
      <c r="E3646">
        <v>2</v>
      </c>
      <c r="G3646" s="2">
        <v>244228052</v>
      </c>
      <c r="H3646" s="2">
        <v>570281</v>
      </c>
      <c r="L3646">
        <v>0</v>
      </c>
      <c r="M3646" t="str">
        <f t="shared" si="56"/>
        <v>After 2020</v>
      </c>
    </row>
    <row r="3647" spans="1:13" hidden="1">
      <c r="A3647" t="s">
        <v>5129</v>
      </c>
      <c r="B3647" t="s">
        <v>3208</v>
      </c>
      <c r="C3647" s="1">
        <v>45408</v>
      </c>
      <c r="D3647" s="2">
        <v>27813921</v>
      </c>
      <c r="E3647" s="2">
        <v>1325</v>
      </c>
      <c r="F3647">
        <v>75</v>
      </c>
      <c r="G3647" s="2">
        <v>12969075</v>
      </c>
      <c r="H3647" s="2">
        <v>88088</v>
      </c>
      <c r="J3647">
        <v>5</v>
      </c>
      <c r="L3647">
        <v>0</v>
      </c>
      <c r="M3647" t="str">
        <f t="shared" si="56"/>
        <v>After 2020</v>
      </c>
    </row>
    <row r="3648" spans="1:13">
      <c r="A3648" t="s">
        <v>5130</v>
      </c>
      <c r="B3648" t="s">
        <v>3421</v>
      </c>
      <c r="C3648" s="1">
        <v>42643</v>
      </c>
      <c r="D3648" s="2">
        <v>162240700</v>
      </c>
      <c r="E3648" s="2">
        <v>16013</v>
      </c>
      <c r="F3648">
        <v>54</v>
      </c>
      <c r="G3648" s="2">
        <v>168005056</v>
      </c>
      <c r="H3648" s="2">
        <v>764995</v>
      </c>
      <c r="I3648" s="2">
        <v>1426765550</v>
      </c>
      <c r="J3648">
        <v>10</v>
      </c>
      <c r="K3648">
        <v>5</v>
      </c>
      <c r="L3648">
        <v>0</v>
      </c>
      <c r="M3648" t="str">
        <f t="shared" si="56"/>
        <v>2010-2020</v>
      </c>
    </row>
    <row r="3649" spans="1:13" hidden="1">
      <c r="A3649" t="s">
        <v>5131</v>
      </c>
      <c r="B3649" t="s">
        <v>5132</v>
      </c>
      <c r="C3649" s="1">
        <v>45142</v>
      </c>
      <c r="D3649" s="2">
        <v>117290821</v>
      </c>
      <c r="E3649" s="2">
        <v>8229</v>
      </c>
      <c r="F3649">
        <v>62</v>
      </c>
      <c r="G3649" s="2">
        <v>79061420</v>
      </c>
      <c r="H3649" s="2">
        <v>533194</v>
      </c>
      <c r="I3649" s="2">
        <v>201566991</v>
      </c>
      <c r="J3649">
        <v>5</v>
      </c>
      <c r="L3649">
        <v>1</v>
      </c>
      <c r="M3649" t="str">
        <f t="shared" si="56"/>
        <v>After 2020</v>
      </c>
    </row>
    <row r="3650" spans="1:13">
      <c r="A3650" t="s">
        <v>5133</v>
      </c>
      <c r="B3650" t="s">
        <v>2047</v>
      </c>
      <c r="C3650" s="1">
        <v>44356</v>
      </c>
      <c r="D3650" s="2">
        <v>224295163</v>
      </c>
      <c r="E3650" s="2">
        <v>24906</v>
      </c>
      <c r="F3650">
        <v>62</v>
      </c>
      <c r="G3650" s="2">
        <v>398036555</v>
      </c>
      <c r="H3650" s="2">
        <v>5248109</v>
      </c>
      <c r="I3650" s="2">
        <v>811061720</v>
      </c>
      <c r="J3650">
        <v>25</v>
      </c>
      <c r="K3650">
        <v>46</v>
      </c>
      <c r="L3650">
        <v>0</v>
      </c>
      <c r="M3650" t="str">
        <f t="shared" si="56"/>
        <v>After 2020</v>
      </c>
    </row>
    <row r="3651" spans="1:13" hidden="1">
      <c r="A3651" t="s">
        <v>5134</v>
      </c>
      <c r="B3651" t="s">
        <v>5135</v>
      </c>
      <c r="C3651" s="1">
        <v>43101</v>
      </c>
      <c r="D3651" s="2">
        <v>228588822</v>
      </c>
      <c r="E3651" s="2">
        <v>55077</v>
      </c>
      <c r="F3651">
        <v>63</v>
      </c>
      <c r="G3651" s="2">
        <v>526305086</v>
      </c>
      <c r="H3651" s="2">
        <v>5736409</v>
      </c>
      <c r="I3651" s="2">
        <v>3551204518</v>
      </c>
      <c r="J3651">
        <v>12</v>
      </c>
      <c r="L3651">
        <v>0</v>
      </c>
      <c r="M3651" t="str">
        <f t="shared" ref="M3651:M3714" si="57">IF(YEAR(C3651)&lt;2010,"Before 2010",IF(YEAR(C3651)&lt;=2020,"2010-2020","After 2020"))</f>
        <v>2010-2020</v>
      </c>
    </row>
    <row r="3652" spans="1:13">
      <c r="A3652" t="s">
        <v>5136</v>
      </c>
      <c r="B3652" t="s">
        <v>2055</v>
      </c>
      <c r="C3652" s="1">
        <v>44712</v>
      </c>
      <c r="D3652" s="2">
        <v>122568479</v>
      </c>
      <c r="E3652" s="2">
        <v>33824</v>
      </c>
      <c r="F3652">
        <v>68</v>
      </c>
      <c r="G3652" s="2">
        <v>109752215</v>
      </c>
      <c r="H3652" s="2">
        <v>1100224</v>
      </c>
      <c r="I3652" s="2">
        <v>33939631</v>
      </c>
      <c r="J3652">
        <v>7</v>
      </c>
      <c r="K3652">
        <v>106</v>
      </c>
      <c r="L3652">
        <v>1</v>
      </c>
      <c r="M3652" t="str">
        <f t="shared" si="57"/>
        <v>After 2020</v>
      </c>
    </row>
    <row r="3653" spans="1:13" hidden="1">
      <c r="A3653" t="s">
        <v>5137</v>
      </c>
      <c r="B3653" t="s">
        <v>5138</v>
      </c>
      <c r="C3653" s="1">
        <v>45393</v>
      </c>
      <c r="D3653" s="2">
        <v>29683046</v>
      </c>
      <c r="E3653" s="2">
        <v>4064</v>
      </c>
      <c r="F3653">
        <v>80</v>
      </c>
      <c r="G3653" s="2">
        <v>7710244</v>
      </c>
      <c r="H3653" s="2">
        <v>112034</v>
      </c>
      <c r="J3653">
        <v>10</v>
      </c>
      <c r="L3653">
        <v>1</v>
      </c>
      <c r="M3653" t="str">
        <f t="shared" si="57"/>
        <v>After 2020</v>
      </c>
    </row>
    <row r="3654" spans="1:13" hidden="1">
      <c r="A3654" t="s">
        <v>1505</v>
      </c>
      <c r="B3654" t="s">
        <v>47</v>
      </c>
      <c r="C3654" s="1">
        <v>43217</v>
      </c>
      <c r="D3654" s="2">
        <v>1953403531</v>
      </c>
      <c r="E3654" s="2">
        <v>5013</v>
      </c>
      <c r="F3654">
        <v>46</v>
      </c>
      <c r="G3654" s="2">
        <v>849135355</v>
      </c>
      <c r="H3654" s="2">
        <v>6338986</v>
      </c>
      <c r="J3654">
        <v>54</v>
      </c>
      <c r="L3654">
        <v>0</v>
      </c>
      <c r="M3654" t="str">
        <f t="shared" si="57"/>
        <v>2010-2020</v>
      </c>
    </row>
    <row r="3655" spans="1:13" hidden="1">
      <c r="A3655" t="s">
        <v>5139</v>
      </c>
      <c r="B3655" t="s">
        <v>5140</v>
      </c>
      <c r="C3655" s="1">
        <v>44623</v>
      </c>
      <c r="D3655" s="2">
        <v>306652166</v>
      </c>
      <c r="E3655" s="2">
        <v>21841</v>
      </c>
      <c r="F3655">
        <v>69</v>
      </c>
      <c r="G3655" s="2">
        <v>225136062</v>
      </c>
      <c r="H3655" s="2">
        <v>2113507</v>
      </c>
      <c r="I3655" s="2">
        <v>1719389454</v>
      </c>
      <c r="J3655">
        <v>17</v>
      </c>
      <c r="L3655">
        <v>0</v>
      </c>
      <c r="M3655" t="str">
        <f t="shared" si="57"/>
        <v>After 2020</v>
      </c>
    </row>
    <row r="3656" spans="1:13" hidden="1">
      <c r="A3656" t="s">
        <v>5141</v>
      </c>
      <c r="B3656" t="s">
        <v>444</v>
      </c>
      <c r="C3656" s="1">
        <v>44007</v>
      </c>
      <c r="D3656" s="2">
        <v>304134537</v>
      </c>
      <c r="E3656" s="2">
        <v>57388</v>
      </c>
      <c r="F3656">
        <v>64</v>
      </c>
      <c r="G3656" s="2">
        <v>345512160</v>
      </c>
      <c r="H3656" s="2">
        <v>1952713</v>
      </c>
      <c r="I3656" s="2">
        <v>279992648</v>
      </c>
      <c r="J3656">
        <v>40</v>
      </c>
      <c r="L3656">
        <v>0</v>
      </c>
      <c r="M3656" t="str">
        <f t="shared" si="57"/>
        <v>2010-2020</v>
      </c>
    </row>
    <row r="3657" spans="1:13">
      <c r="A3657" t="s">
        <v>5142</v>
      </c>
      <c r="B3657" t="s">
        <v>5143</v>
      </c>
      <c r="C3657" s="1">
        <v>44134</v>
      </c>
      <c r="D3657" s="2">
        <v>92536126</v>
      </c>
      <c r="E3657" s="2">
        <v>39798</v>
      </c>
      <c r="F3657">
        <v>53</v>
      </c>
      <c r="G3657" s="2">
        <v>290871758</v>
      </c>
      <c r="H3657" s="2">
        <v>2393255</v>
      </c>
      <c r="I3657" s="2">
        <v>101473422</v>
      </c>
      <c r="J3657">
        <v>27</v>
      </c>
      <c r="K3657">
        <v>235</v>
      </c>
      <c r="L3657">
        <v>1</v>
      </c>
      <c r="M3657" t="str">
        <f t="shared" si="57"/>
        <v>2010-2020</v>
      </c>
    </row>
    <row r="3658" spans="1:13">
      <c r="A3658" t="s">
        <v>5144</v>
      </c>
      <c r="B3658" t="s">
        <v>1932</v>
      </c>
      <c r="C3658" s="1">
        <v>43966</v>
      </c>
      <c r="D3658" s="2">
        <v>200520284</v>
      </c>
      <c r="E3658" s="2">
        <v>32859</v>
      </c>
      <c r="F3658">
        <v>64</v>
      </c>
      <c r="G3658" s="2">
        <v>477774248</v>
      </c>
      <c r="H3658" s="2">
        <v>3156383</v>
      </c>
      <c r="I3658" s="2">
        <v>1255331962</v>
      </c>
      <c r="J3658">
        <v>6</v>
      </c>
      <c r="K3658">
        <v>78</v>
      </c>
      <c r="L3658">
        <v>0</v>
      </c>
      <c r="M3658" t="str">
        <f t="shared" si="57"/>
        <v>2010-2020</v>
      </c>
    </row>
    <row r="3659" spans="1:13">
      <c r="A3659" t="s">
        <v>5145</v>
      </c>
      <c r="B3659" t="s">
        <v>371</v>
      </c>
      <c r="C3659" s="1">
        <v>39448</v>
      </c>
      <c r="D3659" s="2">
        <v>1062571821</v>
      </c>
      <c r="E3659" s="2">
        <v>183102</v>
      </c>
      <c r="F3659">
        <v>74</v>
      </c>
      <c r="G3659" s="2">
        <v>566585521</v>
      </c>
      <c r="H3659" s="2">
        <v>2999671</v>
      </c>
      <c r="I3659" s="2">
        <v>623454990</v>
      </c>
      <c r="J3659">
        <v>166</v>
      </c>
      <c r="K3659">
        <v>425</v>
      </c>
      <c r="L3659">
        <v>0</v>
      </c>
      <c r="M3659" t="str">
        <f t="shared" si="57"/>
        <v>Before 2010</v>
      </c>
    </row>
    <row r="3660" spans="1:13">
      <c r="A3660" t="s">
        <v>5146</v>
      </c>
      <c r="B3660" t="s">
        <v>5147</v>
      </c>
      <c r="C3660" s="1">
        <v>43644</v>
      </c>
      <c r="D3660" s="2">
        <v>296543065</v>
      </c>
      <c r="E3660" s="2">
        <v>117924</v>
      </c>
      <c r="F3660">
        <v>68</v>
      </c>
      <c r="G3660" s="2">
        <v>205245834</v>
      </c>
      <c r="H3660" s="2">
        <v>3566571</v>
      </c>
      <c r="I3660" s="2">
        <v>2473547695</v>
      </c>
      <c r="J3660">
        <v>12</v>
      </c>
      <c r="K3660">
        <v>148</v>
      </c>
      <c r="L3660">
        <v>0</v>
      </c>
      <c r="M3660" t="str">
        <f t="shared" si="57"/>
        <v>2010-2020</v>
      </c>
    </row>
    <row r="3661" spans="1:13" hidden="1">
      <c r="A3661" t="s">
        <v>5148</v>
      </c>
      <c r="B3661" t="s">
        <v>1013</v>
      </c>
      <c r="C3661" s="1">
        <v>43945</v>
      </c>
      <c r="D3661" s="2">
        <v>672449007</v>
      </c>
      <c r="E3661" s="2">
        <v>89441</v>
      </c>
      <c r="F3661">
        <v>64</v>
      </c>
      <c r="I3661" s="2">
        <v>770493680</v>
      </c>
      <c r="J3661">
        <v>68</v>
      </c>
      <c r="K3661">
        <v>24</v>
      </c>
      <c r="L3661">
        <v>1</v>
      </c>
      <c r="M3661" t="str">
        <f t="shared" si="57"/>
        <v>2010-2020</v>
      </c>
    </row>
    <row r="3662" spans="1:13" hidden="1">
      <c r="A3662" t="s">
        <v>3878</v>
      </c>
      <c r="B3662" t="s">
        <v>5149</v>
      </c>
      <c r="C3662" s="1">
        <v>44969</v>
      </c>
      <c r="D3662" s="2">
        <v>2307</v>
      </c>
      <c r="G3662" s="2">
        <v>268591891</v>
      </c>
      <c r="H3662" s="2">
        <v>1143635</v>
      </c>
      <c r="L3662">
        <v>0</v>
      </c>
      <c r="M3662" t="str">
        <f t="shared" si="57"/>
        <v>After 2020</v>
      </c>
    </row>
    <row r="3663" spans="1:13">
      <c r="A3663" t="s">
        <v>5150</v>
      </c>
      <c r="B3663" t="s">
        <v>295</v>
      </c>
      <c r="C3663" s="1">
        <v>40746</v>
      </c>
      <c r="D3663" s="2">
        <v>597923434</v>
      </c>
      <c r="E3663" s="2">
        <v>102247</v>
      </c>
      <c r="F3663">
        <v>68</v>
      </c>
      <c r="G3663" s="2">
        <v>201599895</v>
      </c>
      <c r="H3663" s="2">
        <v>1427945</v>
      </c>
      <c r="I3663" s="2">
        <v>138482890</v>
      </c>
      <c r="J3663">
        <v>81</v>
      </c>
      <c r="K3663">
        <v>16</v>
      </c>
      <c r="L3663">
        <v>1</v>
      </c>
      <c r="M3663" t="str">
        <f t="shared" si="57"/>
        <v>2010-2020</v>
      </c>
    </row>
    <row r="3664" spans="1:13">
      <c r="A3664" t="s">
        <v>877</v>
      </c>
      <c r="B3664" t="s">
        <v>295</v>
      </c>
      <c r="C3664" s="1">
        <v>40862</v>
      </c>
      <c r="D3664" s="2">
        <v>549699659</v>
      </c>
      <c r="E3664" s="2">
        <v>89323</v>
      </c>
      <c r="F3664">
        <v>68</v>
      </c>
      <c r="G3664" s="2">
        <v>76930754</v>
      </c>
      <c r="H3664" s="2">
        <v>622540</v>
      </c>
      <c r="I3664" s="2">
        <v>13825915</v>
      </c>
      <c r="J3664">
        <v>89</v>
      </c>
      <c r="K3664">
        <v>118</v>
      </c>
      <c r="L3664">
        <v>1</v>
      </c>
      <c r="M3664" t="str">
        <f t="shared" si="57"/>
        <v>2010-2020</v>
      </c>
    </row>
    <row r="3665" spans="1:13" hidden="1">
      <c r="A3665" t="s">
        <v>5151</v>
      </c>
      <c r="B3665" t="s">
        <v>686</v>
      </c>
      <c r="C3665" s="1">
        <v>43693</v>
      </c>
      <c r="D3665" s="2">
        <v>387820994</v>
      </c>
      <c r="E3665" s="2">
        <v>84975</v>
      </c>
      <c r="F3665">
        <v>64</v>
      </c>
      <c r="G3665" s="2">
        <v>292576551</v>
      </c>
      <c r="H3665" s="2">
        <v>2516143</v>
      </c>
      <c r="I3665" s="2">
        <v>366572254</v>
      </c>
      <c r="J3665">
        <v>46</v>
      </c>
      <c r="L3665">
        <v>1</v>
      </c>
      <c r="M3665" t="str">
        <f t="shared" si="57"/>
        <v>2010-2020</v>
      </c>
    </row>
    <row r="3666" spans="1:13" hidden="1">
      <c r="A3666" t="s">
        <v>5152</v>
      </c>
      <c r="B3666" t="s">
        <v>5153</v>
      </c>
      <c r="C3666" s="1">
        <v>45095</v>
      </c>
      <c r="D3666" s="2">
        <v>8388731</v>
      </c>
      <c r="E3666" s="2">
        <v>1929</v>
      </c>
      <c r="F3666">
        <v>55</v>
      </c>
      <c r="G3666" s="2">
        <v>7936486</v>
      </c>
      <c r="H3666" s="2">
        <v>153016</v>
      </c>
      <c r="I3666" s="2">
        <v>639301182</v>
      </c>
      <c r="L3666">
        <v>0</v>
      </c>
      <c r="M3666" t="str">
        <f t="shared" si="57"/>
        <v>After 2020</v>
      </c>
    </row>
    <row r="3667" spans="1:13" hidden="1">
      <c r="A3667" t="s">
        <v>5154</v>
      </c>
      <c r="B3667" t="s">
        <v>5155</v>
      </c>
      <c r="C3667" s="1">
        <v>43818</v>
      </c>
      <c r="D3667" s="2">
        <v>383570519</v>
      </c>
      <c r="E3667" s="2">
        <v>111710</v>
      </c>
      <c r="F3667">
        <v>71</v>
      </c>
      <c r="G3667" s="2">
        <v>25031987</v>
      </c>
      <c r="H3667" s="2">
        <v>409300</v>
      </c>
      <c r="I3667" s="2">
        <v>332001686</v>
      </c>
      <c r="J3667">
        <v>9</v>
      </c>
      <c r="L3667">
        <v>0</v>
      </c>
      <c r="M3667" t="str">
        <f t="shared" si="57"/>
        <v>2010-2020</v>
      </c>
    </row>
    <row r="3668" spans="1:13">
      <c r="A3668" t="s">
        <v>5156</v>
      </c>
      <c r="B3668" t="s">
        <v>1643</v>
      </c>
      <c r="C3668" s="1">
        <v>44666</v>
      </c>
      <c r="D3668" s="2">
        <v>248202976</v>
      </c>
      <c r="E3668" s="2">
        <v>55197</v>
      </c>
      <c r="F3668">
        <v>71</v>
      </c>
      <c r="G3668" s="2">
        <v>59788261</v>
      </c>
      <c r="H3668" s="2">
        <v>351230</v>
      </c>
      <c r="I3668" s="2">
        <v>36131031</v>
      </c>
      <c r="J3668">
        <v>50</v>
      </c>
      <c r="K3668">
        <v>347</v>
      </c>
      <c r="L3668">
        <v>0</v>
      </c>
      <c r="M3668" t="str">
        <f t="shared" si="57"/>
        <v>After 2020</v>
      </c>
    </row>
    <row r="3669" spans="1:13" hidden="1">
      <c r="A3669" t="s">
        <v>5157</v>
      </c>
      <c r="B3669" t="s">
        <v>5158</v>
      </c>
      <c r="C3669" s="1">
        <v>44106</v>
      </c>
      <c r="D3669" s="2">
        <v>378296524</v>
      </c>
      <c r="E3669" s="2">
        <v>1941</v>
      </c>
      <c r="F3669">
        <v>61</v>
      </c>
      <c r="J3669">
        <v>5</v>
      </c>
      <c r="L3669">
        <v>0</v>
      </c>
      <c r="M3669" t="str">
        <f t="shared" si="57"/>
        <v>2010-2020</v>
      </c>
    </row>
    <row r="3670" spans="1:13" hidden="1">
      <c r="A3670" t="s">
        <v>5159</v>
      </c>
      <c r="B3670" t="s">
        <v>1460</v>
      </c>
      <c r="C3670" s="1">
        <v>45369</v>
      </c>
      <c r="D3670" s="2">
        <v>34233316</v>
      </c>
      <c r="E3670" s="2">
        <v>1547</v>
      </c>
      <c r="F3670">
        <v>70</v>
      </c>
      <c r="G3670" s="2">
        <v>32452229</v>
      </c>
      <c r="H3670" s="2">
        <v>499855</v>
      </c>
      <c r="J3670">
        <v>9</v>
      </c>
      <c r="L3670">
        <v>0</v>
      </c>
      <c r="M3670" t="str">
        <f t="shared" si="57"/>
        <v>After 2020</v>
      </c>
    </row>
    <row r="3671" spans="1:13" hidden="1">
      <c r="A3671" t="s">
        <v>5160</v>
      </c>
      <c r="B3671" t="s">
        <v>5161</v>
      </c>
      <c r="C3671" s="1">
        <v>44213</v>
      </c>
      <c r="D3671" s="2">
        <v>14329936</v>
      </c>
      <c r="E3671" s="2">
        <v>1206</v>
      </c>
      <c r="F3671">
        <v>51</v>
      </c>
      <c r="G3671" s="2">
        <v>651601460</v>
      </c>
      <c r="H3671" s="2">
        <v>2438665</v>
      </c>
      <c r="I3671" s="2">
        <v>249060</v>
      </c>
      <c r="L3671">
        <v>0</v>
      </c>
      <c r="M3671" t="str">
        <f t="shared" si="57"/>
        <v>After 2020</v>
      </c>
    </row>
    <row r="3672" spans="1:13" hidden="1">
      <c r="A3672" t="s">
        <v>5162</v>
      </c>
      <c r="B3672" t="s">
        <v>590</v>
      </c>
      <c r="C3672" s="1">
        <v>45161</v>
      </c>
      <c r="D3672" s="2">
        <v>42115225</v>
      </c>
      <c r="E3672" s="2">
        <v>15081</v>
      </c>
      <c r="F3672">
        <v>61</v>
      </c>
      <c r="G3672" s="2">
        <v>35754905</v>
      </c>
      <c r="H3672" s="2">
        <v>292516</v>
      </c>
      <c r="I3672" s="2">
        <v>12150553</v>
      </c>
      <c r="J3672">
        <v>50</v>
      </c>
      <c r="L3672">
        <v>1</v>
      </c>
      <c r="M3672" t="str">
        <f t="shared" si="57"/>
        <v>After 2020</v>
      </c>
    </row>
    <row r="3673" spans="1:13" hidden="1">
      <c r="A3673" t="s">
        <v>5163</v>
      </c>
      <c r="B3673" t="s">
        <v>3428</v>
      </c>
      <c r="C3673" s="1">
        <v>44455</v>
      </c>
      <c r="D3673" s="2">
        <v>210287302</v>
      </c>
      <c r="E3673" s="2">
        <v>26385</v>
      </c>
      <c r="F3673">
        <v>57</v>
      </c>
      <c r="G3673" s="2">
        <v>312406682</v>
      </c>
      <c r="H3673" s="2">
        <v>1727224</v>
      </c>
      <c r="I3673" s="2">
        <v>1043956869</v>
      </c>
      <c r="J3673">
        <v>17</v>
      </c>
      <c r="L3673">
        <v>0</v>
      </c>
      <c r="M3673" t="str">
        <f t="shared" si="57"/>
        <v>After 2020</v>
      </c>
    </row>
    <row r="3674" spans="1:13" hidden="1">
      <c r="A3674" t="s">
        <v>5164</v>
      </c>
      <c r="B3674" t="s">
        <v>1255</v>
      </c>
      <c r="C3674" s="1">
        <v>44351</v>
      </c>
      <c r="D3674" s="2">
        <v>504851489</v>
      </c>
      <c r="E3674" s="2">
        <v>57183</v>
      </c>
      <c r="F3674">
        <v>66</v>
      </c>
      <c r="G3674" s="2">
        <v>156937871</v>
      </c>
      <c r="H3674" s="2">
        <v>2288818</v>
      </c>
      <c r="I3674" s="2">
        <v>763454337</v>
      </c>
      <c r="J3674">
        <v>43</v>
      </c>
      <c r="L3674">
        <v>0</v>
      </c>
      <c r="M3674" t="str">
        <f t="shared" si="57"/>
        <v>After 2020</v>
      </c>
    </row>
    <row r="3675" spans="1:13" hidden="1">
      <c r="A3675" t="s">
        <v>67</v>
      </c>
      <c r="B3675" t="s">
        <v>68</v>
      </c>
      <c r="C3675" s="1">
        <v>45141</v>
      </c>
      <c r="D3675" s="2">
        <v>1065399331</v>
      </c>
      <c r="E3675" s="2">
        <v>3719</v>
      </c>
      <c r="F3675">
        <v>52</v>
      </c>
      <c r="J3675">
        <v>51</v>
      </c>
      <c r="L3675">
        <v>0</v>
      </c>
      <c r="M3675" t="str">
        <f t="shared" si="57"/>
        <v>After 2020</v>
      </c>
    </row>
    <row r="3676" spans="1:13" hidden="1">
      <c r="A3676" t="s">
        <v>5165</v>
      </c>
      <c r="B3676" t="s">
        <v>2131</v>
      </c>
      <c r="C3676" s="1">
        <v>43756</v>
      </c>
      <c r="D3676" s="2">
        <v>236121136</v>
      </c>
      <c r="E3676" s="2">
        <v>50891</v>
      </c>
      <c r="F3676">
        <v>60</v>
      </c>
      <c r="G3676" s="2">
        <v>66409032</v>
      </c>
      <c r="H3676" s="2">
        <v>793546</v>
      </c>
      <c r="I3676" s="2">
        <v>44773047</v>
      </c>
      <c r="J3676">
        <v>34</v>
      </c>
      <c r="L3676">
        <v>1</v>
      </c>
      <c r="M3676" t="str">
        <f t="shared" si="57"/>
        <v>2010-2020</v>
      </c>
    </row>
    <row r="3677" spans="1:13">
      <c r="A3677" t="s">
        <v>5166</v>
      </c>
      <c r="B3677" t="s">
        <v>5167</v>
      </c>
      <c r="C3677" s="1">
        <v>44253</v>
      </c>
      <c r="D3677" s="2">
        <v>198817832</v>
      </c>
      <c r="E3677" s="2">
        <v>29696</v>
      </c>
      <c r="F3677">
        <v>61</v>
      </c>
      <c r="G3677" s="2">
        <v>72494045</v>
      </c>
      <c r="H3677" s="2">
        <v>589638</v>
      </c>
      <c r="I3677" s="2">
        <v>88185708</v>
      </c>
      <c r="J3677">
        <v>53</v>
      </c>
      <c r="K3677">
        <v>97</v>
      </c>
      <c r="L3677">
        <v>0</v>
      </c>
      <c r="M3677" t="str">
        <f t="shared" si="57"/>
        <v>After 2020</v>
      </c>
    </row>
    <row r="3678" spans="1:13">
      <c r="A3678" t="s">
        <v>5168</v>
      </c>
      <c r="B3678" t="s">
        <v>47</v>
      </c>
      <c r="C3678" s="1">
        <v>45121</v>
      </c>
      <c r="D3678" s="2">
        <v>130236751</v>
      </c>
      <c r="E3678" s="2">
        <v>27992</v>
      </c>
      <c r="F3678">
        <v>63</v>
      </c>
      <c r="G3678" s="2">
        <v>9721972</v>
      </c>
      <c r="H3678" s="2">
        <v>104453</v>
      </c>
      <c r="I3678" s="2">
        <v>52127762</v>
      </c>
      <c r="J3678">
        <v>17</v>
      </c>
      <c r="K3678">
        <v>3</v>
      </c>
      <c r="L3678">
        <v>0</v>
      </c>
      <c r="M3678" t="str">
        <f t="shared" si="57"/>
        <v>After 2020</v>
      </c>
    </row>
    <row r="3679" spans="1:13" hidden="1">
      <c r="A3679" t="s">
        <v>5169</v>
      </c>
      <c r="B3679" t="s">
        <v>5170</v>
      </c>
      <c r="C3679" s="1">
        <v>43259</v>
      </c>
      <c r="D3679" s="2">
        <v>621596476</v>
      </c>
      <c r="E3679" s="2">
        <v>41914</v>
      </c>
      <c r="F3679">
        <v>72</v>
      </c>
      <c r="G3679" s="2">
        <v>761391767</v>
      </c>
      <c r="H3679" s="2">
        <v>3404496</v>
      </c>
      <c r="I3679" s="2">
        <v>84607917</v>
      </c>
      <c r="J3679">
        <v>23</v>
      </c>
      <c r="L3679">
        <v>0</v>
      </c>
      <c r="M3679" t="str">
        <f t="shared" si="57"/>
        <v>2010-2020</v>
      </c>
    </row>
    <row r="3680" spans="1:13" hidden="1">
      <c r="A3680" t="s">
        <v>5171</v>
      </c>
      <c r="B3680" t="s">
        <v>697</v>
      </c>
      <c r="C3680" s="1">
        <v>43903</v>
      </c>
      <c r="D3680" s="2">
        <v>193103080</v>
      </c>
      <c r="E3680" s="2">
        <v>47712</v>
      </c>
      <c r="F3680">
        <v>62</v>
      </c>
      <c r="G3680" s="2">
        <v>282087862</v>
      </c>
      <c r="H3680" s="2">
        <v>4970570</v>
      </c>
      <c r="I3680" s="2">
        <v>1526797371</v>
      </c>
      <c r="J3680">
        <v>5</v>
      </c>
      <c r="L3680">
        <v>0</v>
      </c>
      <c r="M3680" t="str">
        <f t="shared" si="57"/>
        <v>2010-2020</v>
      </c>
    </row>
    <row r="3681" spans="1:13">
      <c r="A3681" t="s">
        <v>5172</v>
      </c>
      <c r="B3681" t="s">
        <v>1320</v>
      </c>
      <c r="C3681" s="1">
        <v>44953</v>
      </c>
      <c r="D3681" s="2">
        <v>178523233</v>
      </c>
      <c r="E3681" s="2">
        <v>14560</v>
      </c>
      <c r="F3681">
        <v>67</v>
      </c>
      <c r="G3681" s="2">
        <v>140763661</v>
      </c>
      <c r="H3681" s="2">
        <v>2394273</v>
      </c>
      <c r="I3681" s="2">
        <v>697618053</v>
      </c>
      <c r="J3681">
        <v>11</v>
      </c>
      <c r="K3681">
        <v>23</v>
      </c>
      <c r="L3681">
        <v>0</v>
      </c>
      <c r="M3681" t="str">
        <f t="shared" si="57"/>
        <v>After 2020</v>
      </c>
    </row>
    <row r="3682" spans="1:13" hidden="1">
      <c r="A3682" t="s">
        <v>5173</v>
      </c>
      <c r="B3682" t="s">
        <v>5174</v>
      </c>
      <c r="C3682" s="1">
        <v>45176</v>
      </c>
      <c r="D3682" s="2">
        <v>36559856</v>
      </c>
      <c r="E3682" s="2">
        <v>7332</v>
      </c>
      <c r="G3682" s="2">
        <v>44786762</v>
      </c>
      <c r="H3682" s="2">
        <v>189253</v>
      </c>
      <c r="I3682" s="2">
        <v>722844173</v>
      </c>
      <c r="L3682">
        <v>1</v>
      </c>
      <c r="M3682" t="str">
        <f t="shared" si="57"/>
        <v>After 2020</v>
      </c>
    </row>
    <row r="3683" spans="1:13" hidden="1">
      <c r="A3683" t="s">
        <v>5175</v>
      </c>
      <c r="B3683" t="s">
        <v>5176</v>
      </c>
      <c r="C3683" s="1">
        <v>43394</v>
      </c>
      <c r="D3683" s="2">
        <v>177496669</v>
      </c>
      <c r="E3683" s="2">
        <v>14789</v>
      </c>
      <c r="F3683">
        <v>65</v>
      </c>
      <c r="G3683" s="2">
        <v>776438148</v>
      </c>
      <c r="H3683" s="2">
        <v>6800185</v>
      </c>
      <c r="I3683" s="2">
        <v>339486868</v>
      </c>
      <c r="J3683">
        <v>4</v>
      </c>
      <c r="L3683">
        <v>0</v>
      </c>
      <c r="M3683" t="str">
        <f t="shared" si="57"/>
        <v>2010-2020</v>
      </c>
    </row>
    <row r="3684" spans="1:13">
      <c r="A3684" t="s">
        <v>5177</v>
      </c>
      <c r="B3684" t="s">
        <v>723</v>
      </c>
      <c r="C3684" s="1">
        <v>42957</v>
      </c>
      <c r="D3684" s="2">
        <v>1074175360</v>
      </c>
      <c r="E3684" s="2">
        <v>135290</v>
      </c>
      <c r="F3684">
        <v>73</v>
      </c>
      <c r="G3684" s="2">
        <v>293084186</v>
      </c>
      <c r="H3684" s="2">
        <v>2973334</v>
      </c>
      <c r="I3684" s="2">
        <v>229614343</v>
      </c>
      <c r="J3684">
        <v>82</v>
      </c>
      <c r="K3684">
        <v>119</v>
      </c>
      <c r="L3684">
        <v>1</v>
      </c>
      <c r="M3684" t="str">
        <f t="shared" si="57"/>
        <v>2010-2020</v>
      </c>
    </row>
    <row r="3685" spans="1:13" hidden="1">
      <c r="A3685" t="s">
        <v>5178</v>
      </c>
      <c r="B3685" t="s">
        <v>5179</v>
      </c>
      <c r="C3685" s="1">
        <v>45044</v>
      </c>
      <c r="D3685" s="2">
        <v>66701855</v>
      </c>
      <c r="E3685" s="2">
        <v>12381</v>
      </c>
      <c r="F3685">
        <v>57</v>
      </c>
      <c r="G3685" s="2">
        <v>132663199</v>
      </c>
      <c r="H3685" s="2">
        <v>408097</v>
      </c>
      <c r="I3685" s="2">
        <v>52142540</v>
      </c>
      <c r="J3685">
        <v>7</v>
      </c>
      <c r="L3685">
        <v>0</v>
      </c>
      <c r="M3685" t="str">
        <f t="shared" si="57"/>
        <v>After 2020</v>
      </c>
    </row>
    <row r="3686" spans="1:13">
      <c r="A3686" t="s">
        <v>5180</v>
      </c>
      <c r="B3686" t="s">
        <v>112</v>
      </c>
      <c r="C3686" s="1">
        <v>42888</v>
      </c>
      <c r="D3686" s="2">
        <v>1583012380</v>
      </c>
      <c r="E3686" s="2">
        <v>108894</v>
      </c>
      <c r="F3686">
        <v>71</v>
      </c>
      <c r="G3686" s="2">
        <v>223607979</v>
      </c>
      <c r="H3686" s="2">
        <v>2045247</v>
      </c>
      <c r="I3686" s="2">
        <v>135618240</v>
      </c>
      <c r="J3686">
        <v>129</v>
      </c>
      <c r="K3686">
        <v>56</v>
      </c>
      <c r="L3686">
        <v>1</v>
      </c>
      <c r="M3686" t="str">
        <f t="shared" si="57"/>
        <v>2010-2020</v>
      </c>
    </row>
    <row r="3687" spans="1:13">
      <c r="A3687" t="s">
        <v>5181</v>
      </c>
      <c r="B3687" t="s">
        <v>1955</v>
      </c>
      <c r="C3687" s="1">
        <v>43763</v>
      </c>
      <c r="D3687" s="2">
        <v>845222205</v>
      </c>
      <c r="E3687" s="2">
        <v>109624</v>
      </c>
      <c r="F3687">
        <v>71</v>
      </c>
      <c r="G3687" s="2">
        <v>108306968</v>
      </c>
      <c r="H3687" s="2">
        <v>2342473</v>
      </c>
      <c r="I3687" s="2">
        <v>316355255</v>
      </c>
      <c r="J3687">
        <v>58</v>
      </c>
      <c r="K3687">
        <v>125</v>
      </c>
      <c r="L3687">
        <v>0</v>
      </c>
      <c r="M3687" t="str">
        <f t="shared" si="57"/>
        <v>2010-2020</v>
      </c>
    </row>
    <row r="3688" spans="1:13">
      <c r="A3688" t="s">
        <v>5182</v>
      </c>
      <c r="B3688" t="s">
        <v>81</v>
      </c>
      <c r="C3688" s="1">
        <v>41640</v>
      </c>
      <c r="D3688" s="2">
        <v>917284463</v>
      </c>
      <c r="E3688" s="2">
        <v>80957</v>
      </c>
      <c r="F3688">
        <v>73</v>
      </c>
      <c r="G3688" s="2">
        <v>930161541</v>
      </c>
      <c r="H3688" s="2">
        <v>5513057</v>
      </c>
      <c r="I3688" s="2">
        <v>18428812</v>
      </c>
      <c r="J3688">
        <v>84</v>
      </c>
      <c r="K3688">
        <v>12</v>
      </c>
      <c r="L3688">
        <v>0</v>
      </c>
      <c r="M3688" t="str">
        <f t="shared" si="57"/>
        <v>2010-2020</v>
      </c>
    </row>
    <row r="3689" spans="1:13">
      <c r="A3689" t="s">
        <v>5183</v>
      </c>
      <c r="B3689" t="s">
        <v>418</v>
      </c>
      <c r="C3689" s="1">
        <v>43644</v>
      </c>
      <c r="D3689" s="2">
        <v>306404848</v>
      </c>
      <c r="E3689" s="2">
        <v>33666</v>
      </c>
      <c r="F3689">
        <v>63</v>
      </c>
      <c r="G3689" s="2">
        <v>605370523</v>
      </c>
      <c r="H3689" s="2">
        <v>2987290</v>
      </c>
      <c r="I3689" s="2">
        <v>56631793</v>
      </c>
      <c r="J3689">
        <v>47</v>
      </c>
      <c r="K3689">
        <v>8</v>
      </c>
      <c r="L3689">
        <v>0</v>
      </c>
      <c r="M3689" t="str">
        <f t="shared" si="57"/>
        <v>2010-2020</v>
      </c>
    </row>
    <row r="3690" spans="1:13" hidden="1">
      <c r="A3690" t="s">
        <v>5184</v>
      </c>
      <c r="B3690" t="s">
        <v>783</v>
      </c>
      <c r="C3690" s="1">
        <v>43350</v>
      </c>
      <c r="D3690" s="2">
        <v>753200066</v>
      </c>
      <c r="E3690" s="2">
        <v>76430</v>
      </c>
      <c r="F3690">
        <v>63</v>
      </c>
      <c r="G3690" s="2">
        <v>277222671</v>
      </c>
      <c r="H3690" s="2">
        <v>1404539</v>
      </c>
      <c r="I3690" s="2">
        <v>192443386</v>
      </c>
      <c r="J3690">
        <v>51</v>
      </c>
      <c r="L3690">
        <v>0</v>
      </c>
      <c r="M3690" t="str">
        <f t="shared" si="57"/>
        <v>2010-2020</v>
      </c>
    </row>
    <row r="3691" spans="1:13" hidden="1">
      <c r="A3691" t="s">
        <v>5185</v>
      </c>
      <c r="B3691" t="s">
        <v>892</v>
      </c>
      <c r="C3691" s="1">
        <v>45329</v>
      </c>
      <c r="D3691" s="2">
        <v>25180079</v>
      </c>
      <c r="E3691" s="2">
        <v>3020</v>
      </c>
      <c r="F3691">
        <v>3</v>
      </c>
      <c r="G3691" s="2">
        <v>4405480</v>
      </c>
      <c r="H3691" s="2">
        <v>64658</v>
      </c>
      <c r="J3691">
        <v>46</v>
      </c>
      <c r="K3691">
        <v>79</v>
      </c>
      <c r="L3691">
        <v>0</v>
      </c>
      <c r="M3691" t="str">
        <f t="shared" si="57"/>
        <v>After 2020</v>
      </c>
    </row>
    <row r="3692" spans="1:13" hidden="1">
      <c r="A3692" t="s">
        <v>5186</v>
      </c>
      <c r="B3692" t="s">
        <v>5187</v>
      </c>
      <c r="C3692" s="1">
        <v>45375</v>
      </c>
      <c r="D3692" s="2">
        <v>15333864</v>
      </c>
      <c r="E3692" s="2">
        <v>1439</v>
      </c>
      <c r="F3692">
        <v>71</v>
      </c>
      <c r="G3692" s="2">
        <v>11215883</v>
      </c>
      <c r="H3692" s="2">
        <v>86574</v>
      </c>
      <c r="J3692">
        <v>6</v>
      </c>
      <c r="L3692">
        <v>1</v>
      </c>
      <c r="M3692" t="str">
        <f t="shared" si="57"/>
        <v>After 2020</v>
      </c>
    </row>
    <row r="3693" spans="1:13">
      <c r="A3693" t="s">
        <v>5188</v>
      </c>
      <c r="B3693" t="s">
        <v>1534</v>
      </c>
      <c r="C3693" s="1">
        <v>43616</v>
      </c>
      <c r="D3693" s="2">
        <v>320136804</v>
      </c>
      <c r="E3693" s="2">
        <v>70340</v>
      </c>
      <c r="F3693">
        <v>62</v>
      </c>
      <c r="G3693" s="2">
        <v>300606606</v>
      </c>
      <c r="H3693" s="2">
        <v>2725053</v>
      </c>
      <c r="I3693" s="2">
        <v>415394142</v>
      </c>
      <c r="J3693">
        <v>24</v>
      </c>
      <c r="K3693">
        <v>177</v>
      </c>
      <c r="L3693">
        <v>1</v>
      </c>
      <c r="M3693" t="str">
        <f t="shared" si="57"/>
        <v>2010-2020</v>
      </c>
    </row>
    <row r="3694" spans="1:13" hidden="1">
      <c r="A3694" t="s">
        <v>5189</v>
      </c>
      <c r="B3694" t="s">
        <v>5190</v>
      </c>
      <c r="C3694" s="1">
        <v>43407</v>
      </c>
      <c r="D3694" s="2">
        <v>352999804</v>
      </c>
      <c r="E3694" s="2">
        <v>49066</v>
      </c>
      <c r="F3694">
        <v>64</v>
      </c>
      <c r="G3694" s="2">
        <v>688305700</v>
      </c>
      <c r="H3694" s="2">
        <v>7491512</v>
      </c>
      <c r="I3694" s="2">
        <v>22307459</v>
      </c>
      <c r="J3694">
        <v>16</v>
      </c>
      <c r="L3694">
        <v>0</v>
      </c>
      <c r="M3694" t="str">
        <f t="shared" si="57"/>
        <v>2010-2020</v>
      </c>
    </row>
    <row r="3695" spans="1:13">
      <c r="A3695" t="s">
        <v>5191</v>
      </c>
      <c r="B3695" t="s">
        <v>291</v>
      </c>
      <c r="C3695" s="1">
        <v>43196</v>
      </c>
      <c r="D3695" s="2">
        <v>242105356</v>
      </c>
      <c r="E3695" s="2">
        <v>25649</v>
      </c>
      <c r="F3695">
        <v>59</v>
      </c>
      <c r="G3695" s="2">
        <v>327705174</v>
      </c>
      <c r="H3695" s="2">
        <v>2907887</v>
      </c>
      <c r="I3695" s="2">
        <v>38979215</v>
      </c>
      <c r="J3695">
        <v>21</v>
      </c>
      <c r="K3695">
        <v>40</v>
      </c>
      <c r="L3695">
        <v>1</v>
      </c>
      <c r="M3695" t="str">
        <f t="shared" si="57"/>
        <v>2010-2020</v>
      </c>
    </row>
    <row r="3696" spans="1:13">
      <c r="A3696" t="s">
        <v>5192</v>
      </c>
      <c r="B3696" t="s">
        <v>631</v>
      </c>
      <c r="C3696" s="1">
        <v>44708</v>
      </c>
      <c r="D3696" s="2">
        <v>221965013</v>
      </c>
      <c r="E3696" s="2">
        <v>38872</v>
      </c>
      <c r="F3696">
        <v>60</v>
      </c>
      <c r="G3696" s="2">
        <v>51083768</v>
      </c>
      <c r="H3696" s="2">
        <v>550181</v>
      </c>
      <c r="I3696" s="2">
        <v>4096148</v>
      </c>
      <c r="J3696">
        <v>58</v>
      </c>
      <c r="K3696">
        <v>345</v>
      </c>
      <c r="L3696">
        <v>1</v>
      </c>
      <c r="M3696" t="str">
        <f t="shared" si="57"/>
        <v>After 2020</v>
      </c>
    </row>
    <row r="3697" spans="1:13" hidden="1">
      <c r="A3697" t="s">
        <v>5193</v>
      </c>
      <c r="B3697" t="s">
        <v>4927</v>
      </c>
      <c r="C3697" s="1">
        <v>45408</v>
      </c>
      <c r="D3697" s="2">
        <v>13842105</v>
      </c>
      <c r="E3697">
        <v>920</v>
      </c>
      <c r="F3697">
        <v>71</v>
      </c>
      <c r="G3697" s="2">
        <v>18663230</v>
      </c>
      <c r="H3697" s="2">
        <v>85838</v>
      </c>
      <c r="J3697">
        <v>4</v>
      </c>
      <c r="L3697">
        <v>0</v>
      </c>
      <c r="M3697" t="str">
        <f t="shared" si="57"/>
        <v>After 2020</v>
      </c>
    </row>
    <row r="3698" spans="1:13" hidden="1">
      <c r="A3698" t="s">
        <v>4789</v>
      </c>
      <c r="B3698" t="s">
        <v>4790</v>
      </c>
      <c r="C3698" s="1">
        <v>40827</v>
      </c>
      <c r="D3698" s="2">
        <v>1431126152</v>
      </c>
      <c r="E3698" s="2">
        <v>247483</v>
      </c>
      <c r="F3698">
        <v>70</v>
      </c>
      <c r="G3698" s="2">
        <v>850533301</v>
      </c>
      <c r="H3698" s="2">
        <v>6782649</v>
      </c>
      <c r="I3698" s="2">
        <v>222945510</v>
      </c>
      <c r="J3698">
        <v>95</v>
      </c>
      <c r="L3698">
        <v>1</v>
      </c>
      <c r="M3698" t="str">
        <f t="shared" si="57"/>
        <v>2010-2020</v>
      </c>
    </row>
    <row r="3699" spans="1:13" hidden="1">
      <c r="A3699" t="s">
        <v>5194</v>
      </c>
      <c r="B3699" t="s">
        <v>1862</v>
      </c>
      <c r="C3699" s="1">
        <v>43602</v>
      </c>
      <c r="D3699" s="2">
        <v>617991511</v>
      </c>
      <c r="E3699" s="2">
        <v>145653</v>
      </c>
      <c r="F3699">
        <v>74</v>
      </c>
      <c r="G3699" s="2">
        <v>100752374</v>
      </c>
      <c r="H3699" s="2">
        <v>1194201</v>
      </c>
      <c r="I3699" s="2">
        <v>661984472</v>
      </c>
      <c r="J3699">
        <v>16</v>
      </c>
      <c r="L3699">
        <v>1</v>
      </c>
      <c r="M3699" t="str">
        <f t="shared" si="57"/>
        <v>2010-2020</v>
      </c>
    </row>
    <row r="3700" spans="1:13" hidden="1">
      <c r="A3700" t="s">
        <v>5195</v>
      </c>
      <c r="B3700" t="s">
        <v>1418</v>
      </c>
      <c r="C3700" s="1">
        <v>44094</v>
      </c>
      <c r="D3700" s="2">
        <v>95962246</v>
      </c>
      <c r="E3700" s="2">
        <v>7017</v>
      </c>
      <c r="F3700">
        <v>58</v>
      </c>
      <c r="G3700" s="2">
        <v>663681127</v>
      </c>
      <c r="H3700" s="2">
        <v>5839475</v>
      </c>
      <c r="J3700">
        <v>2</v>
      </c>
      <c r="L3700">
        <v>0</v>
      </c>
      <c r="M3700" t="str">
        <f t="shared" si="57"/>
        <v>2010-2020</v>
      </c>
    </row>
    <row r="3701" spans="1:13">
      <c r="A3701" t="s">
        <v>5196</v>
      </c>
      <c r="B3701" t="s">
        <v>5197</v>
      </c>
      <c r="C3701" s="1">
        <v>43574</v>
      </c>
      <c r="D3701" s="2">
        <v>324575469</v>
      </c>
      <c r="E3701" s="2">
        <v>84886</v>
      </c>
      <c r="F3701">
        <v>66</v>
      </c>
      <c r="G3701" s="2">
        <v>84490948</v>
      </c>
      <c r="H3701" s="2">
        <v>834256</v>
      </c>
      <c r="I3701" s="2">
        <v>4875609910</v>
      </c>
      <c r="J3701">
        <v>25</v>
      </c>
      <c r="K3701">
        <v>3</v>
      </c>
      <c r="L3701">
        <v>0</v>
      </c>
      <c r="M3701" t="str">
        <f t="shared" si="57"/>
        <v>2010-2020</v>
      </c>
    </row>
    <row r="3702" spans="1:13" hidden="1">
      <c r="A3702" t="s">
        <v>5198</v>
      </c>
      <c r="B3702" t="s">
        <v>1450</v>
      </c>
      <c r="C3702" s="1">
        <v>45379</v>
      </c>
      <c r="D3702" s="2">
        <v>35185414</v>
      </c>
      <c r="E3702" s="2">
        <v>3730</v>
      </c>
      <c r="F3702">
        <v>68</v>
      </c>
      <c r="G3702" s="2">
        <v>14926797</v>
      </c>
      <c r="H3702" s="2">
        <v>144331</v>
      </c>
      <c r="J3702">
        <v>21</v>
      </c>
      <c r="L3702">
        <v>1</v>
      </c>
      <c r="M3702" t="str">
        <f t="shared" si="57"/>
        <v>After 2020</v>
      </c>
    </row>
    <row r="3703" spans="1:13" hidden="1">
      <c r="A3703" t="s">
        <v>5199</v>
      </c>
      <c r="B3703" t="s">
        <v>28</v>
      </c>
      <c r="C3703" s="1">
        <v>43084</v>
      </c>
      <c r="D3703" s="2">
        <v>830410811</v>
      </c>
      <c r="E3703" s="2">
        <v>95470</v>
      </c>
      <c r="F3703">
        <v>67</v>
      </c>
      <c r="G3703" s="2">
        <v>288374900</v>
      </c>
      <c r="H3703" s="2">
        <v>2645448</v>
      </c>
      <c r="I3703" s="2">
        <v>33671145</v>
      </c>
      <c r="J3703">
        <v>49</v>
      </c>
      <c r="L3703">
        <v>1</v>
      </c>
      <c r="M3703" t="str">
        <f t="shared" si="57"/>
        <v>2010-2020</v>
      </c>
    </row>
    <row r="3704" spans="1:13">
      <c r="A3704" t="s">
        <v>5200</v>
      </c>
      <c r="B3704" t="s">
        <v>30</v>
      </c>
      <c r="C3704" s="1">
        <v>44687</v>
      </c>
      <c r="D3704" s="2">
        <v>153857576</v>
      </c>
      <c r="E3704" s="2">
        <v>59992</v>
      </c>
      <c r="F3704">
        <v>61</v>
      </c>
      <c r="G3704" s="2">
        <v>77159004</v>
      </c>
      <c r="H3704" s="2">
        <v>877109</v>
      </c>
      <c r="I3704" s="2">
        <v>72804876</v>
      </c>
      <c r="J3704">
        <v>11</v>
      </c>
      <c r="K3704">
        <v>156</v>
      </c>
      <c r="L3704">
        <v>1</v>
      </c>
      <c r="M3704" t="str">
        <f t="shared" si="57"/>
        <v>After 2020</v>
      </c>
    </row>
    <row r="3705" spans="1:13">
      <c r="A3705" t="s">
        <v>5201</v>
      </c>
      <c r="B3705" t="s">
        <v>479</v>
      </c>
      <c r="C3705" s="1">
        <v>40909</v>
      </c>
      <c r="D3705" s="2">
        <v>447997798</v>
      </c>
      <c r="E3705" s="2">
        <v>47976</v>
      </c>
      <c r="F3705">
        <v>73</v>
      </c>
      <c r="G3705" s="2">
        <v>1129883893</v>
      </c>
      <c r="H3705" s="2">
        <v>5231385</v>
      </c>
      <c r="I3705" s="2">
        <v>63097743</v>
      </c>
      <c r="J3705">
        <v>29</v>
      </c>
      <c r="K3705">
        <v>115</v>
      </c>
      <c r="L3705">
        <v>0</v>
      </c>
      <c r="M3705" t="str">
        <f t="shared" si="57"/>
        <v>2010-2020</v>
      </c>
    </row>
    <row r="3706" spans="1:13" hidden="1">
      <c r="A3706" t="s">
        <v>5202</v>
      </c>
      <c r="B3706" t="s">
        <v>1380</v>
      </c>
      <c r="C3706" s="1">
        <v>45275</v>
      </c>
      <c r="D3706" s="2">
        <v>27235294</v>
      </c>
      <c r="E3706" s="2">
        <v>2618</v>
      </c>
      <c r="G3706" s="2">
        <v>74511800</v>
      </c>
      <c r="H3706" s="2">
        <v>233751</v>
      </c>
      <c r="J3706">
        <v>2</v>
      </c>
      <c r="L3706">
        <v>0</v>
      </c>
      <c r="M3706" t="str">
        <f t="shared" si="57"/>
        <v>After 2020</v>
      </c>
    </row>
    <row r="3707" spans="1:13">
      <c r="A3707" t="s">
        <v>5203</v>
      </c>
      <c r="B3707" t="s">
        <v>1789</v>
      </c>
      <c r="C3707" s="1">
        <v>42160</v>
      </c>
      <c r="D3707" s="2">
        <v>1429205245</v>
      </c>
      <c r="E3707" s="2">
        <v>151855</v>
      </c>
      <c r="F3707">
        <v>78</v>
      </c>
      <c r="G3707" s="2">
        <v>156015402</v>
      </c>
      <c r="H3707" s="2">
        <v>1540316</v>
      </c>
      <c r="I3707" s="2">
        <v>323351717</v>
      </c>
      <c r="J3707">
        <v>200</v>
      </c>
      <c r="K3707">
        <v>1</v>
      </c>
      <c r="L3707">
        <v>0</v>
      </c>
      <c r="M3707" t="str">
        <f t="shared" si="57"/>
        <v>2010-2020</v>
      </c>
    </row>
    <row r="3708" spans="1:13" hidden="1">
      <c r="A3708" t="s">
        <v>5204</v>
      </c>
      <c r="B3708" t="s">
        <v>3279</v>
      </c>
      <c r="C3708" s="1">
        <v>45405</v>
      </c>
      <c r="D3708" s="2">
        <v>23061213</v>
      </c>
      <c r="E3708">
        <v>703</v>
      </c>
      <c r="F3708">
        <v>77</v>
      </c>
      <c r="G3708" s="2">
        <v>18869254</v>
      </c>
      <c r="H3708" s="2">
        <v>360829</v>
      </c>
      <c r="J3708">
        <v>11</v>
      </c>
      <c r="L3708">
        <v>1</v>
      </c>
      <c r="M3708" t="str">
        <f t="shared" si="57"/>
        <v>After 2020</v>
      </c>
    </row>
    <row r="3709" spans="1:13" hidden="1">
      <c r="A3709" t="s">
        <v>5205</v>
      </c>
      <c r="B3709" t="s">
        <v>1565</v>
      </c>
      <c r="C3709" s="1">
        <v>44989</v>
      </c>
      <c r="D3709" s="2">
        <v>184580310</v>
      </c>
      <c r="E3709" s="2">
        <v>10142</v>
      </c>
      <c r="F3709">
        <v>64</v>
      </c>
      <c r="G3709" s="2">
        <v>169388630</v>
      </c>
      <c r="H3709" s="2">
        <v>2189048</v>
      </c>
      <c r="J3709">
        <v>9</v>
      </c>
      <c r="L3709">
        <v>0</v>
      </c>
      <c r="M3709" t="str">
        <f t="shared" si="57"/>
        <v>After 2020</v>
      </c>
    </row>
    <row r="3710" spans="1:13" hidden="1">
      <c r="A3710" t="s">
        <v>5206</v>
      </c>
      <c r="B3710" t="s">
        <v>5207</v>
      </c>
      <c r="C3710" s="1">
        <v>44785</v>
      </c>
      <c r="D3710" s="2">
        <v>161145820</v>
      </c>
      <c r="E3710" s="2">
        <v>46697</v>
      </c>
      <c r="F3710">
        <v>58</v>
      </c>
      <c r="G3710" s="2">
        <v>62678908</v>
      </c>
      <c r="H3710" s="2">
        <v>513962</v>
      </c>
      <c r="I3710" s="2">
        <v>409238375</v>
      </c>
      <c r="J3710">
        <v>25</v>
      </c>
      <c r="L3710">
        <v>0</v>
      </c>
      <c r="M3710" t="str">
        <f t="shared" si="57"/>
        <v>After 2020</v>
      </c>
    </row>
    <row r="3711" spans="1:13">
      <c r="A3711" t="s">
        <v>5208</v>
      </c>
      <c r="B3711" t="s">
        <v>1488</v>
      </c>
      <c r="C3711" s="1">
        <v>45069</v>
      </c>
      <c r="D3711" s="2">
        <v>68990989</v>
      </c>
      <c r="E3711" s="2">
        <v>21556</v>
      </c>
      <c r="F3711">
        <v>63</v>
      </c>
      <c r="G3711" s="2">
        <v>29014150</v>
      </c>
      <c r="H3711" s="2">
        <v>237930</v>
      </c>
      <c r="I3711" s="2">
        <v>240070262</v>
      </c>
      <c r="J3711">
        <v>53</v>
      </c>
      <c r="K3711">
        <v>79</v>
      </c>
      <c r="L3711">
        <v>1</v>
      </c>
      <c r="M3711" t="str">
        <f t="shared" si="57"/>
        <v>After 2020</v>
      </c>
    </row>
    <row r="3712" spans="1:13" hidden="1">
      <c r="A3712" t="s">
        <v>5209</v>
      </c>
      <c r="B3712" t="s">
        <v>1167</v>
      </c>
      <c r="C3712" s="1">
        <v>43580</v>
      </c>
      <c r="D3712" s="2">
        <v>208249257</v>
      </c>
      <c r="E3712" s="2">
        <v>42423</v>
      </c>
      <c r="F3712">
        <v>58</v>
      </c>
      <c r="G3712" s="2">
        <v>639243342</v>
      </c>
      <c r="H3712" s="2">
        <v>3905330</v>
      </c>
      <c r="I3712" s="2">
        <v>111981041</v>
      </c>
      <c r="J3712">
        <v>78</v>
      </c>
      <c r="L3712">
        <v>0</v>
      </c>
      <c r="M3712" t="str">
        <f t="shared" si="57"/>
        <v>2010-2020</v>
      </c>
    </row>
    <row r="3713" spans="1:13" hidden="1">
      <c r="A3713" t="s">
        <v>5210</v>
      </c>
      <c r="B3713" t="s">
        <v>2592</v>
      </c>
      <c r="C3713" s="1">
        <v>44824</v>
      </c>
      <c r="D3713" s="2">
        <v>179475517</v>
      </c>
      <c r="E3713" s="2">
        <v>26160</v>
      </c>
      <c r="F3713">
        <v>2</v>
      </c>
      <c r="G3713" s="2">
        <v>162785261</v>
      </c>
      <c r="H3713" s="2">
        <v>622557</v>
      </c>
      <c r="I3713" s="2">
        <v>32565249</v>
      </c>
      <c r="J3713">
        <v>2</v>
      </c>
      <c r="L3713">
        <v>1</v>
      </c>
      <c r="M3713" t="str">
        <f t="shared" si="57"/>
        <v>After 2020</v>
      </c>
    </row>
    <row r="3714" spans="1:13" hidden="1">
      <c r="A3714" t="s">
        <v>5211</v>
      </c>
      <c r="B3714" t="s">
        <v>4222</v>
      </c>
      <c r="C3714" s="1">
        <v>45421</v>
      </c>
      <c r="D3714" s="2">
        <v>18634348</v>
      </c>
      <c r="E3714" s="2">
        <v>2529</v>
      </c>
      <c r="F3714">
        <v>78</v>
      </c>
      <c r="G3714" s="2">
        <v>1314449</v>
      </c>
      <c r="H3714" s="2">
        <v>68494</v>
      </c>
      <c r="J3714">
        <v>35</v>
      </c>
      <c r="K3714">
        <v>8</v>
      </c>
      <c r="L3714">
        <v>0</v>
      </c>
      <c r="M3714" t="str">
        <f t="shared" si="57"/>
        <v>After 2020</v>
      </c>
    </row>
    <row r="3715" spans="1:13">
      <c r="A3715" t="s">
        <v>5212</v>
      </c>
      <c r="B3715" t="s">
        <v>3613</v>
      </c>
      <c r="C3715" s="1">
        <v>43805</v>
      </c>
      <c r="D3715" s="2">
        <v>289196126</v>
      </c>
      <c r="E3715" s="2">
        <v>56563</v>
      </c>
      <c r="F3715">
        <v>64</v>
      </c>
      <c r="G3715" s="2">
        <v>403607329</v>
      </c>
      <c r="H3715" s="2">
        <v>2363349</v>
      </c>
      <c r="I3715" s="2">
        <v>758684528</v>
      </c>
      <c r="J3715">
        <v>72</v>
      </c>
      <c r="K3715">
        <v>64</v>
      </c>
      <c r="L3715">
        <v>1</v>
      </c>
      <c r="M3715" t="str">
        <f t="shared" ref="M3715:M3778" si="58">IF(YEAR(C3715)&lt;2010,"Before 2010",IF(YEAR(C3715)&lt;=2020,"2010-2020","After 2020"))</f>
        <v>2010-2020</v>
      </c>
    </row>
    <row r="3716" spans="1:13">
      <c r="A3716" t="s">
        <v>5213</v>
      </c>
      <c r="B3716" t="s">
        <v>258</v>
      </c>
      <c r="C3716" s="1">
        <v>42736</v>
      </c>
      <c r="D3716" s="2">
        <v>388986035</v>
      </c>
      <c r="E3716" s="2">
        <v>32035</v>
      </c>
      <c r="F3716">
        <v>61</v>
      </c>
      <c r="G3716" s="2">
        <v>1029205329</v>
      </c>
      <c r="H3716" s="2">
        <v>5258522</v>
      </c>
      <c r="I3716" s="2">
        <v>138694370</v>
      </c>
      <c r="J3716">
        <v>52</v>
      </c>
      <c r="K3716">
        <v>33</v>
      </c>
      <c r="L3716">
        <v>0</v>
      </c>
      <c r="M3716" t="str">
        <f t="shared" si="58"/>
        <v>2010-2020</v>
      </c>
    </row>
    <row r="3717" spans="1:13" hidden="1">
      <c r="A3717" t="s">
        <v>5214</v>
      </c>
      <c r="B3717" t="s">
        <v>1380</v>
      </c>
      <c r="C3717" s="1">
        <v>45051</v>
      </c>
      <c r="D3717" s="2">
        <v>111150894</v>
      </c>
      <c r="E3717" s="2">
        <v>11465</v>
      </c>
      <c r="F3717">
        <v>67</v>
      </c>
      <c r="G3717" s="2">
        <v>130717641</v>
      </c>
      <c r="H3717" s="2">
        <v>376889</v>
      </c>
      <c r="I3717" s="2">
        <v>31451449</v>
      </c>
      <c r="J3717">
        <v>7</v>
      </c>
      <c r="L3717">
        <v>0</v>
      </c>
      <c r="M3717" t="str">
        <f t="shared" si="58"/>
        <v>After 2020</v>
      </c>
    </row>
    <row r="3718" spans="1:13" hidden="1">
      <c r="A3718" t="s">
        <v>5215</v>
      </c>
      <c r="B3718" t="s">
        <v>1887</v>
      </c>
      <c r="C3718" s="1">
        <v>45422</v>
      </c>
      <c r="D3718" s="2">
        <v>8734499</v>
      </c>
      <c r="E3718" s="2">
        <v>1005</v>
      </c>
      <c r="G3718" s="2">
        <v>4823719</v>
      </c>
      <c r="H3718" s="2">
        <v>124556</v>
      </c>
      <c r="J3718">
        <v>22</v>
      </c>
      <c r="K3718">
        <v>415</v>
      </c>
      <c r="L3718">
        <v>1</v>
      </c>
      <c r="M3718" t="str">
        <f t="shared" si="58"/>
        <v>After 2020</v>
      </c>
    </row>
    <row r="3719" spans="1:13">
      <c r="A3719" t="s">
        <v>5216</v>
      </c>
      <c r="B3719" t="s">
        <v>5217</v>
      </c>
      <c r="C3719" s="1">
        <v>44988</v>
      </c>
      <c r="D3719" s="2">
        <v>183683364</v>
      </c>
      <c r="E3719" s="2">
        <v>21804</v>
      </c>
      <c r="F3719">
        <v>63</v>
      </c>
      <c r="G3719" s="2">
        <v>67664152</v>
      </c>
      <c r="H3719" s="2">
        <v>3768577</v>
      </c>
      <c r="I3719" s="2">
        <v>803916984</v>
      </c>
      <c r="J3719">
        <v>15</v>
      </c>
      <c r="K3719">
        <v>12</v>
      </c>
      <c r="L3719">
        <v>1</v>
      </c>
      <c r="M3719" t="str">
        <f t="shared" si="58"/>
        <v>After 2020</v>
      </c>
    </row>
    <row r="3720" spans="1:13">
      <c r="A3720" t="s">
        <v>5218</v>
      </c>
      <c r="B3720" t="s">
        <v>236</v>
      </c>
      <c r="C3720" s="1">
        <v>45135</v>
      </c>
      <c r="D3720" s="2">
        <v>66878719</v>
      </c>
      <c r="E3720" s="2">
        <v>33290</v>
      </c>
      <c r="F3720">
        <v>62</v>
      </c>
      <c r="G3720" s="2">
        <v>2866171</v>
      </c>
      <c r="H3720" s="2">
        <v>33960</v>
      </c>
      <c r="I3720" s="2">
        <v>4277522</v>
      </c>
      <c r="J3720">
        <v>5</v>
      </c>
      <c r="K3720">
        <v>128</v>
      </c>
      <c r="L3720">
        <v>1</v>
      </c>
      <c r="M3720" t="str">
        <f t="shared" si="58"/>
        <v>After 2020</v>
      </c>
    </row>
    <row r="3721" spans="1:13" hidden="1">
      <c r="A3721" t="s">
        <v>2003</v>
      </c>
      <c r="B3721" t="s">
        <v>2004</v>
      </c>
      <c r="C3721" s="1">
        <v>42671</v>
      </c>
      <c r="D3721" s="2">
        <v>936450891</v>
      </c>
      <c r="E3721" s="2">
        <v>1317</v>
      </c>
      <c r="F3721">
        <v>40</v>
      </c>
      <c r="G3721" s="2">
        <v>1274494178</v>
      </c>
      <c r="H3721" s="2">
        <v>7719750</v>
      </c>
      <c r="I3721" s="2">
        <v>223131</v>
      </c>
      <c r="J3721">
        <v>27</v>
      </c>
      <c r="L3721">
        <v>0</v>
      </c>
      <c r="M3721" t="str">
        <f t="shared" si="58"/>
        <v>2010-2020</v>
      </c>
    </row>
    <row r="3722" spans="1:13">
      <c r="A3722" t="s">
        <v>5219</v>
      </c>
      <c r="B3722" t="s">
        <v>1373</v>
      </c>
      <c r="C3722" s="1">
        <v>42706</v>
      </c>
      <c r="D3722" s="2">
        <v>516523975</v>
      </c>
      <c r="E3722" s="2">
        <v>45773</v>
      </c>
      <c r="F3722">
        <v>67</v>
      </c>
      <c r="G3722" s="2">
        <v>407784529</v>
      </c>
      <c r="H3722" s="2">
        <v>2047661</v>
      </c>
      <c r="I3722" s="2">
        <v>10506569</v>
      </c>
      <c r="J3722">
        <v>39</v>
      </c>
      <c r="K3722">
        <v>56</v>
      </c>
      <c r="L3722">
        <v>0</v>
      </c>
      <c r="M3722" t="str">
        <f t="shared" si="58"/>
        <v>2010-2020</v>
      </c>
    </row>
    <row r="3723" spans="1:13" hidden="1">
      <c r="A3723" t="s">
        <v>5220</v>
      </c>
      <c r="B3723" t="s">
        <v>5221</v>
      </c>
      <c r="C3723" s="1">
        <v>43235</v>
      </c>
      <c r="D3723" s="2">
        <v>136456221</v>
      </c>
      <c r="E3723">
        <v>235</v>
      </c>
      <c r="G3723" s="2">
        <v>1075000461</v>
      </c>
      <c r="H3723" s="2">
        <v>4674383</v>
      </c>
      <c r="L3723">
        <v>0</v>
      </c>
      <c r="M3723" t="str">
        <f t="shared" si="58"/>
        <v>2010-2020</v>
      </c>
    </row>
    <row r="3724" spans="1:13">
      <c r="A3724" t="s">
        <v>5222</v>
      </c>
      <c r="B3724" t="s">
        <v>2047</v>
      </c>
      <c r="C3724" s="1">
        <v>44995</v>
      </c>
      <c r="D3724" s="2">
        <v>117186345</v>
      </c>
      <c r="E3724" s="2">
        <v>11752</v>
      </c>
      <c r="F3724">
        <v>62</v>
      </c>
      <c r="G3724" s="2">
        <v>137633324</v>
      </c>
      <c r="H3724" s="2">
        <v>2497620</v>
      </c>
      <c r="I3724" s="2">
        <v>580855649</v>
      </c>
      <c r="J3724">
        <v>11</v>
      </c>
      <c r="K3724">
        <v>33</v>
      </c>
      <c r="L3724">
        <v>0</v>
      </c>
      <c r="M3724" t="str">
        <f t="shared" si="58"/>
        <v>After 2020</v>
      </c>
    </row>
    <row r="3725" spans="1:13">
      <c r="A3725" t="s">
        <v>5223</v>
      </c>
      <c r="B3725" t="s">
        <v>5224</v>
      </c>
      <c r="C3725" s="1">
        <v>41582</v>
      </c>
      <c r="D3725" s="2">
        <v>1064534331</v>
      </c>
      <c r="E3725" s="2">
        <v>116991</v>
      </c>
      <c r="F3725">
        <v>65</v>
      </c>
      <c r="G3725" s="2">
        <v>113298251</v>
      </c>
      <c r="H3725" s="2">
        <v>1108651</v>
      </c>
      <c r="I3725" s="2">
        <v>339277915</v>
      </c>
      <c r="J3725">
        <v>102</v>
      </c>
      <c r="K3725">
        <v>120</v>
      </c>
      <c r="L3725">
        <v>0</v>
      </c>
      <c r="M3725" t="str">
        <f t="shared" si="58"/>
        <v>2010-2020</v>
      </c>
    </row>
    <row r="3726" spans="1:13" hidden="1">
      <c r="A3726" t="s">
        <v>1552</v>
      </c>
      <c r="B3726" t="s">
        <v>39</v>
      </c>
      <c r="C3726" s="1">
        <v>45058</v>
      </c>
      <c r="D3726" s="2">
        <v>1617307191</v>
      </c>
      <c r="L3726">
        <v>1</v>
      </c>
      <c r="M3726" t="str">
        <f t="shared" si="58"/>
        <v>After 2020</v>
      </c>
    </row>
    <row r="3727" spans="1:13" hidden="1">
      <c r="A3727" t="s">
        <v>5225</v>
      </c>
      <c r="B3727" t="s">
        <v>2594</v>
      </c>
      <c r="C3727" s="1">
        <v>45253</v>
      </c>
      <c r="D3727" s="2">
        <v>105759424</v>
      </c>
      <c r="E3727" s="2">
        <v>7383</v>
      </c>
      <c r="G3727" s="2">
        <v>52609155</v>
      </c>
      <c r="H3727" s="2">
        <v>629604</v>
      </c>
      <c r="J3727">
        <v>10</v>
      </c>
      <c r="K3727">
        <v>44</v>
      </c>
      <c r="L3727">
        <v>1</v>
      </c>
      <c r="M3727" t="str">
        <f t="shared" si="58"/>
        <v>After 2020</v>
      </c>
    </row>
    <row r="3728" spans="1:13">
      <c r="A3728" t="s">
        <v>5226</v>
      </c>
      <c r="B3728" t="s">
        <v>61</v>
      </c>
      <c r="C3728" s="1">
        <v>39448</v>
      </c>
      <c r="D3728" s="2">
        <v>643828366</v>
      </c>
      <c r="E3728" s="2">
        <v>87942</v>
      </c>
      <c r="F3728">
        <v>66</v>
      </c>
      <c r="G3728" s="2">
        <v>1600713698</v>
      </c>
      <c r="H3728" s="2">
        <v>10233607</v>
      </c>
      <c r="I3728" s="2">
        <v>428418832</v>
      </c>
      <c r="J3728">
        <v>45</v>
      </c>
      <c r="K3728">
        <v>244</v>
      </c>
      <c r="L3728">
        <v>0</v>
      </c>
      <c r="M3728" t="str">
        <f t="shared" si="58"/>
        <v>Before 2010</v>
      </c>
    </row>
    <row r="3729" spans="1:13">
      <c r="A3729" t="s">
        <v>5227</v>
      </c>
      <c r="B3729" t="s">
        <v>5228</v>
      </c>
      <c r="C3729" s="1">
        <v>42678</v>
      </c>
      <c r="D3729" s="2">
        <v>818926915</v>
      </c>
      <c r="E3729" s="2">
        <v>160628</v>
      </c>
      <c r="F3729">
        <v>77</v>
      </c>
      <c r="G3729" s="2">
        <v>85879643</v>
      </c>
      <c r="H3729" s="2">
        <v>1119551</v>
      </c>
      <c r="I3729" s="2">
        <v>478999463</v>
      </c>
      <c r="J3729">
        <v>37</v>
      </c>
      <c r="K3729">
        <v>278</v>
      </c>
      <c r="L3729">
        <v>0</v>
      </c>
      <c r="M3729" t="str">
        <f t="shared" si="58"/>
        <v>2010-2020</v>
      </c>
    </row>
    <row r="3730" spans="1:13" hidden="1">
      <c r="A3730" t="s">
        <v>5229</v>
      </c>
      <c r="B3730" t="s">
        <v>5230</v>
      </c>
      <c r="C3730" s="1">
        <v>44659</v>
      </c>
      <c r="D3730" s="2">
        <v>154127881</v>
      </c>
      <c r="E3730" s="2">
        <v>14889</v>
      </c>
      <c r="F3730">
        <v>72</v>
      </c>
      <c r="G3730" s="2">
        <v>233659337</v>
      </c>
      <c r="H3730" s="2">
        <v>1167552</v>
      </c>
      <c r="I3730" s="2">
        <v>1245591509</v>
      </c>
      <c r="J3730">
        <v>5</v>
      </c>
      <c r="L3730">
        <v>1</v>
      </c>
      <c r="M3730" t="str">
        <f t="shared" si="58"/>
        <v>After 2020</v>
      </c>
    </row>
    <row r="3731" spans="1:13">
      <c r="A3731" t="s">
        <v>5231</v>
      </c>
      <c r="B3731" t="s">
        <v>5102</v>
      </c>
      <c r="C3731" s="1">
        <v>36319</v>
      </c>
      <c r="D3731" s="2">
        <v>1405353677</v>
      </c>
      <c r="E3731" s="2">
        <v>276377</v>
      </c>
      <c r="F3731">
        <v>79</v>
      </c>
      <c r="G3731" s="2">
        <v>1518596886</v>
      </c>
      <c r="H3731" s="2">
        <v>7781636</v>
      </c>
      <c r="I3731" s="2">
        <v>226008149</v>
      </c>
      <c r="J3731">
        <v>2</v>
      </c>
      <c r="K3731">
        <v>79</v>
      </c>
      <c r="L3731">
        <v>0</v>
      </c>
      <c r="M3731" t="str">
        <f t="shared" si="58"/>
        <v>Before 2010</v>
      </c>
    </row>
    <row r="3732" spans="1:13">
      <c r="A3732" t="s">
        <v>5232</v>
      </c>
      <c r="B3732" t="s">
        <v>2216</v>
      </c>
      <c r="C3732" s="1">
        <v>42045</v>
      </c>
      <c r="D3732" s="2">
        <v>301574752</v>
      </c>
      <c r="E3732" s="2">
        <v>35991</v>
      </c>
      <c r="F3732">
        <v>61</v>
      </c>
      <c r="G3732" s="2">
        <v>1379939508</v>
      </c>
      <c r="H3732" s="2">
        <v>3240310</v>
      </c>
      <c r="I3732" s="2">
        <v>236524309</v>
      </c>
      <c r="J3732">
        <v>45</v>
      </c>
      <c r="K3732">
        <v>30</v>
      </c>
      <c r="L3732">
        <v>0</v>
      </c>
      <c r="M3732" t="str">
        <f t="shared" si="58"/>
        <v>2010-2020</v>
      </c>
    </row>
    <row r="3733" spans="1:13" hidden="1">
      <c r="A3733" t="s">
        <v>5233</v>
      </c>
      <c r="B3733" t="s">
        <v>1440</v>
      </c>
      <c r="C3733" s="1">
        <v>42804</v>
      </c>
      <c r="D3733" s="2">
        <v>921936314</v>
      </c>
      <c r="E3733" s="2">
        <v>40536</v>
      </c>
      <c r="F3733">
        <v>56</v>
      </c>
      <c r="G3733" s="2">
        <v>495192316</v>
      </c>
      <c r="H3733" s="2">
        <v>3867402</v>
      </c>
      <c r="J3733">
        <v>71</v>
      </c>
      <c r="L3733">
        <v>1</v>
      </c>
      <c r="M3733" t="str">
        <f t="shared" si="58"/>
        <v>2010-2020</v>
      </c>
    </row>
    <row r="3734" spans="1:13">
      <c r="A3734" t="s">
        <v>5234</v>
      </c>
      <c r="B3734" t="s">
        <v>1280</v>
      </c>
      <c r="C3734" s="1">
        <v>45142</v>
      </c>
      <c r="D3734" s="2">
        <v>109868838</v>
      </c>
      <c r="E3734" s="2">
        <v>17147</v>
      </c>
      <c r="F3734">
        <v>70</v>
      </c>
      <c r="G3734" s="2">
        <v>6256696</v>
      </c>
      <c r="H3734" s="2">
        <v>55646</v>
      </c>
      <c r="I3734" s="2">
        <v>7034216</v>
      </c>
      <c r="J3734">
        <v>48</v>
      </c>
      <c r="K3734">
        <v>5</v>
      </c>
      <c r="L3734">
        <v>0</v>
      </c>
      <c r="M3734" t="str">
        <f t="shared" si="58"/>
        <v>After 2020</v>
      </c>
    </row>
    <row r="3735" spans="1:13">
      <c r="A3735" t="s">
        <v>5235</v>
      </c>
      <c r="B3735" t="s">
        <v>4827</v>
      </c>
      <c r="C3735" s="1">
        <v>43700</v>
      </c>
      <c r="D3735" s="2">
        <v>177369022</v>
      </c>
      <c r="E3735" s="2">
        <v>26786</v>
      </c>
      <c r="F3735">
        <v>58</v>
      </c>
      <c r="G3735" s="2">
        <v>200783046</v>
      </c>
      <c r="H3735" s="2">
        <v>1614839</v>
      </c>
      <c r="I3735" s="2">
        <v>75387907</v>
      </c>
      <c r="J3735">
        <v>35</v>
      </c>
      <c r="K3735">
        <v>472</v>
      </c>
      <c r="L3735">
        <v>1</v>
      </c>
      <c r="M3735" t="str">
        <f t="shared" si="58"/>
        <v>2010-2020</v>
      </c>
    </row>
    <row r="3736" spans="1:13">
      <c r="A3736" t="s">
        <v>5236</v>
      </c>
      <c r="B3736" t="s">
        <v>127</v>
      </c>
      <c r="C3736" s="1">
        <v>41640</v>
      </c>
      <c r="D3736" s="2">
        <v>982399328</v>
      </c>
      <c r="E3736" s="2">
        <v>142822</v>
      </c>
      <c r="F3736">
        <v>73</v>
      </c>
      <c r="G3736" s="2">
        <v>578225770</v>
      </c>
      <c r="H3736" s="2">
        <v>3493215</v>
      </c>
      <c r="I3736" s="2">
        <v>191313816</v>
      </c>
      <c r="J3736">
        <v>47</v>
      </c>
      <c r="K3736">
        <v>38</v>
      </c>
      <c r="L3736">
        <v>1</v>
      </c>
      <c r="M3736" t="str">
        <f t="shared" si="58"/>
        <v>2010-2020</v>
      </c>
    </row>
    <row r="3737" spans="1:13" hidden="1">
      <c r="A3737" t="s">
        <v>5237</v>
      </c>
      <c r="B3737" t="s">
        <v>4266</v>
      </c>
      <c r="C3737" s="1">
        <v>44616</v>
      </c>
      <c r="D3737" s="2">
        <v>237867475</v>
      </c>
      <c r="E3737" s="2">
        <v>19268</v>
      </c>
      <c r="F3737">
        <v>61</v>
      </c>
      <c r="G3737" s="2">
        <v>302341579</v>
      </c>
      <c r="H3737" s="2">
        <v>1218262</v>
      </c>
      <c r="J3737">
        <v>27</v>
      </c>
      <c r="L3737">
        <v>0</v>
      </c>
      <c r="M3737" t="str">
        <f t="shared" si="58"/>
        <v>After 2020</v>
      </c>
    </row>
    <row r="3738" spans="1:13">
      <c r="A3738" t="s">
        <v>5238</v>
      </c>
      <c r="B3738" t="s">
        <v>139</v>
      </c>
      <c r="C3738" s="1">
        <v>45156</v>
      </c>
      <c r="D3738" s="2">
        <v>72446983</v>
      </c>
      <c r="E3738" s="2">
        <v>7731</v>
      </c>
      <c r="F3738">
        <v>60</v>
      </c>
      <c r="G3738" s="2">
        <v>100786648</v>
      </c>
      <c r="H3738" s="2">
        <v>982757</v>
      </c>
      <c r="I3738" s="2">
        <v>325517526</v>
      </c>
      <c r="J3738">
        <v>20</v>
      </c>
      <c r="K3738">
        <v>3</v>
      </c>
      <c r="L3738">
        <v>0</v>
      </c>
      <c r="M3738" t="str">
        <f t="shared" si="58"/>
        <v>After 2020</v>
      </c>
    </row>
    <row r="3739" spans="1:13" hidden="1">
      <c r="A3739" t="s">
        <v>5239</v>
      </c>
      <c r="B3739" t="s">
        <v>5240</v>
      </c>
      <c r="C3739" s="1">
        <v>45170</v>
      </c>
      <c r="D3739" s="2">
        <v>127818826</v>
      </c>
      <c r="E3739" s="2">
        <v>8847</v>
      </c>
      <c r="G3739" s="2">
        <v>79764064</v>
      </c>
      <c r="H3739" s="2">
        <v>303155</v>
      </c>
      <c r="J3739">
        <v>5</v>
      </c>
      <c r="L3739">
        <v>0</v>
      </c>
      <c r="M3739" t="str">
        <f t="shared" si="58"/>
        <v>After 2020</v>
      </c>
    </row>
    <row r="3740" spans="1:13" hidden="1">
      <c r="A3740" t="s">
        <v>5241</v>
      </c>
      <c r="B3740" t="s">
        <v>1857</v>
      </c>
      <c r="C3740" s="1">
        <v>45330</v>
      </c>
      <c r="D3740" s="2">
        <v>465320426</v>
      </c>
      <c r="E3740">
        <v>324</v>
      </c>
      <c r="J3740">
        <v>26</v>
      </c>
      <c r="L3740">
        <v>0</v>
      </c>
      <c r="M3740" t="str">
        <f t="shared" si="58"/>
        <v>After 2020</v>
      </c>
    </row>
    <row r="3741" spans="1:13" hidden="1">
      <c r="A3741" t="s">
        <v>5242</v>
      </c>
      <c r="B3741" t="s">
        <v>5243</v>
      </c>
      <c r="C3741" s="1">
        <v>43081</v>
      </c>
      <c r="D3741" s="2">
        <v>22317486</v>
      </c>
      <c r="E3741" s="2">
        <v>4244</v>
      </c>
      <c r="F3741">
        <v>50</v>
      </c>
      <c r="G3741" s="2">
        <v>1179253796</v>
      </c>
      <c r="H3741" s="2">
        <v>5477479</v>
      </c>
      <c r="I3741" s="2">
        <v>48439256</v>
      </c>
      <c r="J3741">
        <v>12</v>
      </c>
      <c r="L3741">
        <v>0</v>
      </c>
      <c r="M3741" t="str">
        <f t="shared" si="58"/>
        <v>2010-2020</v>
      </c>
    </row>
    <row r="3742" spans="1:13" hidden="1">
      <c r="A3742" t="s">
        <v>5244</v>
      </c>
      <c r="B3742" t="s">
        <v>5245</v>
      </c>
      <c r="C3742" s="1">
        <v>44785</v>
      </c>
      <c r="D3742" s="2">
        <v>26054526</v>
      </c>
      <c r="E3742" s="2">
        <v>23652</v>
      </c>
      <c r="F3742">
        <v>41</v>
      </c>
      <c r="G3742" s="2">
        <v>1500755</v>
      </c>
      <c r="H3742" s="2">
        <v>20564</v>
      </c>
      <c r="I3742" s="2">
        <v>769574589</v>
      </c>
      <c r="J3742">
        <v>1</v>
      </c>
      <c r="L3742">
        <v>1</v>
      </c>
      <c r="M3742" t="str">
        <f t="shared" si="58"/>
        <v>After 2020</v>
      </c>
    </row>
    <row r="3743" spans="1:13" hidden="1">
      <c r="A3743" t="s">
        <v>5246</v>
      </c>
      <c r="B3743" t="s">
        <v>5247</v>
      </c>
      <c r="C3743" s="1">
        <v>45122</v>
      </c>
      <c r="D3743" s="2">
        <v>9015</v>
      </c>
      <c r="E3743">
        <v>4</v>
      </c>
      <c r="F3743">
        <v>6</v>
      </c>
      <c r="I3743" s="2">
        <v>55049957</v>
      </c>
      <c r="L3743">
        <v>0</v>
      </c>
      <c r="M3743" t="str">
        <f t="shared" si="58"/>
        <v>After 2020</v>
      </c>
    </row>
    <row r="3744" spans="1:13" hidden="1">
      <c r="A3744" t="s">
        <v>5248</v>
      </c>
      <c r="B3744" t="s">
        <v>5249</v>
      </c>
      <c r="C3744" s="1">
        <v>44105</v>
      </c>
      <c r="D3744" s="2">
        <v>144767</v>
      </c>
      <c r="E3744">
        <v>82</v>
      </c>
      <c r="G3744" s="2">
        <v>697719336</v>
      </c>
      <c r="H3744" s="2">
        <v>3167472</v>
      </c>
      <c r="L3744">
        <v>0</v>
      </c>
      <c r="M3744" t="str">
        <f t="shared" si="58"/>
        <v>2010-2020</v>
      </c>
    </row>
    <row r="3745" spans="1:13" hidden="1">
      <c r="A3745" t="s">
        <v>5250</v>
      </c>
      <c r="B3745" t="s">
        <v>5251</v>
      </c>
      <c r="C3745" s="1">
        <v>44897</v>
      </c>
      <c r="D3745" s="2">
        <v>127080399</v>
      </c>
      <c r="E3745" s="2">
        <v>24672</v>
      </c>
      <c r="F3745">
        <v>67</v>
      </c>
      <c r="G3745" s="2">
        <v>62472711</v>
      </c>
      <c r="H3745" s="2">
        <v>883285</v>
      </c>
      <c r="J3745">
        <v>7</v>
      </c>
      <c r="L3745">
        <v>0</v>
      </c>
      <c r="M3745" t="str">
        <f t="shared" si="58"/>
        <v>After 2020</v>
      </c>
    </row>
    <row r="3746" spans="1:13" hidden="1">
      <c r="A3746" t="s">
        <v>5252</v>
      </c>
      <c r="B3746" t="s">
        <v>5253</v>
      </c>
      <c r="C3746" s="1">
        <v>45324</v>
      </c>
      <c r="D3746" s="2">
        <v>54477192</v>
      </c>
      <c r="E3746" s="2">
        <v>3729</v>
      </c>
      <c r="F3746">
        <v>77</v>
      </c>
      <c r="G3746" s="2">
        <v>36326774</v>
      </c>
      <c r="H3746" s="2">
        <v>890834</v>
      </c>
      <c r="I3746" s="2">
        <v>41400000</v>
      </c>
      <c r="J3746">
        <v>2</v>
      </c>
      <c r="L3746">
        <v>1</v>
      </c>
      <c r="M3746" t="str">
        <f t="shared" si="58"/>
        <v>After 2020</v>
      </c>
    </row>
    <row r="3747" spans="1:13" hidden="1">
      <c r="A3747" t="s">
        <v>5254</v>
      </c>
      <c r="B3747" t="s">
        <v>5255</v>
      </c>
      <c r="C3747" s="1">
        <v>43845</v>
      </c>
      <c r="D3747" s="2">
        <v>256133319</v>
      </c>
      <c r="E3747" s="2">
        <v>38487</v>
      </c>
      <c r="F3747">
        <v>65</v>
      </c>
      <c r="G3747" s="2">
        <v>515007268</v>
      </c>
      <c r="H3747" s="2">
        <v>2900662</v>
      </c>
      <c r="I3747" s="2">
        <v>341404786</v>
      </c>
      <c r="J3747">
        <v>8</v>
      </c>
      <c r="L3747">
        <v>0</v>
      </c>
      <c r="M3747" t="str">
        <f t="shared" si="58"/>
        <v>2010-2020</v>
      </c>
    </row>
    <row r="3748" spans="1:13" hidden="1">
      <c r="A3748" t="s">
        <v>5256</v>
      </c>
      <c r="B3748" t="s">
        <v>1643</v>
      </c>
      <c r="C3748" s="1">
        <v>45450</v>
      </c>
      <c r="D3748" s="2">
        <v>2480498</v>
      </c>
      <c r="E3748">
        <v>776</v>
      </c>
      <c r="G3748" s="2">
        <v>144589</v>
      </c>
      <c r="H3748" s="2">
        <v>5727</v>
      </c>
      <c r="J3748">
        <v>24</v>
      </c>
      <c r="L3748">
        <v>0</v>
      </c>
      <c r="M3748" t="str">
        <f t="shared" si="58"/>
        <v>After 2020</v>
      </c>
    </row>
    <row r="3749" spans="1:13">
      <c r="A3749" t="s">
        <v>5257</v>
      </c>
      <c r="B3749" t="s">
        <v>5258</v>
      </c>
      <c r="C3749" s="1">
        <v>43119</v>
      </c>
      <c r="D3749" s="2">
        <v>391235723</v>
      </c>
      <c r="E3749" s="2">
        <v>77293</v>
      </c>
      <c r="F3749">
        <v>6</v>
      </c>
      <c r="G3749" s="2">
        <v>133338318</v>
      </c>
      <c r="H3749" s="2">
        <v>1407929</v>
      </c>
      <c r="I3749" s="2">
        <v>193481131</v>
      </c>
      <c r="J3749">
        <v>9</v>
      </c>
      <c r="K3749">
        <v>12</v>
      </c>
      <c r="L3749">
        <v>0</v>
      </c>
      <c r="M3749" t="str">
        <f t="shared" si="58"/>
        <v>2010-2020</v>
      </c>
    </row>
    <row r="3750" spans="1:13">
      <c r="A3750" t="s">
        <v>5259</v>
      </c>
      <c r="B3750" t="s">
        <v>141</v>
      </c>
      <c r="C3750" s="1">
        <v>43457</v>
      </c>
      <c r="D3750" s="2">
        <v>461199840</v>
      </c>
      <c r="E3750" s="2">
        <v>57617</v>
      </c>
      <c r="F3750">
        <v>61</v>
      </c>
      <c r="G3750" s="2">
        <v>457134135</v>
      </c>
      <c r="H3750" s="2">
        <v>3745990</v>
      </c>
      <c r="I3750" s="2">
        <v>170750243</v>
      </c>
      <c r="J3750">
        <v>14</v>
      </c>
      <c r="K3750">
        <v>21</v>
      </c>
      <c r="L3750">
        <v>1</v>
      </c>
      <c r="M3750" t="str">
        <f t="shared" si="58"/>
        <v>2010-2020</v>
      </c>
    </row>
    <row r="3751" spans="1:13">
      <c r="A3751" t="s">
        <v>5260</v>
      </c>
      <c r="B3751" t="s">
        <v>170</v>
      </c>
      <c r="C3751" s="1">
        <v>44980</v>
      </c>
      <c r="D3751" s="2">
        <v>132811353</v>
      </c>
      <c r="E3751" s="2">
        <v>12970</v>
      </c>
      <c r="F3751">
        <v>66</v>
      </c>
      <c r="G3751" s="2">
        <v>53670834</v>
      </c>
      <c r="H3751" s="2">
        <v>569439</v>
      </c>
      <c r="I3751" s="2">
        <v>163703206</v>
      </c>
      <c r="J3751">
        <v>9</v>
      </c>
      <c r="K3751">
        <v>18</v>
      </c>
      <c r="L3751">
        <v>0</v>
      </c>
      <c r="M3751" t="str">
        <f t="shared" si="58"/>
        <v>After 2020</v>
      </c>
    </row>
    <row r="3752" spans="1:13">
      <c r="A3752" t="s">
        <v>5261</v>
      </c>
      <c r="B3752" t="s">
        <v>3660</v>
      </c>
      <c r="C3752" s="1">
        <v>44428</v>
      </c>
      <c r="D3752" s="2">
        <v>300361628</v>
      </c>
      <c r="E3752" s="2">
        <v>57447</v>
      </c>
      <c r="F3752">
        <v>63</v>
      </c>
      <c r="G3752" s="2">
        <v>73752014</v>
      </c>
      <c r="H3752" s="2">
        <v>482554</v>
      </c>
      <c r="I3752" s="2">
        <v>11785929</v>
      </c>
      <c r="J3752">
        <v>94</v>
      </c>
      <c r="K3752">
        <v>25</v>
      </c>
      <c r="L3752">
        <v>0</v>
      </c>
      <c r="M3752" t="str">
        <f t="shared" si="58"/>
        <v>After 2020</v>
      </c>
    </row>
    <row r="3753" spans="1:13">
      <c r="A3753" t="s">
        <v>5262</v>
      </c>
      <c r="B3753" t="s">
        <v>5263</v>
      </c>
      <c r="C3753" s="1">
        <v>38353</v>
      </c>
      <c r="D3753" s="2">
        <v>954807024</v>
      </c>
      <c r="E3753" s="2">
        <v>219091</v>
      </c>
      <c r="F3753">
        <v>75</v>
      </c>
      <c r="G3753" s="2">
        <v>1230174677</v>
      </c>
      <c r="H3753" s="2">
        <v>8016633</v>
      </c>
      <c r="I3753" s="2">
        <v>950938614</v>
      </c>
      <c r="J3753">
        <v>76</v>
      </c>
      <c r="K3753">
        <v>122</v>
      </c>
      <c r="L3753">
        <v>1</v>
      </c>
      <c r="M3753" t="str">
        <f t="shared" si="58"/>
        <v>Before 2010</v>
      </c>
    </row>
    <row r="3754" spans="1:13">
      <c r="A3754" t="s">
        <v>5264</v>
      </c>
      <c r="B3754" t="s">
        <v>5265</v>
      </c>
      <c r="C3754" s="1">
        <v>44435</v>
      </c>
      <c r="D3754" s="2">
        <v>335212411</v>
      </c>
      <c r="E3754" s="2">
        <v>50340</v>
      </c>
      <c r="F3754">
        <v>71</v>
      </c>
      <c r="G3754" s="2">
        <v>154369917</v>
      </c>
      <c r="H3754" s="2">
        <v>1963254</v>
      </c>
      <c r="I3754" s="2">
        <v>1513137827</v>
      </c>
      <c r="J3754">
        <v>8</v>
      </c>
      <c r="K3754">
        <v>8</v>
      </c>
      <c r="L3754">
        <v>0</v>
      </c>
      <c r="M3754" t="str">
        <f t="shared" si="58"/>
        <v>After 2020</v>
      </c>
    </row>
    <row r="3755" spans="1:13" hidden="1">
      <c r="A3755" t="s">
        <v>5266</v>
      </c>
      <c r="B3755" t="s">
        <v>2321</v>
      </c>
      <c r="C3755" s="1">
        <v>44337</v>
      </c>
      <c r="D3755" s="2">
        <v>204669341</v>
      </c>
      <c r="E3755" s="2">
        <v>54797</v>
      </c>
      <c r="F3755">
        <v>65</v>
      </c>
      <c r="G3755" s="2">
        <v>49001959</v>
      </c>
      <c r="H3755" s="2">
        <v>441894</v>
      </c>
      <c r="I3755" s="2">
        <v>49284460</v>
      </c>
      <c r="J3755">
        <v>2</v>
      </c>
      <c r="L3755">
        <v>1</v>
      </c>
      <c r="M3755" t="str">
        <f t="shared" si="58"/>
        <v>After 2020</v>
      </c>
    </row>
    <row r="3756" spans="1:13" hidden="1">
      <c r="A3756" t="s">
        <v>5267</v>
      </c>
      <c r="B3756" t="s">
        <v>3208</v>
      </c>
      <c r="C3756" s="1">
        <v>44848</v>
      </c>
      <c r="D3756" s="2">
        <v>162996272</v>
      </c>
      <c r="E3756" s="2">
        <v>20521</v>
      </c>
      <c r="F3756">
        <v>61</v>
      </c>
      <c r="G3756" s="2">
        <v>137834966</v>
      </c>
      <c r="H3756" s="2">
        <v>708557</v>
      </c>
      <c r="I3756" s="2">
        <v>72517463</v>
      </c>
      <c r="J3756">
        <v>5</v>
      </c>
      <c r="L3756">
        <v>0</v>
      </c>
      <c r="M3756" t="str">
        <f t="shared" si="58"/>
        <v>After 2020</v>
      </c>
    </row>
    <row r="3757" spans="1:13" hidden="1">
      <c r="A3757" t="s">
        <v>5268</v>
      </c>
      <c r="B3757" t="s">
        <v>281</v>
      </c>
      <c r="C3757" s="1">
        <v>43076</v>
      </c>
      <c r="D3757" s="2">
        <v>333106545</v>
      </c>
      <c r="E3757" s="2">
        <v>25970</v>
      </c>
      <c r="F3757">
        <v>59</v>
      </c>
      <c r="G3757" s="2">
        <v>982437656</v>
      </c>
      <c r="H3757" s="2">
        <v>2944717</v>
      </c>
      <c r="I3757" s="2">
        <v>37754097</v>
      </c>
      <c r="J3757">
        <v>18</v>
      </c>
      <c r="L3757">
        <v>0</v>
      </c>
      <c r="M3757" t="str">
        <f t="shared" si="58"/>
        <v>2010-2020</v>
      </c>
    </row>
    <row r="3758" spans="1:13">
      <c r="A3758" t="s">
        <v>5269</v>
      </c>
      <c r="B3758" t="s">
        <v>5270</v>
      </c>
      <c r="C3758" s="1">
        <v>41352</v>
      </c>
      <c r="D3758" s="2">
        <v>253903241</v>
      </c>
      <c r="E3758" s="2">
        <v>57350</v>
      </c>
      <c r="F3758">
        <v>59</v>
      </c>
      <c r="G3758" s="2">
        <v>25539550</v>
      </c>
      <c r="H3758" s="2">
        <v>321940</v>
      </c>
      <c r="I3758" s="2">
        <v>136052679</v>
      </c>
      <c r="J3758">
        <v>25</v>
      </c>
      <c r="K3758">
        <v>14</v>
      </c>
      <c r="L3758">
        <v>1</v>
      </c>
      <c r="M3758" t="str">
        <f t="shared" si="58"/>
        <v>2010-2020</v>
      </c>
    </row>
    <row r="3759" spans="1:13" hidden="1">
      <c r="A3759" t="s">
        <v>5271</v>
      </c>
      <c r="B3759" t="s">
        <v>5272</v>
      </c>
      <c r="C3759" s="1">
        <v>45196</v>
      </c>
      <c r="D3759" s="2">
        <v>18708085</v>
      </c>
      <c r="E3759" s="2">
        <v>6754</v>
      </c>
      <c r="G3759" s="2">
        <v>6801971</v>
      </c>
      <c r="H3759" s="2">
        <v>145932</v>
      </c>
      <c r="I3759" s="2">
        <v>68136</v>
      </c>
      <c r="J3759">
        <v>14</v>
      </c>
      <c r="K3759">
        <v>204</v>
      </c>
      <c r="L3759">
        <v>1</v>
      </c>
      <c r="M3759" t="str">
        <f t="shared" si="58"/>
        <v>After 2020</v>
      </c>
    </row>
    <row r="3760" spans="1:13" hidden="1">
      <c r="A3760" t="s">
        <v>23</v>
      </c>
      <c r="B3760" t="s">
        <v>24</v>
      </c>
      <c r="C3760" s="1">
        <v>44938</v>
      </c>
      <c r="D3760" s="2">
        <v>2031280633</v>
      </c>
      <c r="E3760">
        <v>1</v>
      </c>
      <c r="L3760">
        <v>0</v>
      </c>
      <c r="M3760" t="str">
        <f t="shared" si="58"/>
        <v>After 2020</v>
      </c>
    </row>
    <row r="3761" spans="1:13">
      <c r="A3761" t="s">
        <v>5273</v>
      </c>
      <c r="B3761" t="s">
        <v>5274</v>
      </c>
      <c r="C3761" s="1">
        <v>45044</v>
      </c>
      <c r="D3761" s="2">
        <v>54611633</v>
      </c>
      <c r="E3761" s="2">
        <v>19814</v>
      </c>
      <c r="F3761">
        <v>61</v>
      </c>
      <c r="G3761" s="2">
        <v>25626713</v>
      </c>
      <c r="H3761" s="2">
        <v>241463</v>
      </c>
      <c r="I3761" s="2">
        <v>681526979</v>
      </c>
      <c r="J3761">
        <v>38</v>
      </c>
      <c r="K3761">
        <v>21</v>
      </c>
      <c r="L3761">
        <v>1</v>
      </c>
      <c r="M3761" t="str">
        <f t="shared" si="58"/>
        <v>After 2020</v>
      </c>
    </row>
    <row r="3762" spans="1:13" hidden="1">
      <c r="A3762" t="s">
        <v>5275</v>
      </c>
      <c r="B3762" t="s">
        <v>2337</v>
      </c>
      <c r="C3762" s="1">
        <v>44517</v>
      </c>
      <c r="D3762" s="2">
        <v>265253887</v>
      </c>
      <c r="E3762" s="2">
        <v>50642</v>
      </c>
      <c r="F3762">
        <v>61</v>
      </c>
      <c r="G3762" s="2">
        <v>186689501</v>
      </c>
      <c r="H3762" s="2">
        <v>2429799</v>
      </c>
      <c r="I3762" s="2">
        <v>704505804</v>
      </c>
      <c r="J3762">
        <v>25</v>
      </c>
      <c r="L3762">
        <v>1</v>
      </c>
      <c r="M3762" t="str">
        <f t="shared" si="58"/>
        <v>After 2020</v>
      </c>
    </row>
    <row r="3763" spans="1:13" hidden="1">
      <c r="A3763" t="s">
        <v>5276</v>
      </c>
      <c r="B3763" t="s">
        <v>5277</v>
      </c>
      <c r="C3763" s="1">
        <v>45100</v>
      </c>
      <c r="D3763" s="2">
        <v>44235866</v>
      </c>
      <c r="E3763" s="2">
        <v>6022</v>
      </c>
      <c r="F3763">
        <v>66</v>
      </c>
      <c r="G3763" s="2">
        <v>5698615</v>
      </c>
      <c r="H3763" s="2">
        <v>142632</v>
      </c>
      <c r="I3763" s="2">
        <v>1776006642</v>
      </c>
      <c r="J3763">
        <v>4</v>
      </c>
      <c r="L3763">
        <v>0</v>
      </c>
      <c r="M3763" t="str">
        <f t="shared" si="58"/>
        <v>After 2020</v>
      </c>
    </row>
    <row r="3764" spans="1:13">
      <c r="A3764" t="s">
        <v>5278</v>
      </c>
      <c r="B3764" t="s">
        <v>1355</v>
      </c>
      <c r="C3764" s="1">
        <v>44328</v>
      </c>
      <c r="D3764" s="2">
        <v>265126606</v>
      </c>
      <c r="E3764" s="2">
        <v>24857</v>
      </c>
      <c r="F3764">
        <v>53</v>
      </c>
      <c r="G3764" s="2">
        <v>336327870</v>
      </c>
      <c r="H3764" s="2">
        <v>1617604</v>
      </c>
      <c r="I3764" s="2">
        <v>92652072</v>
      </c>
      <c r="J3764">
        <v>14</v>
      </c>
      <c r="K3764">
        <v>50</v>
      </c>
      <c r="L3764">
        <v>1</v>
      </c>
      <c r="M3764" t="str">
        <f t="shared" si="58"/>
        <v>After 2020</v>
      </c>
    </row>
    <row r="3765" spans="1:13">
      <c r="A3765" t="s">
        <v>5279</v>
      </c>
      <c r="B3765" t="s">
        <v>24</v>
      </c>
      <c r="C3765" s="1">
        <v>42866</v>
      </c>
      <c r="D3765" s="2">
        <v>810044838</v>
      </c>
      <c r="E3765" s="2">
        <v>87422</v>
      </c>
      <c r="F3765">
        <v>68</v>
      </c>
      <c r="G3765" s="2">
        <v>541704571</v>
      </c>
      <c r="H3765" s="2">
        <v>3988386</v>
      </c>
      <c r="I3765" s="2">
        <v>1190522330</v>
      </c>
      <c r="J3765">
        <v>136</v>
      </c>
      <c r="K3765">
        <v>132</v>
      </c>
      <c r="L3765">
        <v>0</v>
      </c>
      <c r="M3765" t="str">
        <f t="shared" si="58"/>
        <v>2010-2020</v>
      </c>
    </row>
    <row r="3766" spans="1:13" hidden="1">
      <c r="A3766" t="s">
        <v>5280</v>
      </c>
      <c r="B3766" t="s">
        <v>108</v>
      </c>
      <c r="C3766" s="1">
        <v>45310</v>
      </c>
      <c r="D3766" s="2">
        <v>70354552</v>
      </c>
      <c r="E3766" s="2">
        <v>9185</v>
      </c>
      <c r="G3766" s="2">
        <v>19123011</v>
      </c>
      <c r="H3766" s="2">
        <v>368576</v>
      </c>
      <c r="I3766" s="2">
        <v>45949903</v>
      </c>
      <c r="J3766">
        <v>17</v>
      </c>
      <c r="K3766">
        <v>40</v>
      </c>
      <c r="L3766">
        <v>0</v>
      </c>
      <c r="M3766" t="str">
        <f t="shared" si="58"/>
        <v>After 2020</v>
      </c>
    </row>
    <row r="3767" spans="1:13" hidden="1">
      <c r="A3767" t="s">
        <v>5281</v>
      </c>
      <c r="B3767" t="s">
        <v>2912</v>
      </c>
      <c r="C3767" s="1">
        <v>44818</v>
      </c>
      <c r="D3767" s="2">
        <v>428290193</v>
      </c>
      <c r="E3767" s="2">
        <v>54042</v>
      </c>
      <c r="F3767">
        <v>75</v>
      </c>
      <c r="J3767">
        <v>2</v>
      </c>
      <c r="L3767">
        <v>0</v>
      </c>
      <c r="M3767" t="str">
        <f t="shared" si="58"/>
        <v>After 2020</v>
      </c>
    </row>
    <row r="3768" spans="1:13" hidden="1">
      <c r="A3768" t="s">
        <v>5282</v>
      </c>
      <c r="B3768" t="s">
        <v>5283</v>
      </c>
      <c r="C3768" s="1">
        <v>44855</v>
      </c>
      <c r="D3768" s="2">
        <v>164206429</v>
      </c>
      <c r="E3768" s="2">
        <v>49659</v>
      </c>
      <c r="F3768">
        <v>63</v>
      </c>
      <c r="G3768" s="2">
        <v>12484960</v>
      </c>
      <c r="H3768" s="2">
        <v>163647</v>
      </c>
      <c r="I3768" s="2">
        <v>182197234</v>
      </c>
      <c r="J3768">
        <v>1</v>
      </c>
      <c r="L3768">
        <v>0</v>
      </c>
      <c r="M3768" t="str">
        <f t="shared" si="58"/>
        <v>After 2020</v>
      </c>
    </row>
    <row r="3769" spans="1:13" hidden="1">
      <c r="A3769" t="s">
        <v>78</v>
      </c>
      <c r="B3769" t="s">
        <v>5284</v>
      </c>
      <c r="C3769" s="1">
        <v>42818</v>
      </c>
      <c r="D3769" s="2">
        <v>53980875</v>
      </c>
      <c r="E3769" s="2">
        <v>4005</v>
      </c>
      <c r="F3769">
        <v>55</v>
      </c>
      <c r="G3769" s="2">
        <v>1065036315</v>
      </c>
      <c r="H3769" s="2">
        <v>1487277</v>
      </c>
      <c r="I3769" s="2">
        <v>386999</v>
      </c>
      <c r="J3769">
        <v>2</v>
      </c>
      <c r="L3769">
        <v>0</v>
      </c>
      <c r="M3769" t="str">
        <f t="shared" si="58"/>
        <v>2010-2020</v>
      </c>
    </row>
    <row r="3770" spans="1:13" hidden="1">
      <c r="A3770" t="s">
        <v>5285</v>
      </c>
      <c r="B3770" t="s">
        <v>522</v>
      </c>
      <c r="C3770" s="1">
        <v>45219</v>
      </c>
      <c r="D3770" s="2">
        <v>90149537</v>
      </c>
      <c r="E3770" s="2">
        <v>6289</v>
      </c>
      <c r="G3770" s="2">
        <v>61433874</v>
      </c>
      <c r="H3770" s="2">
        <v>291107</v>
      </c>
      <c r="I3770" s="2">
        <v>38602611</v>
      </c>
      <c r="J3770">
        <v>10</v>
      </c>
      <c r="L3770">
        <v>1</v>
      </c>
      <c r="M3770" t="str">
        <f t="shared" si="58"/>
        <v>After 2020</v>
      </c>
    </row>
    <row r="3771" spans="1:13" hidden="1">
      <c r="A3771" t="s">
        <v>5286</v>
      </c>
      <c r="B3771" t="s">
        <v>5287</v>
      </c>
      <c r="C3771" s="1">
        <v>44861</v>
      </c>
      <c r="D3771" s="2">
        <v>68110254</v>
      </c>
      <c r="E3771" s="2">
        <v>5563</v>
      </c>
      <c r="F3771">
        <v>62</v>
      </c>
      <c r="G3771" s="2">
        <v>220238857</v>
      </c>
      <c r="H3771" s="2">
        <v>1027402</v>
      </c>
      <c r="I3771" s="2">
        <v>175981880</v>
      </c>
      <c r="J3771">
        <v>13</v>
      </c>
      <c r="L3771">
        <v>0</v>
      </c>
      <c r="M3771" t="str">
        <f t="shared" si="58"/>
        <v>After 2020</v>
      </c>
    </row>
    <row r="3772" spans="1:13" hidden="1">
      <c r="A3772" t="s">
        <v>5288</v>
      </c>
      <c r="B3772" t="s">
        <v>2368</v>
      </c>
      <c r="C3772" s="1">
        <v>43500</v>
      </c>
      <c r="D3772" s="2">
        <v>84890640</v>
      </c>
      <c r="E3772" s="2">
        <v>8746</v>
      </c>
      <c r="F3772">
        <v>59</v>
      </c>
      <c r="G3772" s="2">
        <v>939513536</v>
      </c>
      <c r="H3772" s="2">
        <v>3629985</v>
      </c>
      <c r="I3772" s="2">
        <v>7092486</v>
      </c>
      <c r="J3772">
        <v>17</v>
      </c>
      <c r="L3772">
        <v>0</v>
      </c>
      <c r="M3772" t="str">
        <f t="shared" si="58"/>
        <v>2010-2020</v>
      </c>
    </row>
    <row r="3773" spans="1:13">
      <c r="A3773" t="s">
        <v>5289</v>
      </c>
      <c r="B3773" t="s">
        <v>1102</v>
      </c>
      <c r="C3773" s="1">
        <v>44603</v>
      </c>
      <c r="D3773" s="2">
        <v>409608018</v>
      </c>
      <c r="E3773" s="2">
        <v>35760</v>
      </c>
      <c r="F3773">
        <v>70</v>
      </c>
      <c r="G3773" s="2">
        <v>144073017</v>
      </c>
      <c r="H3773" s="2">
        <v>744920</v>
      </c>
      <c r="I3773" s="2">
        <v>274609855</v>
      </c>
      <c r="J3773">
        <v>17</v>
      </c>
      <c r="K3773">
        <v>7</v>
      </c>
      <c r="L3773">
        <v>0</v>
      </c>
      <c r="M3773" t="str">
        <f t="shared" si="58"/>
        <v>After 2020</v>
      </c>
    </row>
    <row r="3774" spans="1:13" hidden="1">
      <c r="A3774" t="s">
        <v>5290</v>
      </c>
      <c r="B3774" t="s">
        <v>2998</v>
      </c>
      <c r="C3774" s="1">
        <v>44841</v>
      </c>
      <c r="D3774" s="2">
        <v>153478699</v>
      </c>
      <c r="E3774" s="2">
        <v>23576</v>
      </c>
      <c r="F3774">
        <v>68</v>
      </c>
      <c r="G3774" s="2">
        <v>8834684</v>
      </c>
      <c r="H3774" s="2">
        <v>103744</v>
      </c>
      <c r="J3774">
        <v>66</v>
      </c>
      <c r="K3774">
        <v>84</v>
      </c>
      <c r="L3774">
        <v>0</v>
      </c>
      <c r="M3774" t="str">
        <f t="shared" si="58"/>
        <v>After 2020</v>
      </c>
    </row>
    <row r="3775" spans="1:13" hidden="1">
      <c r="A3775" t="s">
        <v>5291</v>
      </c>
      <c r="B3775" t="s">
        <v>5292</v>
      </c>
      <c r="C3775" s="1">
        <v>44622</v>
      </c>
      <c r="D3775" s="2">
        <v>302568</v>
      </c>
      <c r="E3775">
        <v>285</v>
      </c>
      <c r="F3775">
        <v>7</v>
      </c>
      <c r="I3775" s="2">
        <v>2026344214</v>
      </c>
      <c r="L3775">
        <v>0</v>
      </c>
      <c r="M3775" t="str">
        <f t="shared" si="58"/>
        <v>After 2020</v>
      </c>
    </row>
    <row r="3776" spans="1:13" hidden="1">
      <c r="A3776" t="s">
        <v>5293</v>
      </c>
      <c r="B3776" t="s">
        <v>5294</v>
      </c>
      <c r="C3776" s="1">
        <v>44085</v>
      </c>
      <c r="D3776" s="2">
        <v>131677140</v>
      </c>
      <c r="E3776" s="2">
        <v>35653</v>
      </c>
      <c r="F3776">
        <v>57</v>
      </c>
      <c r="G3776" s="2">
        <v>198494925</v>
      </c>
      <c r="H3776" s="2">
        <v>1095673</v>
      </c>
      <c r="I3776" s="2">
        <v>559416339</v>
      </c>
      <c r="J3776">
        <v>28</v>
      </c>
      <c r="L3776">
        <v>1</v>
      </c>
      <c r="M3776" t="str">
        <f t="shared" si="58"/>
        <v>2010-2020</v>
      </c>
    </row>
    <row r="3777" spans="1:13">
      <c r="A3777" t="s">
        <v>5295</v>
      </c>
      <c r="B3777" t="s">
        <v>2745</v>
      </c>
      <c r="C3777" s="1">
        <v>41960</v>
      </c>
      <c r="D3777" s="2">
        <v>1283683926</v>
      </c>
      <c r="E3777" s="2">
        <v>203125</v>
      </c>
      <c r="F3777">
        <v>79</v>
      </c>
      <c r="G3777" s="2">
        <v>351633773</v>
      </c>
      <c r="H3777" s="2">
        <v>2243784</v>
      </c>
      <c r="I3777" s="2">
        <v>590688494</v>
      </c>
      <c r="J3777">
        <v>140</v>
      </c>
      <c r="K3777">
        <v>182</v>
      </c>
      <c r="L3777">
        <v>1</v>
      </c>
      <c r="M3777" t="str">
        <f t="shared" si="58"/>
        <v>2010-2020</v>
      </c>
    </row>
    <row r="3778" spans="1:13">
      <c r="A3778" t="s">
        <v>5296</v>
      </c>
      <c r="B3778" t="s">
        <v>5297</v>
      </c>
      <c r="C3778" s="1">
        <v>43035</v>
      </c>
      <c r="D3778" s="2">
        <v>658966178</v>
      </c>
      <c r="E3778" s="2">
        <v>132079</v>
      </c>
      <c r="F3778">
        <v>68</v>
      </c>
      <c r="G3778" s="2">
        <v>218493561</v>
      </c>
      <c r="H3778" s="2">
        <v>3016621</v>
      </c>
      <c r="I3778" s="2">
        <v>1291420904</v>
      </c>
      <c r="J3778">
        <v>10</v>
      </c>
      <c r="K3778">
        <v>7</v>
      </c>
      <c r="L3778">
        <v>0</v>
      </c>
      <c r="M3778" t="str">
        <f t="shared" si="58"/>
        <v>2010-2020</v>
      </c>
    </row>
    <row r="3779" spans="1:13" hidden="1">
      <c r="A3779" t="s">
        <v>5298</v>
      </c>
      <c r="B3779" t="s">
        <v>2377</v>
      </c>
      <c r="C3779" s="1">
        <v>43809</v>
      </c>
      <c r="D3779" s="2">
        <v>126680278</v>
      </c>
      <c r="E3779" s="2">
        <v>37176</v>
      </c>
      <c r="F3779">
        <v>54</v>
      </c>
      <c r="G3779" s="2">
        <v>114034780</v>
      </c>
      <c r="H3779" s="2">
        <v>1082538</v>
      </c>
      <c r="I3779" s="2">
        <v>10857910</v>
      </c>
      <c r="J3779">
        <v>3</v>
      </c>
      <c r="L3779">
        <v>1</v>
      </c>
      <c r="M3779" t="str">
        <f t="shared" ref="M3779:M3842" si="59">IF(YEAR(C3779)&lt;2010,"Before 2010",IF(YEAR(C3779)&lt;=2020,"2010-2020","After 2020"))</f>
        <v>2010-2020</v>
      </c>
    </row>
    <row r="3780" spans="1:13" hidden="1">
      <c r="A3780" t="s">
        <v>5299</v>
      </c>
      <c r="B3780" t="s">
        <v>163</v>
      </c>
      <c r="C3780" s="1">
        <v>45218</v>
      </c>
      <c r="D3780" s="2">
        <v>59582290</v>
      </c>
      <c r="E3780" s="2">
        <v>3988</v>
      </c>
      <c r="G3780" s="2">
        <v>72157125</v>
      </c>
      <c r="H3780" s="2">
        <v>363308</v>
      </c>
      <c r="I3780" s="2">
        <v>102839961</v>
      </c>
      <c r="J3780">
        <v>4</v>
      </c>
      <c r="K3780">
        <v>145</v>
      </c>
      <c r="L3780">
        <v>0</v>
      </c>
      <c r="M3780" t="str">
        <f t="shared" si="59"/>
        <v>After 2020</v>
      </c>
    </row>
    <row r="3781" spans="1:13" hidden="1">
      <c r="A3781" t="s">
        <v>5300</v>
      </c>
      <c r="B3781" t="s">
        <v>4876</v>
      </c>
      <c r="C3781" s="1">
        <v>45399</v>
      </c>
      <c r="D3781" s="2">
        <v>6247901</v>
      </c>
      <c r="E3781">
        <v>887</v>
      </c>
      <c r="G3781" s="2">
        <v>663933</v>
      </c>
      <c r="H3781" s="2">
        <v>13751</v>
      </c>
      <c r="J3781">
        <v>20</v>
      </c>
      <c r="K3781">
        <v>1</v>
      </c>
      <c r="L3781">
        <v>1</v>
      </c>
      <c r="M3781" t="str">
        <f t="shared" si="59"/>
        <v>After 2020</v>
      </c>
    </row>
    <row r="3782" spans="1:13">
      <c r="A3782" t="s">
        <v>5301</v>
      </c>
      <c r="B3782" t="s">
        <v>2653</v>
      </c>
      <c r="C3782" s="1">
        <v>42642</v>
      </c>
      <c r="D3782" s="2">
        <v>957810500</v>
      </c>
      <c r="E3782" s="2">
        <v>107486</v>
      </c>
      <c r="F3782">
        <v>74</v>
      </c>
      <c r="G3782" s="2">
        <v>174370096</v>
      </c>
      <c r="H3782" s="2">
        <v>2856158</v>
      </c>
      <c r="I3782" s="2">
        <v>159860013</v>
      </c>
      <c r="J3782">
        <v>104</v>
      </c>
      <c r="K3782">
        <v>69</v>
      </c>
      <c r="L3782">
        <v>0</v>
      </c>
      <c r="M3782" t="str">
        <f t="shared" si="59"/>
        <v>2010-2020</v>
      </c>
    </row>
    <row r="3783" spans="1:13">
      <c r="A3783" t="s">
        <v>5302</v>
      </c>
      <c r="B3783" t="s">
        <v>617</v>
      </c>
      <c r="C3783" s="1">
        <v>44679</v>
      </c>
      <c r="D3783" s="2">
        <v>181659395</v>
      </c>
      <c r="E3783" s="2">
        <v>24137</v>
      </c>
      <c r="F3783">
        <v>62</v>
      </c>
      <c r="G3783" s="2">
        <v>50640948</v>
      </c>
      <c r="H3783" s="2">
        <v>470130</v>
      </c>
      <c r="I3783" s="2">
        <v>87012707</v>
      </c>
      <c r="J3783">
        <v>53</v>
      </c>
      <c r="K3783">
        <v>732</v>
      </c>
      <c r="L3783">
        <v>0</v>
      </c>
      <c r="M3783" t="str">
        <f t="shared" si="59"/>
        <v>After 2020</v>
      </c>
    </row>
    <row r="3784" spans="1:13">
      <c r="A3784" t="s">
        <v>5303</v>
      </c>
      <c r="B3784" t="s">
        <v>3726</v>
      </c>
      <c r="C3784" s="1">
        <v>44127</v>
      </c>
      <c r="D3784" s="2">
        <v>250828412</v>
      </c>
      <c r="E3784" s="2">
        <v>40989</v>
      </c>
      <c r="F3784">
        <v>61</v>
      </c>
      <c r="G3784" s="2">
        <v>47811498</v>
      </c>
      <c r="H3784" s="2">
        <v>451406</v>
      </c>
      <c r="I3784" s="2">
        <v>158825909</v>
      </c>
      <c r="J3784">
        <v>47</v>
      </c>
      <c r="K3784">
        <v>156</v>
      </c>
      <c r="L3784">
        <v>1</v>
      </c>
      <c r="M3784" t="str">
        <f t="shared" si="59"/>
        <v>2010-2020</v>
      </c>
    </row>
    <row r="3785" spans="1:13" hidden="1">
      <c r="A3785" t="s">
        <v>5304</v>
      </c>
      <c r="B3785" t="s">
        <v>5305</v>
      </c>
      <c r="C3785" s="1">
        <v>44890</v>
      </c>
      <c r="D3785" s="2">
        <v>22362</v>
      </c>
      <c r="E3785">
        <v>5</v>
      </c>
      <c r="F3785">
        <v>10</v>
      </c>
      <c r="G3785" s="2">
        <v>312422708</v>
      </c>
      <c r="H3785" s="2">
        <v>1133105</v>
      </c>
      <c r="L3785">
        <v>0</v>
      </c>
      <c r="M3785" t="str">
        <f t="shared" si="59"/>
        <v>After 2020</v>
      </c>
    </row>
    <row r="3786" spans="1:13">
      <c r="A3786" t="s">
        <v>5306</v>
      </c>
      <c r="B3786" t="s">
        <v>1852</v>
      </c>
      <c r="C3786" s="1">
        <v>45149</v>
      </c>
      <c r="D3786" s="2">
        <v>253540909</v>
      </c>
      <c r="E3786" s="2">
        <v>10383</v>
      </c>
      <c r="F3786">
        <v>70</v>
      </c>
      <c r="G3786" s="2">
        <v>67113019</v>
      </c>
      <c r="H3786" s="2">
        <v>3432701</v>
      </c>
      <c r="I3786" s="2">
        <v>5236353</v>
      </c>
      <c r="J3786">
        <v>4</v>
      </c>
      <c r="K3786">
        <v>17</v>
      </c>
      <c r="L3786">
        <v>0</v>
      </c>
      <c r="M3786" t="str">
        <f t="shared" si="59"/>
        <v>After 2020</v>
      </c>
    </row>
    <row r="3787" spans="1:13" hidden="1">
      <c r="A3787" t="s">
        <v>5307</v>
      </c>
      <c r="B3787" t="s">
        <v>5308</v>
      </c>
      <c r="C3787" s="1">
        <v>44368</v>
      </c>
      <c r="D3787" s="2">
        <v>258379092</v>
      </c>
      <c r="E3787" s="2">
        <v>72424</v>
      </c>
      <c r="F3787">
        <v>65</v>
      </c>
      <c r="G3787" s="2">
        <v>54540038</v>
      </c>
      <c r="H3787" s="2">
        <v>1019009</v>
      </c>
      <c r="I3787" s="2">
        <v>1863921422</v>
      </c>
      <c r="J3787">
        <v>12</v>
      </c>
      <c r="L3787">
        <v>0</v>
      </c>
      <c r="M3787" t="str">
        <f t="shared" si="59"/>
        <v>After 2020</v>
      </c>
    </row>
    <row r="3788" spans="1:13" hidden="1">
      <c r="A3788" t="s">
        <v>5309</v>
      </c>
      <c r="B3788" t="s">
        <v>5310</v>
      </c>
      <c r="C3788" s="1">
        <v>44019</v>
      </c>
      <c r="D3788" s="2">
        <v>42067554</v>
      </c>
      <c r="E3788" s="2">
        <v>4380</v>
      </c>
      <c r="F3788">
        <v>54</v>
      </c>
      <c r="G3788" s="2">
        <v>698286046</v>
      </c>
      <c r="H3788" s="2">
        <v>7544844</v>
      </c>
      <c r="I3788" s="2">
        <v>7829359</v>
      </c>
      <c r="L3788">
        <v>0</v>
      </c>
      <c r="M3788" t="str">
        <f t="shared" si="59"/>
        <v>2010-2020</v>
      </c>
    </row>
    <row r="3789" spans="1:13" hidden="1">
      <c r="A3789" t="s">
        <v>5311</v>
      </c>
      <c r="B3789" t="s">
        <v>1262</v>
      </c>
      <c r="C3789" s="1">
        <v>44575</v>
      </c>
      <c r="D3789" s="2">
        <v>54488988</v>
      </c>
      <c r="E3789" s="2">
        <v>10962</v>
      </c>
      <c r="F3789">
        <v>4</v>
      </c>
      <c r="G3789" s="2">
        <v>29552269</v>
      </c>
      <c r="H3789" s="2">
        <v>223336</v>
      </c>
      <c r="I3789" s="2">
        <v>14048502</v>
      </c>
      <c r="K3789">
        <v>77</v>
      </c>
      <c r="L3789">
        <v>0</v>
      </c>
      <c r="M3789" t="str">
        <f t="shared" si="59"/>
        <v>After 2020</v>
      </c>
    </row>
    <row r="3790" spans="1:13">
      <c r="A3790" t="s">
        <v>5312</v>
      </c>
      <c r="B3790" t="s">
        <v>1312</v>
      </c>
      <c r="C3790" s="1">
        <v>44834</v>
      </c>
      <c r="D3790" s="2">
        <v>332741927</v>
      </c>
      <c r="E3790" s="2">
        <v>23892</v>
      </c>
      <c r="F3790">
        <v>72</v>
      </c>
      <c r="G3790" s="2">
        <v>150888295</v>
      </c>
      <c r="H3790" s="2">
        <v>609166</v>
      </c>
      <c r="I3790" s="2">
        <v>86648762</v>
      </c>
      <c r="J3790">
        <v>5</v>
      </c>
      <c r="K3790">
        <v>11</v>
      </c>
      <c r="L3790">
        <v>0</v>
      </c>
      <c r="M3790" t="str">
        <f t="shared" si="59"/>
        <v>After 2020</v>
      </c>
    </row>
    <row r="3791" spans="1:13" hidden="1">
      <c r="A3791" t="s">
        <v>5313</v>
      </c>
      <c r="B3791" t="s">
        <v>5314</v>
      </c>
      <c r="C3791" s="1">
        <v>45442</v>
      </c>
      <c r="D3791" s="2">
        <v>8033479</v>
      </c>
      <c r="E3791" s="2">
        <v>1347</v>
      </c>
      <c r="F3791">
        <v>70</v>
      </c>
      <c r="G3791" s="2">
        <v>1247875</v>
      </c>
      <c r="H3791" s="2">
        <v>50363</v>
      </c>
      <c r="J3791">
        <v>11</v>
      </c>
      <c r="L3791">
        <v>1</v>
      </c>
      <c r="M3791" t="str">
        <f t="shared" si="59"/>
        <v>After 2020</v>
      </c>
    </row>
    <row r="3792" spans="1:13">
      <c r="A3792" t="s">
        <v>5315</v>
      </c>
      <c r="B3792" t="s">
        <v>5316</v>
      </c>
      <c r="C3792" s="1">
        <v>39787</v>
      </c>
      <c r="D3792" s="2">
        <v>923932404</v>
      </c>
      <c r="E3792" s="2">
        <v>261469</v>
      </c>
      <c r="F3792">
        <v>63</v>
      </c>
      <c r="G3792" s="2">
        <v>589202937</v>
      </c>
      <c r="H3792" s="2">
        <v>3297320</v>
      </c>
      <c r="I3792" s="2">
        <v>1972131587</v>
      </c>
      <c r="J3792">
        <v>64</v>
      </c>
      <c r="K3792">
        <v>20</v>
      </c>
      <c r="L3792">
        <v>0</v>
      </c>
      <c r="M3792" t="str">
        <f t="shared" si="59"/>
        <v>Before 2010</v>
      </c>
    </row>
    <row r="3793" spans="1:13" hidden="1">
      <c r="A3793" t="s">
        <v>5317</v>
      </c>
      <c r="B3793" t="s">
        <v>5318</v>
      </c>
      <c r="C3793" s="1">
        <v>45037</v>
      </c>
      <c r="D3793" s="2">
        <v>29365536</v>
      </c>
      <c r="E3793" s="2">
        <v>28087</v>
      </c>
      <c r="F3793">
        <v>62</v>
      </c>
      <c r="G3793" s="2">
        <v>3502786</v>
      </c>
      <c r="H3793" s="2">
        <v>57445</v>
      </c>
      <c r="I3793" s="2">
        <v>124006258</v>
      </c>
      <c r="J3793">
        <v>4</v>
      </c>
      <c r="L3793">
        <v>0</v>
      </c>
      <c r="M3793" t="str">
        <f t="shared" si="59"/>
        <v>After 2020</v>
      </c>
    </row>
    <row r="3794" spans="1:13" hidden="1">
      <c r="A3794" t="s">
        <v>5319</v>
      </c>
      <c r="B3794" t="s">
        <v>5320</v>
      </c>
      <c r="C3794" s="1">
        <v>45001</v>
      </c>
      <c r="D3794" s="2">
        <v>2723</v>
      </c>
      <c r="E3794">
        <v>11</v>
      </c>
      <c r="G3794" s="2">
        <v>250777729</v>
      </c>
      <c r="H3794" s="2">
        <v>329563</v>
      </c>
      <c r="L3794">
        <v>0</v>
      </c>
      <c r="M3794" t="str">
        <f t="shared" si="59"/>
        <v>After 2020</v>
      </c>
    </row>
    <row r="3795" spans="1:13" hidden="1">
      <c r="A3795" t="s">
        <v>5321</v>
      </c>
      <c r="B3795" t="s">
        <v>4512</v>
      </c>
      <c r="C3795" s="1">
        <v>45415</v>
      </c>
      <c r="D3795" s="2">
        <v>14500608</v>
      </c>
      <c r="E3795" s="2">
        <v>1528</v>
      </c>
      <c r="F3795">
        <v>71</v>
      </c>
      <c r="G3795" s="2">
        <v>7766177</v>
      </c>
      <c r="H3795" s="2">
        <v>77814</v>
      </c>
      <c r="J3795">
        <v>18</v>
      </c>
      <c r="L3795">
        <v>1</v>
      </c>
      <c r="M3795" t="str">
        <f t="shared" si="59"/>
        <v>After 2020</v>
      </c>
    </row>
    <row r="3796" spans="1:13" hidden="1">
      <c r="A3796" t="s">
        <v>5322</v>
      </c>
      <c r="B3796" t="s">
        <v>5323</v>
      </c>
      <c r="C3796" s="1">
        <v>44326</v>
      </c>
      <c r="D3796" s="2">
        <v>5755295</v>
      </c>
      <c r="E3796">
        <v>850</v>
      </c>
      <c r="F3796">
        <v>36</v>
      </c>
      <c r="G3796" s="2">
        <v>565493630</v>
      </c>
      <c r="H3796" s="2">
        <v>1545650</v>
      </c>
      <c r="I3796" s="2">
        <v>1040868</v>
      </c>
      <c r="L3796">
        <v>0</v>
      </c>
      <c r="M3796" t="str">
        <f t="shared" si="59"/>
        <v>After 2020</v>
      </c>
    </row>
    <row r="3797" spans="1:13" hidden="1">
      <c r="A3797" t="s">
        <v>5324</v>
      </c>
      <c r="B3797" t="s">
        <v>424</v>
      </c>
      <c r="C3797" s="1">
        <v>45429</v>
      </c>
      <c r="D3797" s="2">
        <v>12809544</v>
      </c>
      <c r="E3797">
        <v>967</v>
      </c>
      <c r="G3797" s="2">
        <v>7124556</v>
      </c>
      <c r="H3797" s="2">
        <v>79550</v>
      </c>
      <c r="J3797">
        <v>7</v>
      </c>
      <c r="L3797">
        <v>1</v>
      </c>
      <c r="M3797" t="str">
        <f t="shared" si="59"/>
        <v>After 2020</v>
      </c>
    </row>
    <row r="3798" spans="1:13" hidden="1">
      <c r="A3798" t="s">
        <v>5325</v>
      </c>
      <c r="B3798" t="s">
        <v>5326</v>
      </c>
      <c r="C3798" s="1">
        <v>45443</v>
      </c>
      <c r="D3798" s="2">
        <v>1196257</v>
      </c>
      <c r="E3798">
        <v>208</v>
      </c>
      <c r="F3798">
        <v>57</v>
      </c>
      <c r="G3798" s="2">
        <v>7023287</v>
      </c>
      <c r="H3798" s="2">
        <v>34395</v>
      </c>
      <c r="J3798">
        <v>2</v>
      </c>
      <c r="L3798">
        <v>0</v>
      </c>
      <c r="M3798" t="str">
        <f t="shared" si="59"/>
        <v>After 2020</v>
      </c>
    </row>
    <row r="3799" spans="1:13" hidden="1">
      <c r="A3799" t="s">
        <v>5327</v>
      </c>
      <c r="B3799" t="s">
        <v>5328</v>
      </c>
      <c r="C3799" s="1">
        <v>42789</v>
      </c>
      <c r="D3799" s="2">
        <v>3835</v>
      </c>
      <c r="E3799">
        <v>12</v>
      </c>
      <c r="F3799">
        <v>1</v>
      </c>
      <c r="G3799" s="2">
        <v>1438604417</v>
      </c>
      <c r="H3799" s="2">
        <v>6279411</v>
      </c>
      <c r="L3799">
        <v>0</v>
      </c>
      <c r="M3799" t="str">
        <f t="shared" si="59"/>
        <v>2010-2020</v>
      </c>
    </row>
    <row r="3800" spans="1:13" hidden="1">
      <c r="A3800" t="s">
        <v>5329</v>
      </c>
      <c r="B3800" t="s">
        <v>1534</v>
      </c>
      <c r="C3800" s="1">
        <v>45184</v>
      </c>
      <c r="D3800" s="2">
        <v>26215354</v>
      </c>
      <c r="E3800" s="2">
        <v>6248</v>
      </c>
      <c r="G3800" s="2">
        <v>16885737</v>
      </c>
      <c r="H3800" s="2">
        <v>135693</v>
      </c>
      <c r="I3800" s="2">
        <v>63529208</v>
      </c>
      <c r="J3800">
        <v>2</v>
      </c>
      <c r="L3800">
        <v>1</v>
      </c>
      <c r="M3800" t="str">
        <f t="shared" si="59"/>
        <v>After 2020</v>
      </c>
    </row>
    <row r="3801" spans="1:13">
      <c r="A3801" t="s">
        <v>5330</v>
      </c>
      <c r="B3801" t="s">
        <v>2949</v>
      </c>
      <c r="C3801" s="1">
        <v>42005</v>
      </c>
      <c r="D3801" s="2">
        <v>622198235</v>
      </c>
      <c r="E3801" s="2">
        <v>53548</v>
      </c>
      <c r="F3801">
        <v>66</v>
      </c>
      <c r="G3801" s="2">
        <v>281739663</v>
      </c>
      <c r="H3801" s="2">
        <v>1138264</v>
      </c>
      <c r="I3801" s="2">
        <v>18928214</v>
      </c>
      <c r="J3801">
        <v>56</v>
      </c>
      <c r="K3801">
        <v>88</v>
      </c>
      <c r="L3801">
        <v>0</v>
      </c>
      <c r="M3801" t="str">
        <f t="shared" si="59"/>
        <v>2010-2020</v>
      </c>
    </row>
    <row r="3802" spans="1:13">
      <c r="A3802" t="s">
        <v>5331</v>
      </c>
      <c r="B3802" t="s">
        <v>1113</v>
      </c>
      <c r="C3802" s="1">
        <v>44764</v>
      </c>
      <c r="D3802" s="2">
        <v>142262820</v>
      </c>
      <c r="E3802" s="2">
        <v>53038</v>
      </c>
      <c r="F3802">
        <v>63</v>
      </c>
      <c r="G3802" s="2">
        <v>35675859</v>
      </c>
      <c r="H3802" s="2">
        <v>373352</v>
      </c>
      <c r="I3802" s="2">
        <v>365465494</v>
      </c>
      <c r="J3802">
        <v>18</v>
      </c>
      <c r="K3802">
        <v>125</v>
      </c>
      <c r="L3802">
        <v>1</v>
      </c>
      <c r="M3802" t="str">
        <f t="shared" si="59"/>
        <v>After 2020</v>
      </c>
    </row>
    <row r="3803" spans="1:13">
      <c r="A3803" t="s">
        <v>5332</v>
      </c>
      <c r="B3803" t="s">
        <v>5333</v>
      </c>
      <c r="C3803" s="1">
        <v>45156</v>
      </c>
      <c r="D3803" s="2">
        <v>11614161</v>
      </c>
      <c r="E3803" s="2">
        <v>2375</v>
      </c>
      <c r="F3803">
        <v>55</v>
      </c>
      <c r="G3803" s="2">
        <v>3113363</v>
      </c>
      <c r="H3803" s="2">
        <v>29826</v>
      </c>
      <c r="I3803" s="2">
        <v>1218414</v>
      </c>
      <c r="J3803">
        <v>3</v>
      </c>
      <c r="K3803">
        <v>3</v>
      </c>
      <c r="L3803">
        <v>0</v>
      </c>
      <c r="M3803" t="str">
        <f t="shared" si="59"/>
        <v>After 2020</v>
      </c>
    </row>
    <row r="3804" spans="1:13">
      <c r="A3804" t="s">
        <v>5334</v>
      </c>
      <c r="B3804" t="s">
        <v>633</v>
      </c>
      <c r="C3804" s="1">
        <v>44518</v>
      </c>
      <c r="D3804" s="2">
        <v>200764254</v>
      </c>
      <c r="E3804" s="2">
        <v>45002</v>
      </c>
      <c r="F3804">
        <v>57</v>
      </c>
      <c r="G3804" s="2">
        <v>217898959</v>
      </c>
      <c r="H3804" s="2">
        <v>1101215</v>
      </c>
      <c r="I3804" s="2">
        <v>28799405</v>
      </c>
      <c r="J3804">
        <v>35</v>
      </c>
      <c r="K3804">
        <v>24</v>
      </c>
      <c r="L3804">
        <v>1</v>
      </c>
      <c r="M3804" t="str">
        <f t="shared" si="59"/>
        <v>After 2020</v>
      </c>
    </row>
    <row r="3805" spans="1:13" hidden="1">
      <c r="A3805" t="s">
        <v>5335</v>
      </c>
      <c r="B3805" t="s">
        <v>1430</v>
      </c>
      <c r="C3805" s="1">
        <v>45156</v>
      </c>
      <c r="D3805" s="2">
        <v>53303131</v>
      </c>
      <c r="E3805" s="2">
        <v>6899</v>
      </c>
      <c r="F3805">
        <v>61</v>
      </c>
      <c r="G3805" s="2">
        <v>78846057</v>
      </c>
      <c r="H3805" s="2">
        <v>671469</v>
      </c>
      <c r="I3805" s="2">
        <v>24708801</v>
      </c>
      <c r="J3805">
        <v>3</v>
      </c>
      <c r="L3805">
        <v>0</v>
      </c>
      <c r="M3805" t="str">
        <f t="shared" si="59"/>
        <v>After 2020</v>
      </c>
    </row>
    <row r="3806" spans="1:13">
      <c r="A3806" t="s">
        <v>5336</v>
      </c>
      <c r="B3806" t="s">
        <v>5337</v>
      </c>
      <c r="C3806" s="1">
        <v>44125</v>
      </c>
      <c r="D3806" s="2">
        <v>219841054</v>
      </c>
      <c r="E3806" s="2">
        <v>71843</v>
      </c>
      <c r="F3806">
        <v>64</v>
      </c>
      <c r="G3806" s="2">
        <v>128686770</v>
      </c>
      <c r="H3806" s="2">
        <v>2638466</v>
      </c>
      <c r="I3806" s="2">
        <v>1206875855</v>
      </c>
      <c r="J3806">
        <v>3</v>
      </c>
      <c r="K3806">
        <v>9</v>
      </c>
      <c r="L3806">
        <v>1</v>
      </c>
      <c r="M3806" t="str">
        <f t="shared" si="59"/>
        <v>2010-2020</v>
      </c>
    </row>
    <row r="3807" spans="1:13">
      <c r="A3807" t="s">
        <v>5023</v>
      </c>
      <c r="B3807" t="s">
        <v>3867</v>
      </c>
      <c r="C3807" s="1">
        <v>43735</v>
      </c>
      <c r="D3807" s="2">
        <v>224529894</v>
      </c>
      <c r="E3807" s="2">
        <v>50674</v>
      </c>
      <c r="F3807">
        <v>53</v>
      </c>
      <c r="G3807" s="2">
        <v>268061194</v>
      </c>
      <c r="H3807" s="2">
        <v>2237400</v>
      </c>
      <c r="I3807" s="2">
        <v>112923227</v>
      </c>
      <c r="J3807">
        <v>43</v>
      </c>
      <c r="K3807">
        <v>9</v>
      </c>
      <c r="L3807">
        <v>1</v>
      </c>
      <c r="M3807" t="str">
        <f t="shared" si="59"/>
        <v>2010-2020</v>
      </c>
    </row>
    <row r="3808" spans="1:13" hidden="1">
      <c r="A3808" t="s">
        <v>5338</v>
      </c>
      <c r="B3808" t="s">
        <v>5339</v>
      </c>
      <c r="C3808" s="1">
        <v>45106</v>
      </c>
      <c r="D3808" s="2">
        <v>4527224</v>
      </c>
      <c r="E3808">
        <v>392</v>
      </c>
      <c r="G3808" s="2">
        <v>179686266</v>
      </c>
      <c r="H3808" s="2">
        <v>2633829</v>
      </c>
      <c r="J3808">
        <v>4</v>
      </c>
      <c r="L3808">
        <v>0</v>
      </c>
      <c r="M3808" t="str">
        <f t="shared" si="59"/>
        <v>After 2020</v>
      </c>
    </row>
    <row r="3809" spans="1:13">
      <c r="A3809" t="s">
        <v>5340</v>
      </c>
      <c r="B3809" t="s">
        <v>5341</v>
      </c>
      <c r="C3809" s="1">
        <v>45016</v>
      </c>
      <c r="D3809" s="2">
        <v>75309953</v>
      </c>
      <c r="E3809" s="2">
        <v>34283</v>
      </c>
      <c r="F3809">
        <v>67</v>
      </c>
      <c r="G3809" s="2">
        <v>9963983</v>
      </c>
      <c r="H3809" s="2">
        <v>111125</v>
      </c>
      <c r="I3809" s="2">
        <v>22133936</v>
      </c>
      <c r="J3809">
        <v>20</v>
      </c>
      <c r="K3809">
        <v>39</v>
      </c>
      <c r="L3809">
        <v>0</v>
      </c>
      <c r="M3809" t="str">
        <f t="shared" si="59"/>
        <v>After 2020</v>
      </c>
    </row>
    <row r="3810" spans="1:13" hidden="1">
      <c r="A3810" t="s">
        <v>5342</v>
      </c>
      <c r="B3810" t="s">
        <v>4619</v>
      </c>
      <c r="C3810" s="1">
        <v>45436</v>
      </c>
      <c r="D3810" s="2">
        <v>13330547</v>
      </c>
      <c r="E3810" s="2">
        <v>1675</v>
      </c>
      <c r="F3810">
        <v>73</v>
      </c>
      <c r="G3810" s="2">
        <v>35472</v>
      </c>
      <c r="H3810" s="2">
        <v>3979</v>
      </c>
      <c r="J3810">
        <v>23</v>
      </c>
      <c r="K3810">
        <v>1</v>
      </c>
      <c r="L3810">
        <v>0</v>
      </c>
      <c r="M3810" t="str">
        <f t="shared" si="59"/>
        <v>After 2020</v>
      </c>
    </row>
    <row r="3811" spans="1:13">
      <c r="A3811" t="s">
        <v>5343</v>
      </c>
      <c r="B3811" t="s">
        <v>5344</v>
      </c>
      <c r="C3811" s="1">
        <v>43119</v>
      </c>
      <c r="D3811" s="2">
        <v>633467655</v>
      </c>
      <c r="E3811" s="2">
        <v>74321</v>
      </c>
      <c r="F3811">
        <v>63</v>
      </c>
      <c r="G3811" s="2">
        <v>26434293</v>
      </c>
      <c r="H3811" s="2">
        <v>260550</v>
      </c>
      <c r="I3811" s="2">
        <v>1120361528</v>
      </c>
      <c r="J3811">
        <v>109</v>
      </c>
      <c r="K3811">
        <v>83</v>
      </c>
      <c r="L3811">
        <v>0</v>
      </c>
      <c r="M3811" t="str">
        <f t="shared" si="59"/>
        <v>2010-2020</v>
      </c>
    </row>
    <row r="3812" spans="1:13" hidden="1">
      <c r="A3812" t="s">
        <v>5345</v>
      </c>
      <c r="B3812" t="s">
        <v>2033</v>
      </c>
      <c r="C3812" s="1">
        <v>45023</v>
      </c>
      <c r="D3812" s="2">
        <v>131981248</v>
      </c>
      <c r="E3812" s="2">
        <v>15020</v>
      </c>
      <c r="F3812">
        <v>65</v>
      </c>
      <c r="G3812" s="2">
        <v>127960114</v>
      </c>
      <c r="H3812" s="2">
        <v>714022</v>
      </c>
      <c r="I3812" s="2">
        <v>33156781</v>
      </c>
      <c r="J3812">
        <v>8</v>
      </c>
      <c r="L3812">
        <v>1</v>
      </c>
      <c r="M3812" t="str">
        <f t="shared" si="59"/>
        <v>After 2020</v>
      </c>
    </row>
    <row r="3813" spans="1:13" hidden="1">
      <c r="A3813" t="s">
        <v>5346</v>
      </c>
      <c r="B3813" t="s">
        <v>772</v>
      </c>
      <c r="C3813" s="1">
        <v>45170</v>
      </c>
      <c r="D3813" s="2">
        <v>66513420</v>
      </c>
      <c r="E3813" s="2">
        <v>12490</v>
      </c>
      <c r="G3813" s="2">
        <v>15485803</v>
      </c>
      <c r="H3813" s="2">
        <v>395896</v>
      </c>
      <c r="I3813" s="2">
        <v>87668727</v>
      </c>
      <c r="J3813">
        <v>27</v>
      </c>
      <c r="K3813">
        <v>39</v>
      </c>
      <c r="L3813">
        <v>0</v>
      </c>
      <c r="M3813" t="str">
        <f t="shared" si="59"/>
        <v>After 2020</v>
      </c>
    </row>
    <row r="3814" spans="1:13" hidden="1">
      <c r="A3814" t="s">
        <v>5347</v>
      </c>
      <c r="B3814" t="s">
        <v>2220</v>
      </c>
      <c r="C3814" s="1">
        <v>45373</v>
      </c>
      <c r="D3814" s="2">
        <v>7569031</v>
      </c>
      <c r="E3814" s="2">
        <v>2152</v>
      </c>
      <c r="G3814" s="2">
        <v>1937815</v>
      </c>
      <c r="H3814" s="2">
        <v>74131</v>
      </c>
      <c r="J3814">
        <v>23</v>
      </c>
      <c r="K3814">
        <v>215</v>
      </c>
      <c r="L3814">
        <v>1</v>
      </c>
      <c r="M3814" t="str">
        <f t="shared" si="59"/>
        <v>After 2020</v>
      </c>
    </row>
    <row r="3815" spans="1:13" hidden="1">
      <c r="A3815" t="s">
        <v>5348</v>
      </c>
      <c r="B3815" t="s">
        <v>1440</v>
      </c>
      <c r="C3815" s="1">
        <v>45177</v>
      </c>
      <c r="D3815" s="2">
        <v>32916107</v>
      </c>
      <c r="E3815" s="2">
        <v>13096</v>
      </c>
      <c r="G3815" s="2">
        <v>10840662</v>
      </c>
      <c r="H3815" s="2">
        <v>167538</v>
      </c>
      <c r="I3815" s="2">
        <v>20835</v>
      </c>
      <c r="J3815">
        <v>5</v>
      </c>
      <c r="K3815">
        <v>282</v>
      </c>
      <c r="L3815">
        <v>1</v>
      </c>
      <c r="M3815" t="str">
        <f t="shared" si="59"/>
        <v>After 2020</v>
      </c>
    </row>
    <row r="3816" spans="1:13" hidden="1">
      <c r="A3816" t="s">
        <v>5349</v>
      </c>
      <c r="B3816" t="s">
        <v>5350</v>
      </c>
      <c r="C3816" s="1">
        <v>45401</v>
      </c>
      <c r="D3816" s="2">
        <v>13712090</v>
      </c>
      <c r="E3816" s="2">
        <v>3148</v>
      </c>
      <c r="G3816" s="2">
        <v>3889395</v>
      </c>
      <c r="H3816" s="2">
        <v>76350</v>
      </c>
      <c r="J3816">
        <v>14</v>
      </c>
      <c r="L3816">
        <v>1</v>
      </c>
      <c r="M3816" t="str">
        <f t="shared" si="59"/>
        <v>After 2020</v>
      </c>
    </row>
    <row r="3817" spans="1:13" hidden="1">
      <c r="A3817" t="s">
        <v>5351</v>
      </c>
      <c r="B3817" t="s">
        <v>5352</v>
      </c>
      <c r="C3817" s="1">
        <v>44827</v>
      </c>
      <c r="D3817" s="2">
        <v>41494349</v>
      </c>
      <c r="E3817" s="2">
        <v>6516</v>
      </c>
      <c r="F3817">
        <v>52</v>
      </c>
      <c r="G3817" s="2">
        <v>267216988</v>
      </c>
      <c r="H3817" s="2">
        <v>1757325</v>
      </c>
      <c r="I3817" s="2">
        <v>102354732</v>
      </c>
      <c r="J3817">
        <v>11</v>
      </c>
      <c r="L3817">
        <v>0</v>
      </c>
      <c r="M3817" t="str">
        <f t="shared" si="59"/>
        <v>After 2020</v>
      </c>
    </row>
    <row r="3818" spans="1:13" hidden="1">
      <c r="A3818" t="s">
        <v>5353</v>
      </c>
      <c r="B3818" t="s">
        <v>355</v>
      </c>
      <c r="C3818" s="1">
        <v>43868</v>
      </c>
      <c r="D3818" s="2">
        <v>355137565</v>
      </c>
      <c r="E3818" s="2">
        <v>123588</v>
      </c>
      <c r="F3818">
        <v>64</v>
      </c>
      <c r="G3818" s="2">
        <v>45164581</v>
      </c>
      <c r="H3818" s="2">
        <v>408483</v>
      </c>
      <c r="I3818" s="2">
        <v>637177334</v>
      </c>
      <c r="J3818">
        <v>7</v>
      </c>
      <c r="L3818">
        <v>1</v>
      </c>
      <c r="M3818" t="str">
        <f t="shared" si="59"/>
        <v>2010-2020</v>
      </c>
    </row>
    <row r="3819" spans="1:13" hidden="1">
      <c r="A3819" t="s">
        <v>5354</v>
      </c>
      <c r="B3819" t="s">
        <v>5355</v>
      </c>
      <c r="C3819" s="1">
        <v>43140</v>
      </c>
      <c r="D3819" s="2">
        <v>256361762</v>
      </c>
      <c r="E3819" s="2">
        <v>54160</v>
      </c>
      <c r="F3819">
        <v>63</v>
      </c>
      <c r="G3819" s="2">
        <v>183409458</v>
      </c>
      <c r="H3819" s="2">
        <v>2721404</v>
      </c>
      <c r="I3819" s="2">
        <v>298147047</v>
      </c>
      <c r="J3819">
        <v>26</v>
      </c>
      <c r="L3819">
        <v>0</v>
      </c>
      <c r="M3819" t="str">
        <f t="shared" si="59"/>
        <v>2010-2020</v>
      </c>
    </row>
    <row r="3820" spans="1:13" hidden="1">
      <c r="A3820" t="s">
        <v>5356</v>
      </c>
      <c r="B3820" t="s">
        <v>5357</v>
      </c>
      <c r="C3820" s="1">
        <v>44789</v>
      </c>
      <c r="D3820" s="2">
        <v>5101261</v>
      </c>
      <c r="E3820" s="2">
        <v>1599</v>
      </c>
      <c r="I3820" s="2">
        <v>1190306094</v>
      </c>
      <c r="L3820">
        <v>0</v>
      </c>
      <c r="M3820" t="str">
        <f t="shared" si="59"/>
        <v>After 2020</v>
      </c>
    </row>
    <row r="3821" spans="1:13" hidden="1">
      <c r="A3821">
        <v>2002</v>
      </c>
      <c r="B3821" t="s">
        <v>3309</v>
      </c>
      <c r="C3821" s="1">
        <v>43301</v>
      </c>
      <c r="E3821">
        <v>116</v>
      </c>
      <c r="G3821" s="2">
        <v>1074810575</v>
      </c>
      <c r="H3821" s="2">
        <v>9084288</v>
      </c>
      <c r="L3821">
        <v>0</v>
      </c>
      <c r="M3821" t="str">
        <f t="shared" si="59"/>
        <v>2010-2020</v>
      </c>
    </row>
    <row r="3822" spans="1:13">
      <c r="A3822" t="s">
        <v>5358</v>
      </c>
      <c r="B3822" t="s">
        <v>5359</v>
      </c>
      <c r="C3822" s="1">
        <v>43462</v>
      </c>
      <c r="D3822" s="2">
        <v>417257612</v>
      </c>
      <c r="E3822" s="2">
        <v>76682</v>
      </c>
      <c r="F3822">
        <v>62</v>
      </c>
      <c r="G3822" s="2">
        <v>301418451</v>
      </c>
      <c r="H3822" s="2">
        <v>2797161</v>
      </c>
      <c r="I3822" s="2">
        <v>219625896</v>
      </c>
      <c r="J3822">
        <v>71</v>
      </c>
      <c r="K3822">
        <v>40</v>
      </c>
      <c r="L3822">
        <v>0</v>
      </c>
      <c r="M3822" t="str">
        <f t="shared" si="59"/>
        <v>2010-2020</v>
      </c>
    </row>
    <row r="3823" spans="1:13" hidden="1">
      <c r="A3823" t="s">
        <v>5360</v>
      </c>
      <c r="B3823" t="s">
        <v>3395</v>
      </c>
      <c r="C3823" s="1">
        <v>45392</v>
      </c>
      <c r="D3823" s="2">
        <v>34042262</v>
      </c>
      <c r="E3823" s="2">
        <v>3323</v>
      </c>
      <c r="F3823">
        <v>74</v>
      </c>
      <c r="G3823" s="2">
        <v>11039801</v>
      </c>
      <c r="H3823" s="2">
        <v>333828</v>
      </c>
      <c r="J3823">
        <v>7</v>
      </c>
      <c r="L3823">
        <v>1</v>
      </c>
      <c r="M3823" t="str">
        <f t="shared" si="59"/>
        <v>After 2020</v>
      </c>
    </row>
    <row r="3824" spans="1:13">
      <c r="A3824" t="s">
        <v>5361</v>
      </c>
      <c r="B3824" t="s">
        <v>1401</v>
      </c>
      <c r="C3824" s="1">
        <v>43301</v>
      </c>
      <c r="D3824" s="2">
        <v>727014998</v>
      </c>
      <c r="E3824" s="2">
        <v>114135</v>
      </c>
      <c r="F3824">
        <v>65</v>
      </c>
      <c r="G3824" s="2">
        <v>348078879</v>
      </c>
      <c r="H3824" s="2">
        <v>3056099</v>
      </c>
      <c r="I3824" s="2">
        <v>25640147</v>
      </c>
      <c r="J3824">
        <v>13</v>
      </c>
      <c r="K3824">
        <v>84</v>
      </c>
      <c r="L3824">
        <v>1</v>
      </c>
      <c r="M3824" t="str">
        <f t="shared" si="59"/>
        <v>2010-2020</v>
      </c>
    </row>
    <row r="3825" spans="1:13">
      <c r="A3825" t="s">
        <v>5362</v>
      </c>
      <c r="B3825" t="s">
        <v>1781</v>
      </c>
      <c r="C3825" s="1">
        <v>43231</v>
      </c>
      <c r="D3825" s="2">
        <v>686323132</v>
      </c>
      <c r="E3825" s="2">
        <v>165691</v>
      </c>
      <c r="F3825">
        <v>70</v>
      </c>
      <c r="G3825" s="2">
        <v>168225696</v>
      </c>
      <c r="H3825" s="2">
        <v>1829885</v>
      </c>
      <c r="I3825" s="2">
        <v>343926725</v>
      </c>
      <c r="J3825">
        <v>48</v>
      </c>
      <c r="K3825">
        <v>45</v>
      </c>
      <c r="L3825">
        <v>1</v>
      </c>
      <c r="M3825" t="str">
        <f t="shared" si="59"/>
        <v>2010-2020</v>
      </c>
    </row>
    <row r="3826" spans="1:13" hidden="1">
      <c r="A3826" t="s">
        <v>5363</v>
      </c>
      <c r="B3826" t="s">
        <v>5364</v>
      </c>
      <c r="C3826" s="1">
        <v>43546</v>
      </c>
      <c r="D3826" s="2">
        <v>37866</v>
      </c>
      <c r="E3826">
        <v>449</v>
      </c>
      <c r="F3826">
        <v>3</v>
      </c>
      <c r="G3826" s="2">
        <v>1855597</v>
      </c>
      <c r="H3826" s="2">
        <v>35730</v>
      </c>
      <c r="I3826" s="2">
        <v>567183479</v>
      </c>
      <c r="L3826">
        <v>0</v>
      </c>
      <c r="M3826" t="str">
        <f t="shared" si="59"/>
        <v>2010-2020</v>
      </c>
    </row>
    <row r="3827" spans="1:13">
      <c r="A3827" t="s">
        <v>5365</v>
      </c>
      <c r="B3827" t="s">
        <v>892</v>
      </c>
      <c r="C3827" s="1">
        <v>42370</v>
      </c>
      <c r="D3827" s="2">
        <v>669427500</v>
      </c>
      <c r="E3827" s="2">
        <v>66668</v>
      </c>
      <c r="F3827">
        <v>62</v>
      </c>
      <c r="G3827" s="2">
        <v>864787930</v>
      </c>
      <c r="H3827" s="2">
        <v>6096976</v>
      </c>
      <c r="I3827" s="2">
        <v>363488557</v>
      </c>
      <c r="J3827">
        <v>49</v>
      </c>
      <c r="K3827">
        <v>60</v>
      </c>
      <c r="L3827">
        <v>0</v>
      </c>
      <c r="M3827" t="str">
        <f t="shared" si="59"/>
        <v>2010-2020</v>
      </c>
    </row>
    <row r="3828" spans="1:13" hidden="1">
      <c r="A3828" t="s">
        <v>5366</v>
      </c>
      <c r="B3828" t="s">
        <v>1055</v>
      </c>
      <c r="C3828" s="1">
        <v>43231</v>
      </c>
      <c r="D3828" s="2">
        <v>339954855</v>
      </c>
      <c r="E3828" s="2">
        <v>61901</v>
      </c>
      <c r="F3828">
        <v>64</v>
      </c>
      <c r="G3828" s="2">
        <v>669877400</v>
      </c>
      <c r="H3828" s="2">
        <v>6308434</v>
      </c>
      <c r="I3828" s="2">
        <v>215231253</v>
      </c>
      <c r="J3828">
        <v>14</v>
      </c>
      <c r="L3828">
        <v>0</v>
      </c>
      <c r="M3828" t="str">
        <f t="shared" si="59"/>
        <v>2010-2020</v>
      </c>
    </row>
    <row r="3829" spans="1:13">
      <c r="A3829" t="s">
        <v>5367</v>
      </c>
      <c r="B3829" t="s">
        <v>2031</v>
      </c>
      <c r="C3829" s="1">
        <v>44435</v>
      </c>
      <c r="D3829" s="2">
        <v>172558590</v>
      </c>
      <c r="E3829" s="2">
        <v>71478</v>
      </c>
      <c r="F3829">
        <v>53</v>
      </c>
      <c r="G3829" s="2">
        <v>74993454</v>
      </c>
      <c r="H3829" s="2">
        <v>802824</v>
      </c>
      <c r="I3829" s="2">
        <v>80999687</v>
      </c>
      <c r="J3829">
        <v>49</v>
      </c>
      <c r="K3829">
        <v>294</v>
      </c>
      <c r="L3829">
        <v>1</v>
      </c>
      <c r="M3829" t="str">
        <f t="shared" si="59"/>
        <v>After 2020</v>
      </c>
    </row>
    <row r="3830" spans="1:13" hidden="1">
      <c r="A3830" t="s">
        <v>5368</v>
      </c>
      <c r="B3830" t="s">
        <v>5369</v>
      </c>
      <c r="C3830" s="1">
        <v>45190</v>
      </c>
      <c r="D3830" s="2">
        <v>1880312</v>
      </c>
      <c r="E3830">
        <v>408</v>
      </c>
      <c r="G3830" s="2">
        <v>58299522</v>
      </c>
      <c r="H3830" s="2">
        <v>173898</v>
      </c>
      <c r="I3830" s="2">
        <v>168468483</v>
      </c>
      <c r="L3830">
        <v>0</v>
      </c>
      <c r="M3830" t="str">
        <f t="shared" si="59"/>
        <v>After 2020</v>
      </c>
    </row>
    <row r="3831" spans="1:13" hidden="1">
      <c r="A3831" t="s">
        <v>5370</v>
      </c>
      <c r="B3831" t="s">
        <v>2394</v>
      </c>
      <c r="C3831" s="1">
        <v>44722</v>
      </c>
      <c r="D3831" s="2">
        <v>80585683</v>
      </c>
      <c r="E3831" s="2">
        <v>16202</v>
      </c>
      <c r="F3831">
        <v>19</v>
      </c>
      <c r="G3831" s="2">
        <v>88959234</v>
      </c>
      <c r="H3831" s="2">
        <v>770086</v>
      </c>
      <c r="I3831" s="2">
        <v>42977111</v>
      </c>
      <c r="J3831">
        <v>3</v>
      </c>
      <c r="L3831">
        <v>1</v>
      </c>
      <c r="M3831" t="str">
        <f t="shared" si="59"/>
        <v>After 2020</v>
      </c>
    </row>
    <row r="3832" spans="1:13" hidden="1">
      <c r="A3832" t="s">
        <v>5371</v>
      </c>
      <c r="B3832" t="s">
        <v>1141</v>
      </c>
      <c r="C3832" s="1">
        <v>45198</v>
      </c>
      <c r="D3832" s="2">
        <v>2490826</v>
      </c>
      <c r="E3832">
        <v>513</v>
      </c>
      <c r="G3832" s="2">
        <v>2189347</v>
      </c>
      <c r="H3832" s="2">
        <v>14151</v>
      </c>
      <c r="I3832" s="2">
        <v>69943676</v>
      </c>
      <c r="J3832">
        <v>3</v>
      </c>
      <c r="L3832">
        <v>0</v>
      </c>
      <c r="M3832" t="str">
        <f t="shared" si="59"/>
        <v>After 2020</v>
      </c>
    </row>
    <row r="3833" spans="1:13" hidden="1">
      <c r="A3833" t="s">
        <v>5372</v>
      </c>
      <c r="B3833" t="s">
        <v>932</v>
      </c>
      <c r="C3833" s="1">
        <v>45387</v>
      </c>
      <c r="D3833" s="2">
        <v>6097493</v>
      </c>
      <c r="E3833">
        <v>765</v>
      </c>
      <c r="G3833" s="2">
        <v>25736622</v>
      </c>
      <c r="H3833" s="2">
        <v>369780</v>
      </c>
      <c r="I3833" s="2">
        <v>3300000</v>
      </c>
      <c r="L3833">
        <v>1</v>
      </c>
      <c r="M3833" t="str">
        <f t="shared" si="59"/>
        <v>After 2020</v>
      </c>
    </row>
    <row r="3834" spans="1:13">
      <c r="A3834" t="s">
        <v>5373</v>
      </c>
      <c r="B3834" t="s">
        <v>5374</v>
      </c>
      <c r="C3834" s="1">
        <v>44008</v>
      </c>
      <c r="D3834" s="2">
        <v>189175699</v>
      </c>
      <c r="E3834" s="2">
        <v>49325</v>
      </c>
      <c r="F3834">
        <v>62</v>
      </c>
      <c r="G3834" s="2">
        <v>14575452</v>
      </c>
      <c r="H3834" s="2">
        <v>497747</v>
      </c>
      <c r="I3834" s="2">
        <v>2001548087</v>
      </c>
      <c r="J3834">
        <v>14</v>
      </c>
      <c r="K3834">
        <v>163</v>
      </c>
      <c r="L3834">
        <v>0</v>
      </c>
      <c r="M3834" t="str">
        <f t="shared" si="59"/>
        <v>2010-2020</v>
      </c>
    </row>
    <row r="3835" spans="1:13">
      <c r="A3835" t="s">
        <v>5375</v>
      </c>
      <c r="B3835" t="s">
        <v>322</v>
      </c>
      <c r="C3835" s="1">
        <v>42438</v>
      </c>
      <c r="D3835" s="2">
        <v>627625151</v>
      </c>
      <c r="E3835" s="2">
        <v>76581</v>
      </c>
      <c r="F3835">
        <v>66</v>
      </c>
      <c r="G3835" s="2">
        <v>275081528</v>
      </c>
      <c r="H3835" s="2">
        <v>3556731</v>
      </c>
      <c r="I3835" s="2">
        <v>1187485509</v>
      </c>
      <c r="J3835">
        <v>41</v>
      </c>
      <c r="K3835" s="2">
        <v>1496</v>
      </c>
      <c r="L3835">
        <v>0</v>
      </c>
      <c r="M3835" t="str">
        <f t="shared" si="59"/>
        <v>2010-2020</v>
      </c>
    </row>
    <row r="3836" spans="1:13">
      <c r="A3836" t="s">
        <v>5376</v>
      </c>
      <c r="B3836" t="s">
        <v>5377</v>
      </c>
      <c r="C3836" s="1">
        <v>42438</v>
      </c>
      <c r="D3836" s="2">
        <v>761038233</v>
      </c>
      <c r="E3836" s="2">
        <v>121158</v>
      </c>
      <c r="F3836">
        <v>64</v>
      </c>
      <c r="G3836" s="2">
        <v>71245011</v>
      </c>
      <c r="H3836" s="2">
        <v>686801</v>
      </c>
      <c r="I3836" s="2">
        <v>131813469</v>
      </c>
      <c r="J3836">
        <v>129</v>
      </c>
      <c r="K3836">
        <v>3</v>
      </c>
      <c r="L3836">
        <v>1</v>
      </c>
      <c r="M3836" t="str">
        <f t="shared" si="59"/>
        <v>2010-2020</v>
      </c>
    </row>
    <row r="3837" spans="1:13" hidden="1">
      <c r="A3837" t="s">
        <v>5378</v>
      </c>
      <c r="B3837" t="s">
        <v>5379</v>
      </c>
      <c r="C3837" s="1">
        <v>45209</v>
      </c>
      <c r="D3837" s="2">
        <v>9452</v>
      </c>
      <c r="E3837">
        <v>3</v>
      </c>
      <c r="I3837" s="2">
        <v>54998866</v>
      </c>
      <c r="L3837">
        <v>1</v>
      </c>
      <c r="M3837" t="str">
        <f t="shared" si="59"/>
        <v>After 2020</v>
      </c>
    </row>
    <row r="3838" spans="1:13" hidden="1">
      <c r="A3838" t="s">
        <v>5380</v>
      </c>
      <c r="B3838" t="s">
        <v>466</v>
      </c>
      <c r="C3838" s="1">
        <v>45268</v>
      </c>
      <c r="D3838" s="2">
        <v>37396</v>
      </c>
      <c r="E3838">
        <v>4</v>
      </c>
      <c r="G3838" s="2">
        <v>98338088</v>
      </c>
      <c r="H3838" s="2">
        <v>56214</v>
      </c>
      <c r="L3838">
        <v>0</v>
      </c>
      <c r="M3838" t="str">
        <f t="shared" si="59"/>
        <v>After 2020</v>
      </c>
    </row>
    <row r="3839" spans="1:13">
      <c r="A3839" t="s">
        <v>5381</v>
      </c>
      <c r="B3839" t="s">
        <v>418</v>
      </c>
      <c r="C3839" s="1">
        <v>43413</v>
      </c>
      <c r="D3839" s="2">
        <v>428271245</v>
      </c>
      <c r="E3839" s="2">
        <v>50261</v>
      </c>
      <c r="F3839">
        <v>62</v>
      </c>
      <c r="G3839" s="2">
        <v>587689921</v>
      </c>
      <c r="H3839" s="2">
        <v>2696020</v>
      </c>
      <c r="I3839" s="2">
        <v>67856339</v>
      </c>
      <c r="J3839">
        <v>34</v>
      </c>
      <c r="K3839">
        <v>36</v>
      </c>
      <c r="L3839">
        <v>0</v>
      </c>
      <c r="M3839" t="str">
        <f t="shared" si="59"/>
        <v>2010-2020</v>
      </c>
    </row>
    <row r="3840" spans="1:13">
      <c r="A3840" t="s">
        <v>5382</v>
      </c>
      <c r="B3840" t="s">
        <v>920</v>
      </c>
      <c r="C3840" s="1">
        <v>45012</v>
      </c>
      <c r="D3840" s="2">
        <v>146489854</v>
      </c>
      <c r="E3840" s="2">
        <v>12540</v>
      </c>
      <c r="F3840">
        <v>64</v>
      </c>
      <c r="G3840" s="2">
        <v>136400964</v>
      </c>
      <c r="H3840" s="2">
        <v>1361854</v>
      </c>
      <c r="I3840" s="2">
        <v>293588190</v>
      </c>
      <c r="J3840">
        <v>16</v>
      </c>
      <c r="K3840">
        <v>9</v>
      </c>
      <c r="L3840">
        <v>0</v>
      </c>
      <c r="M3840" t="str">
        <f t="shared" si="59"/>
        <v>After 2020</v>
      </c>
    </row>
    <row r="3841" spans="1:13" hidden="1">
      <c r="A3841" t="s">
        <v>5383</v>
      </c>
      <c r="B3841" t="s">
        <v>5384</v>
      </c>
      <c r="C3841" s="1">
        <v>43056</v>
      </c>
      <c r="D3841" s="2">
        <v>989608207</v>
      </c>
      <c r="E3841" s="2">
        <v>89520</v>
      </c>
      <c r="F3841">
        <v>67</v>
      </c>
      <c r="G3841" s="2">
        <v>300627390</v>
      </c>
      <c r="H3841" s="2">
        <v>2508271</v>
      </c>
      <c r="I3841" s="2">
        <v>205446459</v>
      </c>
      <c r="J3841">
        <v>42</v>
      </c>
      <c r="L3841">
        <v>0</v>
      </c>
      <c r="M3841" t="str">
        <f t="shared" si="59"/>
        <v>2010-2020</v>
      </c>
    </row>
    <row r="3842" spans="1:13">
      <c r="A3842" t="s">
        <v>5385</v>
      </c>
      <c r="B3842" t="s">
        <v>411</v>
      </c>
      <c r="C3842" s="1">
        <v>44774</v>
      </c>
      <c r="D3842" s="2">
        <v>541018402</v>
      </c>
      <c r="E3842" s="2">
        <v>37204</v>
      </c>
      <c r="F3842">
        <v>74</v>
      </c>
      <c r="G3842" s="2">
        <v>35777367</v>
      </c>
      <c r="H3842" s="2">
        <v>911054</v>
      </c>
      <c r="I3842" s="2">
        <v>1096877338</v>
      </c>
      <c r="J3842">
        <v>32</v>
      </c>
      <c r="K3842">
        <v>106</v>
      </c>
      <c r="L3842">
        <v>0</v>
      </c>
      <c r="M3842" t="str">
        <f t="shared" si="59"/>
        <v>After 2020</v>
      </c>
    </row>
    <row r="3843" spans="1:13" hidden="1">
      <c r="A3843" t="s">
        <v>5386</v>
      </c>
      <c r="B3843" t="s">
        <v>61</v>
      </c>
      <c r="C3843" s="1">
        <v>45114</v>
      </c>
      <c r="D3843" s="2">
        <v>285889664</v>
      </c>
      <c r="E3843" s="2">
        <v>23393</v>
      </c>
      <c r="F3843">
        <v>75</v>
      </c>
      <c r="J3843">
        <v>23</v>
      </c>
      <c r="L3843">
        <v>0</v>
      </c>
      <c r="M3843" t="str">
        <f t="shared" ref="M3843:M3906" si="60">IF(YEAR(C3843)&lt;2010,"Before 2010",IF(YEAR(C3843)&lt;=2020,"2010-2020","After 2020"))</f>
        <v>After 2020</v>
      </c>
    </row>
    <row r="3844" spans="1:13" hidden="1">
      <c r="A3844" t="s">
        <v>5387</v>
      </c>
      <c r="B3844" t="s">
        <v>170</v>
      </c>
      <c r="C3844" s="1">
        <v>44981</v>
      </c>
      <c r="D3844" s="2">
        <v>121721506</v>
      </c>
      <c r="E3844" s="2">
        <v>8049</v>
      </c>
      <c r="F3844">
        <v>67</v>
      </c>
      <c r="G3844" s="2">
        <v>136014507</v>
      </c>
      <c r="H3844" s="2">
        <v>557809</v>
      </c>
      <c r="I3844" s="2">
        <v>78468779</v>
      </c>
      <c r="J3844">
        <v>10</v>
      </c>
      <c r="L3844">
        <v>1</v>
      </c>
      <c r="M3844" t="str">
        <f t="shared" si="60"/>
        <v>After 2020</v>
      </c>
    </row>
    <row r="3845" spans="1:13" hidden="1">
      <c r="A3845" t="s">
        <v>5388</v>
      </c>
      <c r="B3845" t="s">
        <v>2421</v>
      </c>
      <c r="C3845" s="1">
        <v>42993</v>
      </c>
      <c r="D3845" s="2">
        <v>595564275</v>
      </c>
      <c r="E3845" s="2">
        <v>93643</v>
      </c>
      <c r="F3845">
        <v>70</v>
      </c>
      <c r="G3845" s="2">
        <v>529533138</v>
      </c>
      <c r="H3845" s="2">
        <v>5465670</v>
      </c>
      <c r="I3845" s="2">
        <v>304569731</v>
      </c>
      <c r="J3845">
        <v>5</v>
      </c>
      <c r="L3845">
        <v>0</v>
      </c>
      <c r="M3845" t="str">
        <f t="shared" si="60"/>
        <v>2010-2020</v>
      </c>
    </row>
    <row r="3846" spans="1:13" hidden="1">
      <c r="A3846" t="s">
        <v>5389</v>
      </c>
      <c r="B3846" t="s">
        <v>77</v>
      </c>
      <c r="C3846" s="1">
        <v>45233</v>
      </c>
      <c r="D3846" s="2">
        <v>66555473</v>
      </c>
      <c r="E3846" s="2">
        <v>16789</v>
      </c>
      <c r="G3846" s="2">
        <v>4641915</v>
      </c>
      <c r="H3846" s="2">
        <v>103677</v>
      </c>
      <c r="I3846" s="2">
        <v>14476475</v>
      </c>
      <c r="J3846">
        <v>19</v>
      </c>
      <c r="K3846">
        <v>165</v>
      </c>
      <c r="L3846">
        <v>0</v>
      </c>
      <c r="M3846" t="str">
        <f t="shared" si="60"/>
        <v>After 2020</v>
      </c>
    </row>
    <row r="3847" spans="1:13" hidden="1">
      <c r="A3847" t="s">
        <v>5180</v>
      </c>
      <c r="B3847" t="s">
        <v>5390</v>
      </c>
      <c r="C3847" s="1">
        <v>44970</v>
      </c>
      <c r="D3847" s="2">
        <v>1577904955</v>
      </c>
      <c r="E3847">
        <v>1</v>
      </c>
      <c r="L3847">
        <v>1</v>
      </c>
      <c r="M3847" t="str">
        <f t="shared" si="60"/>
        <v>After 2020</v>
      </c>
    </row>
    <row r="3848" spans="1:13" hidden="1">
      <c r="A3848" t="s">
        <v>5391</v>
      </c>
      <c r="B3848" t="s">
        <v>5392</v>
      </c>
      <c r="C3848" s="1">
        <v>45365</v>
      </c>
      <c r="D3848" s="2">
        <v>33845527</v>
      </c>
      <c r="E3848" s="2">
        <v>1766</v>
      </c>
      <c r="F3848">
        <v>69</v>
      </c>
      <c r="G3848" s="2">
        <v>30645137</v>
      </c>
      <c r="H3848" s="2">
        <v>480941</v>
      </c>
      <c r="J3848">
        <v>27</v>
      </c>
      <c r="L3848">
        <v>0</v>
      </c>
      <c r="M3848" t="str">
        <f t="shared" si="60"/>
        <v>After 2020</v>
      </c>
    </row>
    <row r="3849" spans="1:13">
      <c r="A3849" t="s">
        <v>5393</v>
      </c>
      <c r="B3849" t="s">
        <v>2583</v>
      </c>
      <c r="C3849" s="1">
        <v>42398</v>
      </c>
      <c r="D3849" s="2">
        <v>322003779</v>
      </c>
      <c r="E3849" s="2">
        <v>25025</v>
      </c>
      <c r="F3849">
        <v>59</v>
      </c>
      <c r="G3849" s="2">
        <v>1326260675</v>
      </c>
      <c r="H3849" s="2">
        <v>3999448</v>
      </c>
      <c r="I3849" s="2">
        <v>77792182</v>
      </c>
      <c r="J3849">
        <v>27</v>
      </c>
      <c r="K3849">
        <v>6</v>
      </c>
      <c r="L3849">
        <v>0</v>
      </c>
      <c r="M3849" t="str">
        <f t="shared" si="60"/>
        <v>2010-2020</v>
      </c>
    </row>
    <row r="3850" spans="1:13">
      <c r="A3850" t="s">
        <v>5394</v>
      </c>
      <c r="B3850" t="s">
        <v>723</v>
      </c>
      <c r="C3850" s="1">
        <v>43565</v>
      </c>
      <c r="D3850" s="2">
        <v>763658190</v>
      </c>
      <c r="E3850" s="2">
        <v>99429</v>
      </c>
      <c r="F3850">
        <v>66</v>
      </c>
      <c r="G3850" s="2">
        <v>155980021</v>
      </c>
      <c r="H3850" s="2">
        <v>1735488</v>
      </c>
      <c r="I3850" s="2">
        <v>258338520</v>
      </c>
      <c r="J3850">
        <v>143</v>
      </c>
      <c r="K3850">
        <v>187</v>
      </c>
      <c r="L3850">
        <v>0</v>
      </c>
      <c r="M3850" t="str">
        <f t="shared" si="60"/>
        <v>2010-2020</v>
      </c>
    </row>
    <row r="3851" spans="1:13" hidden="1">
      <c r="A3851" t="s">
        <v>5395</v>
      </c>
      <c r="B3851" t="s">
        <v>5396</v>
      </c>
      <c r="C3851" s="1">
        <v>44933</v>
      </c>
      <c r="D3851" s="2">
        <v>39057770</v>
      </c>
      <c r="E3851" s="2">
        <v>1308</v>
      </c>
      <c r="F3851">
        <v>27</v>
      </c>
      <c r="G3851" s="2">
        <v>252467125</v>
      </c>
      <c r="H3851" s="2">
        <v>974051</v>
      </c>
      <c r="L3851">
        <v>0</v>
      </c>
      <c r="M3851" t="str">
        <f t="shared" si="60"/>
        <v>After 2020</v>
      </c>
    </row>
    <row r="3852" spans="1:13">
      <c r="A3852" t="s">
        <v>5397</v>
      </c>
      <c r="B3852" t="s">
        <v>236</v>
      </c>
      <c r="C3852" s="1">
        <v>44099</v>
      </c>
      <c r="D3852" s="2">
        <v>278032053</v>
      </c>
      <c r="E3852" s="2">
        <v>79755</v>
      </c>
      <c r="F3852">
        <v>63</v>
      </c>
      <c r="G3852" s="2">
        <v>179207995</v>
      </c>
      <c r="H3852" s="2">
        <v>2529783</v>
      </c>
      <c r="I3852" s="2">
        <v>170949508</v>
      </c>
      <c r="J3852">
        <v>58</v>
      </c>
      <c r="K3852">
        <v>19</v>
      </c>
      <c r="L3852">
        <v>1</v>
      </c>
      <c r="M3852" t="str">
        <f t="shared" si="60"/>
        <v>2010-2020</v>
      </c>
    </row>
    <row r="3853" spans="1:13" hidden="1">
      <c r="A3853" t="s">
        <v>5398</v>
      </c>
      <c r="B3853" t="s">
        <v>2725</v>
      </c>
      <c r="C3853" s="1">
        <v>43367</v>
      </c>
      <c r="D3853" s="2">
        <v>115373265</v>
      </c>
      <c r="E3853" s="2">
        <v>10885</v>
      </c>
      <c r="F3853">
        <v>60</v>
      </c>
      <c r="G3853" s="2">
        <v>743095293</v>
      </c>
      <c r="H3853" s="2">
        <v>4886076</v>
      </c>
      <c r="I3853" s="2">
        <v>440380121</v>
      </c>
      <c r="J3853">
        <v>11</v>
      </c>
      <c r="L3853">
        <v>0</v>
      </c>
      <c r="M3853" t="str">
        <f t="shared" si="60"/>
        <v>2010-2020</v>
      </c>
    </row>
    <row r="3854" spans="1:13" hidden="1">
      <c r="A3854" t="s">
        <v>5399</v>
      </c>
      <c r="B3854" t="s">
        <v>5400</v>
      </c>
      <c r="C3854" s="1">
        <v>45121</v>
      </c>
      <c r="D3854" s="2">
        <v>65157999</v>
      </c>
      <c r="E3854" s="2">
        <v>8260</v>
      </c>
      <c r="F3854">
        <v>57</v>
      </c>
      <c r="G3854" s="2">
        <v>117612168</v>
      </c>
      <c r="H3854" s="2">
        <v>1609669</v>
      </c>
      <c r="I3854" s="2">
        <v>161449720</v>
      </c>
      <c r="J3854">
        <v>7</v>
      </c>
      <c r="L3854">
        <v>0</v>
      </c>
      <c r="M3854" t="str">
        <f t="shared" si="60"/>
        <v>After 2020</v>
      </c>
    </row>
    <row r="3855" spans="1:13">
      <c r="A3855" t="s">
        <v>5401</v>
      </c>
      <c r="B3855" t="s">
        <v>3678</v>
      </c>
      <c r="C3855" s="1">
        <v>44120</v>
      </c>
      <c r="D3855" s="2">
        <v>113153819</v>
      </c>
      <c r="E3855" s="2">
        <v>35421</v>
      </c>
      <c r="F3855">
        <v>65</v>
      </c>
      <c r="G3855" s="2">
        <v>14448833</v>
      </c>
      <c r="H3855" s="2">
        <v>138564</v>
      </c>
      <c r="I3855" s="2">
        <v>47272619</v>
      </c>
      <c r="J3855">
        <v>21</v>
      </c>
      <c r="K3855">
        <v>37</v>
      </c>
      <c r="L3855">
        <v>1</v>
      </c>
      <c r="M3855" t="str">
        <f t="shared" si="60"/>
        <v>2010-2020</v>
      </c>
    </row>
    <row r="3856" spans="1:13" hidden="1">
      <c r="A3856" t="s">
        <v>5402</v>
      </c>
      <c r="B3856" t="s">
        <v>5403</v>
      </c>
      <c r="C3856" s="1">
        <v>45363</v>
      </c>
      <c r="D3856" s="2">
        <v>15619</v>
      </c>
      <c r="E3856">
        <v>13</v>
      </c>
      <c r="G3856" s="2">
        <v>48633119</v>
      </c>
      <c r="H3856" s="2">
        <v>214149</v>
      </c>
      <c r="L3856">
        <v>0</v>
      </c>
      <c r="M3856" t="str">
        <f t="shared" si="60"/>
        <v>After 2020</v>
      </c>
    </row>
    <row r="3857" spans="1:13">
      <c r="A3857" t="s">
        <v>5404</v>
      </c>
      <c r="B3857" t="s">
        <v>5405</v>
      </c>
      <c r="C3857" s="1">
        <v>44470</v>
      </c>
      <c r="D3857" s="2">
        <v>315336758</v>
      </c>
      <c r="E3857" s="2">
        <v>79303</v>
      </c>
      <c r="F3857">
        <v>70</v>
      </c>
      <c r="G3857" s="2">
        <v>29058447</v>
      </c>
      <c r="H3857" s="2">
        <v>408335</v>
      </c>
      <c r="I3857" s="2">
        <v>1234944902</v>
      </c>
      <c r="J3857">
        <v>30</v>
      </c>
      <c r="K3857">
        <v>117</v>
      </c>
      <c r="L3857">
        <v>1</v>
      </c>
      <c r="M3857" t="str">
        <f t="shared" si="60"/>
        <v>After 2020</v>
      </c>
    </row>
    <row r="3858" spans="1:13">
      <c r="A3858" t="s">
        <v>5406</v>
      </c>
      <c r="B3858" t="s">
        <v>4616</v>
      </c>
      <c r="C3858" s="1">
        <v>43233</v>
      </c>
      <c r="D3858" s="2">
        <v>310742518</v>
      </c>
      <c r="E3858" s="2">
        <v>20307</v>
      </c>
      <c r="F3858">
        <v>65</v>
      </c>
      <c r="G3858" s="2">
        <v>811416034</v>
      </c>
      <c r="H3858" s="2">
        <v>2074845</v>
      </c>
      <c r="I3858" s="2">
        <v>32767411</v>
      </c>
      <c r="J3858">
        <v>10</v>
      </c>
      <c r="K3858">
        <v>10</v>
      </c>
      <c r="L3858">
        <v>0</v>
      </c>
      <c r="M3858" t="str">
        <f t="shared" si="60"/>
        <v>2010-2020</v>
      </c>
    </row>
    <row r="3859" spans="1:13" hidden="1">
      <c r="A3859" t="s">
        <v>5407</v>
      </c>
      <c r="B3859" t="s">
        <v>5408</v>
      </c>
      <c r="C3859" s="1">
        <v>45115</v>
      </c>
      <c r="D3859" s="2">
        <v>6220250</v>
      </c>
      <c r="E3859">
        <v>458</v>
      </c>
      <c r="F3859">
        <v>50</v>
      </c>
      <c r="G3859" s="2">
        <v>114811395</v>
      </c>
      <c r="H3859" s="2">
        <v>851776</v>
      </c>
      <c r="I3859" s="2">
        <v>155823199</v>
      </c>
      <c r="L3859">
        <v>0</v>
      </c>
      <c r="M3859" t="str">
        <f t="shared" si="60"/>
        <v>After 2020</v>
      </c>
    </row>
    <row r="3860" spans="1:13" hidden="1">
      <c r="A3860" t="s">
        <v>2441</v>
      </c>
      <c r="B3860" t="s">
        <v>597</v>
      </c>
      <c r="C3860" s="1">
        <v>45296</v>
      </c>
      <c r="D3860" s="2">
        <v>46945798</v>
      </c>
      <c r="E3860" s="2">
        <v>4120</v>
      </c>
      <c r="F3860">
        <v>70</v>
      </c>
      <c r="G3860" s="2">
        <v>50822146</v>
      </c>
      <c r="H3860" s="2">
        <v>474399</v>
      </c>
      <c r="J3860">
        <v>24</v>
      </c>
      <c r="L3860">
        <v>0</v>
      </c>
      <c r="M3860" t="str">
        <f t="shared" si="60"/>
        <v>After 2020</v>
      </c>
    </row>
    <row r="3861" spans="1:13">
      <c r="A3861" t="s">
        <v>5409</v>
      </c>
      <c r="B3861" t="s">
        <v>520</v>
      </c>
      <c r="C3861" s="1">
        <v>43847</v>
      </c>
      <c r="D3861" s="2">
        <v>664972754</v>
      </c>
      <c r="E3861" s="2">
        <v>67417</v>
      </c>
      <c r="F3861">
        <v>67</v>
      </c>
      <c r="G3861" s="2">
        <v>148754253</v>
      </c>
      <c r="H3861" s="2">
        <v>2371235</v>
      </c>
      <c r="I3861" s="2">
        <v>275420611</v>
      </c>
      <c r="J3861">
        <v>139</v>
      </c>
      <c r="K3861">
        <v>251</v>
      </c>
      <c r="L3861">
        <v>0</v>
      </c>
      <c r="M3861" t="str">
        <f t="shared" si="60"/>
        <v>2010-2020</v>
      </c>
    </row>
    <row r="3862" spans="1:13" hidden="1">
      <c r="A3862" t="s">
        <v>5410</v>
      </c>
      <c r="B3862" t="s">
        <v>2047</v>
      </c>
      <c r="C3862" s="1">
        <v>45324</v>
      </c>
      <c r="D3862" s="2">
        <v>56463608</v>
      </c>
      <c r="E3862" s="2">
        <v>3500</v>
      </c>
      <c r="F3862">
        <v>13</v>
      </c>
      <c r="G3862" s="2">
        <v>40744351</v>
      </c>
      <c r="H3862" s="2">
        <v>1252374</v>
      </c>
      <c r="J3862">
        <v>6</v>
      </c>
      <c r="K3862">
        <v>52</v>
      </c>
      <c r="L3862">
        <v>0</v>
      </c>
      <c r="M3862" t="str">
        <f t="shared" si="60"/>
        <v>After 2020</v>
      </c>
    </row>
    <row r="3863" spans="1:13" hidden="1">
      <c r="A3863" t="s">
        <v>5411</v>
      </c>
      <c r="B3863" t="s">
        <v>5412</v>
      </c>
      <c r="C3863" s="1">
        <v>44854</v>
      </c>
      <c r="D3863" s="2">
        <v>131713257</v>
      </c>
      <c r="E3863" s="2">
        <v>43947</v>
      </c>
      <c r="F3863">
        <v>58</v>
      </c>
      <c r="G3863" s="2">
        <v>33686131</v>
      </c>
      <c r="H3863" s="2">
        <v>355898</v>
      </c>
      <c r="I3863" s="2">
        <v>94823161</v>
      </c>
      <c r="J3863">
        <v>17</v>
      </c>
      <c r="L3863">
        <v>1</v>
      </c>
      <c r="M3863" t="str">
        <f t="shared" si="60"/>
        <v>After 2020</v>
      </c>
    </row>
    <row r="3864" spans="1:13">
      <c r="A3864" t="s">
        <v>5413</v>
      </c>
      <c r="B3864" t="s">
        <v>5240</v>
      </c>
      <c r="C3864" s="1">
        <v>45051</v>
      </c>
      <c r="D3864" s="2">
        <v>205855278</v>
      </c>
      <c r="E3864" s="2">
        <v>15475</v>
      </c>
      <c r="F3864">
        <v>67</v>
      </c>
      <c r="G3864" s="2">
        <v>78474072</v>
      </c>
      <c r="H3864" s="2">
        <v>419209</v>
      </c>
      <c r="I3864" s="2">
        <v>253126168</v>
      </c>
      <c r="J3864">
        <v>12</v>
      </c>
      <c r="K3864">
        <v>14</v>
      </c>
      <c r="L3864">
        <v>0</v>
      </c>
      <c r="M3864" t="str">
        <f t="shared" si="60"/>
        <v>After 2020</v>
      </c>
    </row>
    <row r="3865" spans="1:13" hidden="1">
      <c r="A3865" t="s">
        <v>5414</v>
      </c>
      <c r="B3865" t="s">
        <v>5415</v>
      </c>
      <c r="C3865" s="1">
        <v>45397</v>
      </c>
      <c r="D3865" s="2">
        <v>40072883</v>
      </c>
      <c r="E3865" s="2">
        <v>1248</v>
      </c>
      <c r="F3865">
        <v>75</v>
      </c>
      <c r="G3865" s="2">
        <v>17561285</v>
      </c>
      <c r="H3865" s="2">
        <v>198584</v>
      </c>
      <c r="J3865">
        <v>8</v>
      </c>
      <c r="L3865">
        <v>0</v>
      </c>
      <c r="M3865" t="str">
        <f t="shared" si="60"/>
        <v>After 2020</v>
      </c>
    </row>
    <row r="3866" spans="1:13" hidden="1">
      <c r="A3866" t="s">
        <v>5416</v>
      </c>
      <c r="B3866" t="s">
        <v>5417</v>
      </c>
      <c r="C3866" s="1">
        <v>44988</v>
      </c>
      <c r="D3866" s="2">
        <v>2508</v>
      </c>
      <c r="E3866">
        <v>3</v>
      </c>
      <c r="F3866">
        <v>1</v>
      </c>
      <c r="G3866" s="2">
        <v>251812286</v>
      </c>
      <c r="H3866" s="2">
        <v>313121</v>
      </c>
      <c r="L3866">
        <v>0</v>
      </c>
      <c r="M3866" t="str">
        <f t="shared" si="60"/>
        <v>After 2020</v>
      </c>
    </row>
    <row r="3867" spans="1:13">
      <c r="A3867" t="s">
        <v>5418</v>
      </c>
      <c r="B3867" t="s">
        <v>5419</v>
      </c>
      <c r="C3867" s="1">
        <v>41953</v>
      </c>
      <c r="D3867" s="2">
        <v>1088889743</v>
      </c>
      <c r="E3867" s="2">
        <v>190953</v>
      </c>
      <c r="F3867">
        <v>75</v>
      </c>
      <c r="G3867" s="2">
        <v>271796914</v>
      </c>
      <c r="H3867" s="2">
        <v>3319576</v>
      </c>
      <c r="I3867" s="2">
        <v>1412148968</v>
      </c>
      <c r="J3867">
        <v>91</v>
      </c>
      <c r="K3867">
        <v>89</v>
      </c>
      <c r="L3867">
        <v>0</v>
      </c>
      <c r="M3867" t="str">
        <f t="shared" si="60"/>
        <v>2010-2020</v>
      </c>
    </row>
    <row r="3868" spans="1:13" hidden="1">
      <c r="A3868" t="s">
        <v>5420</v>
      </c>
      <c r="B3868" t="s">
        <v>141</v>
      </c>
      <c r="C3868" s="1">
        <v>45212</v>
      </c>
      <c r="D3868" s="2">
        <v>95925842</v>
      </c>
      <c r="E3868" s="2">
        <v>16712</v>
      </c>
      <c r="G3868" s="2">
        <v>28849994</v>
      </c>
      <c r="H3868" s="2">
        <v>317982</v>
      </c>
      <c r="I3868" s="2">
        <v>27249793</v>
      </c>
      <c r="J3868">
        <v>4</v>
      </c>
      <c r="L3868">
        <v>1</v>
      </c>
      <c r="M3868" t="str">
        <f t="shared" si="60"/>
        <v>After 2020</v>
      </c>
    </row>
    <row r="3869" spans="1:13" hidden="1">
      <c r="A3869" t="s">
        <v>5421</v>
      </c>
      <c r="B3869" t="s">
        <v>61</v>
      </c>
      <c r="C3869" s="1">
        <v>45400</v>
      </c>
      <c r="D3869" s="2">
        <v>92296736</v>
      </c>
      <c r="E3869" s="2">
        <v>2336</v>
      </c>
      <c r="G3869" s="2">
        <v>3354991</v>
      </c>
      <c r="H3869" s="2">
        <v>39792</v>
      </c>
      <c r="J3869">
        <v>9</v>
      </c>
      <c r="K3869">
        <v>5</v>
      </c>
      <c r="L3869">
        <v>0</v>
      </c>
      <c r="M3869" t="str">
        <f t="shared" si="60"/>
        <v>After 2020</v>
      </c>
    </row>
    <row r="3870" spans="1:13" hidden="1">
      <c r="A3870" t="s">
        <v>5422</v>
      </c>
      <c r="B3870" t="s">
        <v>5423</v>
      </c>
      <c r="C3870" s="1">
        <v>45422</v>
      </c>
      <c r="D3870" s="2">
        <v>13060347</v>
      </c>
      <c r="E3870">
        <v>648</v>
      </c>
      <c r="F3870">
        <v>70</v>
      </c>
      <c r="G3870" s="2">
        <v>10890264</v>
      </c>
      <c r="H3870" s="2">
        <v>69044</v>
      </c>
      <c r="L3870">
        <v>0</v>
      </c>
      <c r="M3870" t="str">
        <f t="shared" si="60"/>
        <v>After 2020</v>
      </c>
    </row>
    <row r="3871" spans="1:13" hidden="1">
      <c r="A3871" t="s">
        <v>5424</v>
      </c>
      <c r="B3871" t="s">
        <v>1430</v>
      </c>
      <c r="C3871" s="1">
        <v>45156</v>
      </c>
      <c r="D3871" s="2">
        <v>56798458</v>
      </c>
      <c r="E3871" s="2">
        <v>7404</v>
      </c>
      <c r="F3871">
        <v>62</v>
      </c>
      <c r="G3871" s="2">
        <v>77968183</v>
      </c>
      <c r="H3871" s="2">
        <v>627912</v>
      </c>
      <c r="I3871" s="2">
        <v>11740158</v>
      </c>
      <c r="J3871">
        <v>9</v>
      </c>
      <c r="L3871">
        <v>0</v>
      </c>
      <c r="M3871" t="str">
        <f t="shared" si="60"/>
        <v>After 2020</v>
      </c>
    </row>
    <row r="3872" spans="1:13" hidden="1">
      <c r="A3872" t="s">
        <v>5425</v>
      </c>
      <c r="B3872" t="s">
        <v>5426</v>
      </c>
      <c r="C3872" s="1">
        <v>45390</v>
      </c>
      <c r="D3872" s="2">
        <v>25974901</v>
      </c>
      <c r="E3872" s="2">
        <v>1093</v>
      </c>
      <c r="F3872">
        <v>75</v>
      </c>
      <c r="G3872" s="2">
        <v>20524343</v>
      </c>
      <c r="H3872" s="2">
        <v>241755</v>
      </c>
      <c r="J3872">
        <v>17</v>
      </c>
      <c r="L3872">
        <v>0</v>
      </c>
      <c r="M3872" t="str">
        <f t="shared" si="60"/>
        <v>After 2020</v>
      </c>
    </row>
    <row r="3873" spans="1:13" hidden="1">
      <c r="A3873" t="s">
        <v>5427</v>
      </c>
      <c r="B3873" t="s">
        <v>5428</v>
      </c>
      <c r="C3873" s="1">
        <v>43517</v>
      </c>
      <c r="D3873" s="2">
        <v>102266938</v>
      </c>
      <c r="E3873" s="2">
        <v>5921</v>
      </c>
      <c r="F3873">
        <v>61</v>
      </c>
      <c r="G3873" s="2">
        <v>531503711</v>
      </c>
      <c r="H3873" s="2">
        <v>4123099</v>
      </c>
      <c r="I3873" s="2">
        <v>544172370</v>
      </c>
      <c r="J3873">
        <v>3</v>
      </c>
      <c r="L3873">
        <v>0</v>
      </c>
      <c r="M3873" t="str">
        <f t="shared" si="60"/>
        <v>2010-2020</v>
      </c>
    </row>
    <row r="3874" spans="1:13">
      <c r="A3874" t="s">
        <v>5429</v>
      </c>
      <c r="B3874" t="s">
        <v>2594</v>
      </c>
      <c r="C3874" s="1">
        <v>44995</v>
      </c>
      <c r="D3874" s="2">
        <v>223617742</v>
      </c>
      <c r="E3874" s="2">
        <v>28508</v>
      </c>
      <c r="F3874">
        <v>73</v>
      </c>
      <c r="G3874" s="2">
        <v>57156070</v>
      </c>
      <c r="H3874" s="2">
        <v>432032</v>
      </c>
      <c r="I3874" s="2">
        <v>51766245</v>
      </c>
      <c r="J3874">
        <v>4</v>
      </c>
      <c r="K3874">
        <v>5</v>
      </c>
      <c r="L3874">
        <v>0</v>
      </c>
      <c r="M3874" t="str">
        <f t="shared" si="60"/>
        <v>After 2020</v>
      </c>
    </row>
    <row r="3875" spans="1:13" hidden="1">
      <c r="A3875" t="s">
        <v>5430</v>
      </c>
      <c r="B3875" t="s">
        <v>1654</v>
      </c>
      <c r="C3875" s="1">
        <v>44750</v>
      </c>
      <c r="D3875" s="2">
        <v>281927185</v>
      </c>
      <c r="E3875" s="2">
        <v>27199</v>
      </c>
      <c r="F3875">
        <v>63</v>
      </c>
      <c r="G3875" s="2">
        <v>158004846</v>
      </c>
      <c r="H3875" s="2">
        <v>605118</v>
      </c>
      <c r="J3875">
        <v>11</v>
      </c>
      <c r="K3875">
        <v>207</v>
      </c>
      <c r="L3875">
        <v>0</v>
      </c>
      <c r="M3875" t="str">
        <f t="shared" si="60"/>
        <v>After 2020</v>
      </c>
    </row>
    <row r="3876" spans="1:13" hidden="1">
      <c r="A3876" t="s">
        <v>5431</v>
      </c>
      <c r="B3876" t="s">
        <v>1460</v>
      </c>
      <c r="C3876" s="1">
        <v>44495</v>
      </c>
      <c r="D3876" s="2">
        <v>162005746</v>
      </c>
      <c r="E3876" s="2">
        <v>11105</v>
      </c>
      <c r="F3876">
        <v>61</v>
      </c>
      <c r="G3876" s="2">
        <v>402093763</v>
      </c>
      <c r="H3876" s="2">
        <v>2902624</v>
      </c>
      <c r="I3876" s="2">
        <v>74566411</v>
      </c>
      <c r="J3876">
        <v>15</v>
      </c>
      <c r="L3876">
        <v>0</v>
      </c>
      <c r="M3876" t="str">
        <f t="shared" si="60"/>
        <v>After 2020</v>
      </c>
    </row>
    <row r="3877" spans="1:13" hidden="1">
      <c r="A3877" t="s">
        <v>5432</v>
      </c>
      <c r="B3877" t="s">
        <v>141</v>
      </c>
      <c r="C3877" s="1">
        <v>45212</v>
      </c>
      <c r="D3877" s="2">
        <v>86588767</v>
      </c>
      <c r="E3877" s="2">
        <v>16215</v>
      </c>
      <c r="G3877" s="2">
        <v>31617320</v>
      </c>
      <c r="H3877" s="2">
        <v>668926</v>
      </c>
      <c r="I3877" s="2">
        <v>5482577</v>
      </c>
      <c r="J3877">
        <v>4</v>
      </c>
      <c r="L3877">
        <v>1</v>
      </c>
      <c r="M3877" t="str">
        <f t="shared" si="60"/>
        <v>After 2020</v>
      </c>
    </row>
    <row r="3878" spans="1:13" hidden="1">
      <c r="A3878" t="s">
        <v>5433</v>
      </c>
      <c r="B3878" t="s">
        <v>2951</v>
      </c>
      <c r="C3878" s="1">
        <v>45394</v>
      </c>
      <c r="D3878" s="2">
        <v>24176156</v>
      </c>
      <c r="E3878" s="2">
        <v>1698</v>
      </c>
      <c r="F3878">
        <v>71</v>
      </c>
      <c r="G3878" s="2">
        <v>16676082</v>
      </c>
      <c r="H3878" s="2">
        <v>71161</v>
      </c>
      <c r="J3878">
        <v>4</v>
      </c>
      <c r="L3878">
        <v>0</v>
      </c>
      <c r="M3878" t="str">
        <f t="shared" si="60"/>
        <v>After 2020</v>
      </c>
    </row>
    <row r="3879" spans="1:13" hidden="1">
      <c r="A3879" t="s">
        <v>5434</v>
      </c>
      <c r="B3879" t="s">
        <v>926</v>
      </c>
      <c r="C3879" s="1">
        <v>43707</v>
      </c>
      <c r="D3879" s="2">
        <v>358055646</v>
      </c>
      <c r="E3879" s="2">
        <v>63452</v>
      </c>
      <c r="F3879">
        <v>58</v>
      </c>
      <c r="G3879" s="2">
        <v>79428378</v>
      </c>
      <c r="H3879" s="2">
        <v>1309138</v>
      </c>
      <c r="I3879" s="2">
        <v>1038829201</v>
      </c>
      <c r="J3879">
        <v>29</v>
      </c>
      <c r="L3879">
        <v>1</v>
      </c>
      <c r="M3879" t="str">
        <f t="shared" si="60"/>
        <v>2010-2020</v>
      </c>
    </row>
    <row r="3880" spans="1:13" hidden="1">
      <c r="A3880" t="s">
        <v>5435</v>
      </c>
      <c r="B3880" t="s">
        <v>5436</v>
      </c>
      <c r="C3880" s="1">
        <v>44650</v>
      </c>
      <c r="D3880" s="2">
        <v>174165147</v>
      </c>
      <c r="E3880" s="2">
        <v>32542</v>
      </c>
      <c r="F3880">
        <v>61</v>
      </c>
      <c r="G3880" s="2">
        <v>228106838</v>
      </c>
      <c r="H3880" s="2">
        <v>2216911</v>
      </c>
      <c r="I3880" s="2">
        <v>119676469</v>
      </c>
      <c r="J3880">
        <v>16</v>
      </c>
      <c r="L3880">
        <v>1</v>
      </c>
      <c r="M3880" t="str">
        <f t="shared" si="60"/>
        <v>After 2020</v>
      </c>
    </row>
    <row r="3881" spans="1:13" hidden="1">
      <c r="A3881" t="s">
        <v>5437</v>
      </c>
      <c r="B3881" t="s">
        <v>1890</v>
      </c>
      <c r="C3881" s="1">
        <v>45226</v>
      </c>
      <c r="D3881" s="2">
        <v>149609501</v>
      </c>
      <c r="E3881" s="2">
        <v>17828</v>
      </c>
      <c r="G3881" s="2">
        <v>3195354</v>
      </c>
      <c r="H3881" s="2">
        <v>64197</v>
      </c>
      <c r="I3881" s="2">
        <v>15160078</v>
      </c>
      <c r="J3881">
        <v>6</v>
      </c>
      <c r="L3881">
        <v>1</v>
      </c>
      <c r="M3881" t="str">
        <f t="shared" si="60"/>
        <v>After 2020</v>
      </c>
    </row>
    <row r="3882" spans="1:13">
      <c r="A3882" t="s">
        <v>5438</v>
      </c>
      <c r="B3882" t="s">
        <v>5439</v>
      </c>
      <c r="C3882" s="1">
        <v>41845</v>
      </c>
      <c r="D3882" s="2">
        <v>491313680</v>
      </c>
      <c r="E3882" s="2">
        <v>122568</v>
      </c>
      <c r="F3882">
        <v>64</v>
      </c>
      <c r="G3882" s="2">
        <v>1058207974</v>
      </c>
      <c r="H3882" s="2">
        <v>7605627</v>
      </c>
      <c r="I3882" s="2">
        <v>300243753</v>
      </c>
      <c r="J3882">
        <v>70</v>
      </c>
      <c r="K3882">
        <v>13</v>
      </c>
      <c r="L3882">
        <v>1</v>
      </c>
      <c r="M3882" t="str">
        <f t="shared" si="60"/>
        <v>2010-2020</v>
      </c>
    </row>
    <row r="3883" spans="1:13" hidden="1">
      <c r="A3883" t="s">
        <v>5440</v>
      </c>
      <c r="B3883" t="s">
        <v>5441</v>
      </c>
      <c r="C3883" s="1">
        <v>44988</v>
      </c>
      <c r="D3883" s="2">
        <v>18550706</v>
      </c>
      <c r="E3883" s="2">
        <v>2537</v>
      </c>
      <c r="F3883">
        <v>50</v>
      </c>
      <c r="G3883" s="2">
        <v>159688005</v>
      </c>
      <c r="H3883" s="2">
        <v>376830</v>
      </c>
      <c r="I3883" s="2">
        <v>117607339</v>
      </c>
      <c r="L3883">
        <v>0</v>
      </c>
      <c r="M3883" t="str">
        <f t="shared" si="60"/>
        <v>After 2020</v>
      </c>
    </row>
    <row r="3884" spans="1:13">
      <c r="A3884" t="s">
        <v>5442</v>
      </c>
      <c r="B3884" t="s">
        <v>1067</v>
      </c>
      <c r="C3884" s="1">
        <v>44463</v>
      </c>
      <c r="D3884" s="2">
        <v>259405297</v>
      </c>
      <c r="E3884" s="2">
        <v>46330</v>
      </c>
      <c r="F3884">
        <v>59</v>
      </c>
      <c r="G3884" s="2">
        <v>68379159</v>
      </c>
      <c r="H3884" s="2">
        <v>772098</v>
      </c>
      <c r="I3884" s="2">
        <v>71844871</v>
      </c>
      <c r="J3884">
        <v>49</v>
      </c>
      <c r="K3884">
        <v>714</v>
      </c>
      <c r="L3884">
        <v>0</v>
      </c>
      <c r="M3884" t="str">
        <f t="shared" si="60"/>
        <v>After 2020</v>
      </c>
    </row>
    <row r="3885" spans="1:13">
      <c r="A3885" t="s">
        <v>5443</v>
      </c>
      <c r="B3885" t="s">
        <v>781</v>
      </c>
      <c r="C3885" s="1">
        <v>45156</v>
      </c>
      <c r="D3885" s="2">
        <v>49246411</v>
      </c>
      <c r="E3885" s="2">
        <v>22225</v>
      </c>
      <c r="F3885">
        <v>59</v>
      </c>
      <c r="G3885" s="2">
        <v>17029916</v>
      </c>
      <c r="H3885" s="2">
        <v>393829</v>
      </c>
      <c r="I3885" s="2">
        <v>27395460</v>
      </c>
      <c r="J3885">
        <v>7</v>
      </c>
      <c r="K3885">
        <v>155</v>
      </c>
      <c r="L3885">
        <v>1</v>
      </c>
      <c r="M3885" t="str">
        <f t="shared" si="60"/>
        <v>After 2020</v>
      </c>
    </row>
    <row r="3886" spans="1:13" hidden="1">
      <c r="A3886" t="s">
        <v>5444</v>
      </c>
      <c r="B3886" t="s">
        <v>5445</v>
      </c>
      <c r="C3886" s="1">
        <v>45135</v>
      </c>
      <c r="D3886" s="2">
        <v>68411628</v>
      </c>
      <c r="E3886" s="2">
        <v>4215</v>
      </c>
      <c r="F3886">
        <v>65</v>
      </c>
      <c r="G3886" s="2">
        <v>19337973</v>
      </c>
      <c r="H3886" s="2">
        <v>108046</v>
      </c>
      <c r="I3886" s="2">
        <v>297146611</v>
      </c>
      <c r="J3886">
        <v>4</v>
      </c>
      <c r="L3886">
        <v>0</v>
      </c>
      <c r="M3886" t="str">
        <f t="shared" si="60"/>
        <v>After 2020</v>
      </c>
    </row>
    <row r="3887" spans="1:13" hidden="1">
      <c r="A3887" t="s">
        <v>5446</v>
      </c>
      <c r="B3887" t="s">
        <v>61</v>
      </c>
      <c r="C3887" s="1">
        <v>45225</v>
      </c>
      <c r="D3887" s="2">
        <v>118707702</v>
      </c>
      <c r="E3887" s="2">
        <v>10228</v>
      </c>
      <c r="G3887" s="2">
        <v>9538075</v>
      </c>
      <c r="H3887" s="2">
        <v>165711</v>
      </c>
      <c r="I3887" s="2">
        <v>76251071</v>
      </c>
      <c r="J3887">
        <v>72</v>
      </c>
      <c r="L3887">
        <v>0</v>
      </c>
      <c r="M3887" t="str">
        <f t="shared" si="60"/>
        <v>After 2020</v>
      </c>
    </row>
    <row r="3888" spans="1:13" hidden="1">
      <c r="A3888" t="s">
        <v>5447</v>
      </c>
      <c r="B3888" t="s">
        <v>2272</v>
      </c>
      <c r="C3888" s="1">
        <v>45371</v>
      </c>
      <c r="D3888" s="2">
        <v>34391822</v>
      </c>
      <c r="E3888" s="2">
        <v>2998</v>
      </c>
      <c r="G3888" s="2">
        <v>1039710</v>
      </c>
      <c r="H3888" s="2">
        <v>18323</v>
      </c>
      <c r="J3888">
        <v>2</v>
      </c>
      <c r="L3888">
        <v>1</v>
      </c>
      <c r="M3888" t="str">
        <f t="shared" si="60"/>
        <v>After 2020</v>
      </c>
    </row>
    <row r="3889" spans="1:13" hidden="1">
      <c r="A3889" t="s">
        <v>5448</v>
      </c>
      <c r="B3889" t="s">
        <v>61</v>
      </c>
      <c r="C3889" s="1">
        <v>45400</v>
      </c>
      <c r="D3889" s="2">
        <v>83518075</v>
      </c>
      <c r="E3889" s="2">
        <v>2267</v>
      </c>
      <c r="G3889" s="2">
        <v>3279453</v>
      </c>
      <c r="H3889" s="2">
        <v>42516</v>
      </c>
      <c r="I3889" s="2">
        <v>981800</v>
      </c>
      <c r="J3889">
        <v>8</v>
      </c>
      <c r="L3889">
        <v>0</v>
      </c>
      <c r="M3889" t="str">
        <f t="shared" si="60"/>
        <v>After 2020</v>
      </c>
    </row>
    <row r="3890" spans="1:13" hidden="1">
      <c r="A3890" t="s">
        <v>5449</v>
      </c>
      <c r="B3890" t="s">
        <v>5450</v>
      </c>
      <c r="C3890" s="1">
        <v>45450</v>
      </c>
      <c r="D3890" s="2">
        <v>3663303</v>
      </c>
      <c r="E3890">
        <v>683</v>
      </c>
      <c r="G3890" s="2">
        <v>438239</v>
      </c>
      <c r="H3890" s="2">
        <v>18824</v>
      </c>
      <c r="J3890">
        <v>43</v>
      </c>
      <c r="L3890">
        <v>1</v>
      </c>
      <c r="M3890" t="str">
        <f t="shared" si="60"/>
        <v>After 2020</v>
      </c>
    </row>
    <row r="3891" spans="1:13">
      <c r="A3891" t="s">
        <v>5451</v>
      </c>
      <c r="B3891" t="s">
        <v>281</v>
      </c>
      <c r="C3891" s="1">
        <v>43952</v>
      </c>
      <c r="D3891" s="2">
        <v>467670966</v>
      </c>
      <c r="E3891" s="2">
        <v>38826</v>
      </c>
      <c r="F3891">
        <v>66</v>
      </c>
      <c r="G3891" s="2">
        <v>347013964</v>
      </c>
      <c r="H3891" s="2">
        <v>1956639</v>
      </c>
      <c r="I3891" s="2">
        <v>306310424</v>
      </c>
      <c r="J3891">
        <v>26</v>
      </c>
      <c r="K3891">
        <v>10</v>
      </c>
      <c r="L3891">
        <v>0</v>
      </c>
      <c r="M3891" t="str">
        <f t="shared" si="60"/>
        <v>2010-2020</v>
      </c>
    </row>
    <row r="3892" spans="1:13" hidden="1">
      <c r="A3892" t="s">
        <v>321</v>
      </c>
      <c r="B3892" t="s">
        <v>322</v>
      </c>
      <c r="C3892" s="1">
        <v>44757</v>
      </c>
      <c r="D3892" s="2">
        <v>846772236</v>
      </c>
      <c r="E3892" s="2">
        <v>22663</v>
      </c>
      <c r="F3892">
        <v>64</v>
      </c>
      <c r="L3892">
        <v>1</v>
      </c>
      <c r="M3892" t="str">
        <f t="shared" si="60"/>
        <v>After 2020</v>
      </c>
    </row>
    <row r="3893" spans="1:13">
      <c r="A3893" t="s">
        <v>5452</v>
      </c>
      <c r="B3893" t="s">
        <v>4243</v>
      </c>
      <c r="C3893" s="1">
        <v>45086</v>
      </c>
      <c r="D3893" s="2">
        <v>68189858</v>
      </c>
      <c r="E3893" s="2">
        <v>14429</v>
      </c>
      <c r="F3893">
        <v>61</v>
      </c>
      <c r="G3893" s="2">
        <v>15853723</v>
      </c>
      <c r="H3893" s="2">
        <v>71513</v>
      </c>
      <c r="I3893" s="2">
        <v>4189925</v>
      </c>
      <c r="J3893">
        <v>44</v>
      </c>
      <c r="K3893">
        <v>205</v>
      </c>
      <c r="L3893">
        <v>0</v>
      </c>
      <c r="M3893" t="str">
        <f t="shared" si="60"/>
        <v>After 2020</v>
      </c>
    </row>
    <row r="3894" spans="1:13">
      <c r="A3894" t="s">
        <v>5453</v>
      </c>
      <c r="B3894" t="s">
        <v>444</v>
      </c>
      <c r="C3894" s="1">
        <v>43916</v>
      </c>
      <c r="D3894" s="2">
        <v>439049524</v>
      </c>
      <c r="E3894" s="2">
        <v>57496</v>
      </c>
      <c r="F3894">
        <v>63</v>
      </c>
      <c r="G3894" s="2">
        <v>378728492</v>
      </c>
      <c r="H3894" s="2">
        <v>2017344</v>
      </c>
      <c r="I3894" s="2">
        <v>1774594</v>
      </c>
      <c r="J3894">
        <v>44</v>
      </c>
      <c r="K3894">
        <v>13</v>
      </c>
      <c r="L3894">
        <v>0</v>
      </c>
      <c r="M3894" t="str">
        <f t="shared" si="60"/>
        <v>2010-2020</v>
      </c>
    </row>
    <row r="3895" spans="1:13" hidden="1">
      <c r="A3895" t="s">
        <v>5454</v>
      </c>
      <c r="B3895" t="s">
        <v>5455</v>
      </c>
      <c r="C3895" s="1">
        <v>42664</v>
      </c>
      <c r="D3895" s="2">
        <v>441916342</v>
      </c>
      <c r="E3895" s="2">
        <v>47499</v>
      </c>
      <c r="F3895">
        <v>55</v>
      </c>
      <c r="G3895" s="2">
        <v>757432448</v>
      </c>
      <c r="H3895" s="2">
        <v>6966709</v>
      </c>
      <c r="I3895" s="2">
        <v>26604065</v>
      </c>
      <c r="J3895">
        <v>96</v>
      </c>
      <c r="L3895">
        <v>0</v>
      </c>
      <c r="M3895" t="str">
        <f t="shared" si="60"/>
        <v>2010-2020</v>
      </c>
    </row>
    <row r="3896" spans="1:13" hidden="1">
      <c r="A3896" t="s">
        <v>5456</v>
      </c>
      <c r="B3896" t="s">
        <v>297</v>
      </c>
      <c r="C3896" s="1">
        <v>45452</v>
      </c>
      <c r="D3896" s="2">
        <v>24071511</v>
      </c>
      <c r="E3896">
        <v>2</v>
      </c>
      <c r="F3896">
        <v>1</v>
      </c>
      <c r="L3896">
        <v>0</v>
      </c>
      <c r="M3896" t="str">
        <f t="shared" si="60"/>
        <v>After 2020</v>
      </c>
    </row>
    <row r="3897" spans="1:13">
      <c r="A3897" t="s">
        <v>5457</v>
      </c>
      <c r="B3897" t="s">
        <v>53</v>
      </c>
      <c r="C3897" s="1">
        <v>42084</v>
      </c>
      <c r="D3897" s="2">
        <v>169574765</v>
      </c>
      <c r="E3897" s="2">
        <v>46212</v>
      </c>
      <c r="F3897">
        <v>61</v>
      </c>
      <c r="G3897" s="2">
        <v>64115813</v>
      </c>
      <c r="H3897" s="2">
        <v>532711</v>
      </c>
      <c r="I3897" s="2">
        <v>29701332</v>
      </c>
      <c r="J3897">
        <v>72</v>
      </c>
      <c r="K3897">
        <v>5</v>
      </c>
      <c r="L3897">
        <v>1</v>
      </c>
      <c r="M3897" t="str">
        <f t="shared" si="60"/>
        <v>2010-2020</v>
      </c>
    </row>
    <row r="3898" spans="1:13" hidden="1">
      <c r="A3898" t="s">
        <v>5458</v>
      </c>
      <c r="B3898" t="s">
        <v>849</v>
      </c>
      <c r="C3898" s="1">
        <v>44868</v>
      </c>
      <c r="D3898" s="2">
        <v>162054666</v>
      </c>
      <c r="E3898" s="2">
        <v>1991</v>
      </c>
      <c r="F3898">
        <v>40</v>
      </c>
      <c r="J3898">
        <v>26</v>
      </c>
      <c r="L3898">
        <v>0</v>
      </c>
      <c r="M3898" t="str">
        <f t="shared" si="60"/>
        <v>After 2020</v>
      </c>
    </row>
    <row r="3899" spans="1:13">
      <c r="A3899" t="s">
        <v>5459</v>
      </c>
      <c r="B3899" t="s">
        <v>1347</v>
      </c>
      <c r="C3899" s="1">
        <v>43392</v>
      </c>
      <c r="D3899" s="2">
        <v>433664050</v>
      </c>
      <c r="E3899" s="2">
        <v>78546</v>
      </c>
      <c r="F3899">
        <v>59</v>
      </c>
      <c r="G3899" s="2">
        <v>235890905</v>
      </c>
      <c r="H3899" s="2">
        <v>2265284</v>
      </c>
      <c r="I3899" s="2">
        <v>1344891926</v>
      </c>
      <c r="J3899">
        <v>126</v>
      </c>
      <c r="K3899">
        <v>277</v>
      </c>
      <c r="L3899">
        <v>0</v>
      </c>
      <c r="M3899" t="str">
        <f t="shared" si="60"/>
        <v>2010-2020</v>
      </c>
    </row>
    <row r="3900" spans="1:13">
      <c r="A3900" t="s">
        <v>5460</v>
      </c>
      <c r="B3900" t="s">
        <v>2394</v>
      </c>
      <c r="C3900" s="1">
        <v>43749</v>
      </c>
      <c r="D3900" s="2">
        <v>404692736</v>
      </c>
      <c r="E3900" s="2">
        <v>117843</v>
      </c>
      <c r="F3900">
        <v>69</v>
      </c>
      <c r="G3900" s="2">
        <v>122850735</v>
      </c>
      <c r="H3900" s="2">
        <v>1344633</v>
      </c>
      <c r="I3900" s="2">
        <v>338188316</v>
      </c>
      <c r="J3900">
        <v>31</v>
      </c>
      <c r="K3900">
        <v>108</v>
      </c>
      <c r="L3900">
        <v>1</v>
      </c>
      <c r="M3900" t="str">
        <f t="shared" si="60"/>
        <v>2010-2020</v>
      </c>
    </row>
    <row r="3901" spans="1:13">
      <c r="A3901" t="s">
        <v>5461</v>
      </c>
      <c r="B3901" t="s">
        <v>236</v>
      </c>
      <c r="C3901" s="1">
        <v>43315</v>
      </c>
      <c r="D3901" s="2">
        <v>740409304</v>
      </c>
      <c r="E3901" s="2">
        <v>140977</v>
      </c>
      <c r="F3901">
        <v>70</v>
      </c>
      <c r="G3901" s="2">
        <v>211251366</v>
      </c>
      <c r="H3901" s="2">
        <v>2171021</v>
      </c>
      <c r="I3901" s="2">
        <v>50313512</v>
      </c>
      <c r="J3901">
        <v>50</v>
      </c>
      <c r="K3901">
        <v>5</v>
      </c>
      <c r="L3901">
        <v>1</v>
      </c>
      <c r="M3901" t="str">
        <f t="shared" si="60"/>
        <v>2010-2020</v>
      </c>
    </row>
    <row r="3902" spans="1:13" hidden="1">
      <c r="A3902" t="s">
        <v>5462</v>
      </c>
      <c r="B3902" t="s">
        <v>53</v>
      </c>
      <c r="C3902" s="1">
        <v>45373</v>
      </c>
      <c r="D3902" s="2">
        <v>17192758</v>
      </c>
      <c r="E3902" s="2">
        <v>5834</v>
      </c>
      <c r="G3902" s="2">
        <v>2341216</v>
      </c>
      <c r="H3902" s="2">
        <v>30917</v>
      </c>
      <c r="J3902">
        <v>4</v>
      </c>
      <c r="L3902">
        <v>1</v>
      </c>
      <c r="M3902" t="str">
        <f t="shared" si="60"/>
        <v>After 2020</v>
      </c>
    </row>
    <row r="3903" spans="1:13" hidden="1">
      <c r="A3903" t="s">
        <v>5463</v>
      </c>
      <c r="B3903" t="s">
        <v>2055</v>
      </c>
      <c r="C3903" s="1">
        <v>45449</v>
      </c>
      <c r="D3903" s="2">
        <v>4094651</v>
      </c>
      <c r="E3903">
        <v>471</v>
      </c>
      <c r="F3903">
        <v>65</v>
      </c>
      <c r="J3903">
        <v>8</v>
      </c>
      <c r="L3903">
        <v>1</v>
      </c>
      <c r="M3903" t="str">
        <f t="shared" si="60"/>
        <v>After 2020</v>
      </c>
    </row>
    <row r="3904" spans="1:13">
      <c r="A3904" t="s">
        <v>5464</v>
      </c>
      <c r="B3904" t="s">
        <v>1887</v>
      </c>
      <c r="C3904" s="1">
        <v>44783</v>
      </c>
      <c r="D3904" s="2">
        <v>133459011</v>
      </c>
      <c r="E3904" s="2">
        <v>35905</v>
      </c>
      <c r="F3904">
        <v>60</v>
      </c>
      <c r="G3904" s="2">
        <v>62093393</v>
      </c>
      <c r="H3904" s="2">
        <v>780391</v>
      </c>
      <c r="I3904" s="2">
        <v>1961457700</v>
      </c>
      <c r="J3904">
        <v>36</v>
      </c>
      <c r="K3904" s="2">
        <v>1691</v>
      </c>
      <c r="L3904">
        <v>1</v>
      </c>
      <c r="M3904" t="str">
        <f t="shared" si="60"/>
        <v>After 2020</v>
      </c>
    </row>
    <row r="3905" spans="1:13" hidden="1">
      <c r="A3905" t="s">
        <v>5465</v>
      </c>
      <c r="B3905" t="s">
        <v>1613</v>
      </c>
      <c r="C3905" s="1">
        <v>43014</v>
      </c>
      <c r="D3905" s="2">
        <v>493699616</v>
      </c>
      <c r="E3905" s="2">
        <v>78449</v>
      </c>
      <c r="F3905">
        <v>65</v>
      </c>
      <c r="G3905" s="2">
        <v>308466086</v>
      </c>
      <c r="H3905" s="2">
        <v>3407408</v>
      </c>
      <c r="I3905" s="2">
        <v>43620157</v>
      </c>
      <c r="J3905">
        <v>15</v>
      </c>
      <c r="L3905">
        <v>0</v>
      </c>
      <c r="M3905" t="str">
        <f t="shared" si="60"/>
        <v>2010-2020</v>
      </c>
    </row>
    <row r="3906" spans="1:13" hidden="1">
      <c r="A3906" t="s">
        <v>4968</v>
      </c>
      <c r="B3906" t="s">
        <v>5466</v>
      </c>
      <c r="C3906" s="1">
        <v>44764</v>
      </c>
      <c r="E3906">
        <v>4</v>
      </c>
      <c r="G3906" s="2">
        <v>354682832</v>
      </c>
      <c r="H3906" s="2">
        <v>389042</v>
      </c>
      <c r="L3906">
        <v>0</v>
      </c>
      <c r="M3906" t="str">
        <f t="shared" si="60"/>
        <v>After 2020</v>
      </c>
    </row>
    <row r="3907" spans="1:13" hidden="1">
      <c r="A3907" t="s">
        <v>4236</v>
      </c>
      <c r="B3907" t="s">
        <v>504</v>
      </c>
      <c r="C3907" s="1">
        <v>42972</v>
      </c>
      <c r="D3907" s="2">
        <v>1356969354</v>
      </c>
      <c r="E3907" s="2">
        <v>184465</v>
      </c>
      <c r="F3907">
        <v>81</v>
      </c>
      <c r="G3907" s="2">
        <v>910676</v>
      </c>
      <c r="H3907" s="2">
        <v>22351</v>
      </c>
      <c r="I3907" s="2">
        <v>401420595</v>
      </c>
      <c r="J3907">
        <v>7</v>
      </c>
      <c r="L3907">
        <v>1</v>
      </c>
      <c r="M3907" t="str">
        <f t="shared" ref="M3907:M3970" si="61">IF(YEAR(C3907)&lt;2010,"Before 2010",IF(YEAR(C3907)&lt;=2020,"2010-2020","After 2020"))</f>
        <v>2010-2020</v>
      </c>
    </row>
    <row r="3908" spans="1:13" hidden="1">
      <c r="A3908" t="s">
        <v>5467</v>
      </c>
      <c r="B3908" t="s">
        <v>1011</v>
      </c>
      <c r="C3908" s="1">
        <v>43956</v>
      </c>
      <c r="D3908" s="2">
        <v>3369</v>
      </c>
      <c r="E3908">
        <v>8</v>
      </c>
      <c r="G3908" s="2">
        <v>797581325</v>
      </c>
      <c r="H3908" s="2">
        <v>13221137</v>
      </c>
      <c r="K3908">
        <v>531</v>
      </c>
      <c r="L3908">
        <v>0</v>
      </c>
      <c r="M3908" t="str">
        <f t="shared" si="61"/>
        <v>2010-2020</v>
      </c>
    </row>
    <row r="3909" spans="1:13">
      <c r="A3909" t="s">
        <v>5468</v>
      </c>
      <c r="B3909" t="s">
        <v>47</v>
      </c>
      <c r="C3909" s="1">
        <v>41438</v>
      </c>
      <c r="D3909" s="2">
        <v>1135209969</v>
      </c>
      <c r="E3909" s="2">
        <v>158507</v>
      </c>
      <c r="F3909">
        <v>70</v>
      </c>
      <c r="G3909" s="2">
        <v>40791444</v>
      </c>
      <c r="H3909" s="2">
        <v>313792</v>
      </c>
      <c r="I3909" s="2">
        <v>66145174</v>
      </c>
      <c r="J3909">
        <v>115</v>
      </c>
      <c r="K3909">
        <v>36</v>
      </c>
      <c r="L3909">
        <v>1</v>
      </c>
      <c r="M3909" t="str">
        <f t="shared" si="61"/>
        <v>2010-2020</v>
      </c>
    </row>
    <row r="3910" spans="1:13">
      <c r="A3910" t="s">
        <v>5469</v>
      </c>
      <c r="B3910" t="s">
        <v>3604</v>
      </c>
      <c r="C3910" s="1">
        <v>43770</v>
      </c>
      <c r="D3910" s="2">
        <v>708615717</v>
      </c>
      <c r="E3910" s="2">
        <v>87957</v>
      </c>
      <c r="F3910">
        <v>64</v>
      </c>
      <c r="G3910" s="2">
        <v>258358932</v>
      </c>
      <c r="H3910" s="2">
        <v>749483</v>
      </c>
      <c r="I3910" s="2">
        <v>62179337</v>
      </c>
      <c r="J3910">
        <v>38</v>
      </c>
      <c r="K3910">
        <v>16</v>
      </c>
      <c r="L3910">
        <v>0</v>
      </c>
      <c r="M3910" t="str">
        <f t="shared" si="61"/>
        <v>2010-2020</v>
      </c>
    </row>
    <row r="3911" spans="1:13" hidden="1">
      <c r="A3911" t="s">
        <v>5470</v>
      </c>
      <c r="B3911" t="s">
        <v>61</v>
      </c>
      <c r="C3911" s="1">
        <v>45401</v>
      </c>
      <c r="D3911" s="2">
        <v>81662552</v>
      </c>
      <c r="E3911" s="2">
        <v>2325</v>
      </c>
      <c r="G3911" s="2">
        <v>4458555</v>
      </c>
      <c r="H3911" s="2">
        <v>71024</v>
      </c>
      <c r="J3911">
        <v>8</v>
      </c>
      <c r="L3911">
        <v>1</v>
      </c>
      <c r="M3911" t="str">
        <f t="shared" si="61"/>
        <v>After 2020</v>
      </c>
    </row>
    <row r="3912" spans="1:13">
      <c r="A3912" t="s">
        <v>5471</v>
      </c>
      <c r="B3912" t="s">
        <v>338</v>
      </c>
      <c r="C3912" s="1">
        <v>43125</v>
      </c>
      <c r="D3912" s="2">
        <v>505748520</v>
      </c>
      <c r="E3912" s="2">
        <v>60774</v>
      </c>
      <c r="F3912">
        <v>64</v>
      </c>
      <c r="G3912" s="2">
        <v>468137682</v>
      </c>
      <c r="H3912" s="2">
        <v>2074706</v>
      </c>
      <c r="I3912" s="2">
        <v>7107254</v>
      </c>
      <c r="J3912">
        <v>61</v>
      </c>
      <c r="K3912">
        <v>31</v>
      </c>
      <c r="L3912">
        <v>0</v>
      </c>
      <c r="M3912" t="str">
        <f t="shared" si="61"/>
        <v>2010-2020</v>
      </c>
    </row>
    <row r="3913" spans="1:13" hidden="1">
      <c r="A3913" t="s">
        <v>5472</v>
      </c>
      <c r="B3913" t="s">
        <v>5473</v>
      </c>
      <c r="C3913" s="1">
        <v>45041</v>
      </c>
      <c r="D3913" s="2">
        <v>4168391</v>
      </c>
      <c r="E3913">
        <v>962</v>
      </c>
      <c r="F3913">
        <v>41</v>
      </c>
      <c r="G3913" s="2">
        <v>76086431</v>
      </c>
      <c r="H3913" s="2">
        <v>395306</v>
      </c>
      <c r="I3913" s="2">
        <v>439939868</v>
      </c>
      <c r="L3913">
        <v>0</v>
      </c>
      <c r="M3913" t="str">
        <f t="shared" si="61"/>
        <v>After 2020</v>
      </c>
    </row>
    <row r="3914" spans="1:13">
      <c r="A3914" t="s">
        <v>5474</v>
      </c>
      <c r="B3914" t="s">
        <v>5107</v>
      </c>
      <c r="C3914" s="1">
        <v>44995</v>
      </c>
      <c r="D3914" s="2">
        <v>49939720</v>
      </c>
      <c r="E3914" s="2">
        <v>15725</v>
      </c>
      <c r="F3914">
        <v>54</v>
      </c>
      <c r="G3914" s="2">
        <v>48845907</v>
      </c>
      <c r="H3914" s="2">
        <v>743713</v>
      </c>
      <c r="I3914" s="2">
        <v>1646887640</v>
      </c>
      <c r="J3914">
        <v>4</v>
      </c>
      <c r="K3914" s="2">
        <v>1056</v>
      </c>
      <c r="L3914">
        <v>1</v>
      </c>
      <c r="M3914" t="str">
        <f t="shared" si="61"/>
        <v>After 2020</v>
      </c>
    </row>
    <row r="3915" spans="1:13">
      <c r="A3915" t="s">
        <v>5475</v>
      </c>
      <c r="B3915" t="s">
        <v>1480</v>
      </c>
      <c r="C3915" s="1">
        <v>44461</v>
      </c>
      <c r="D3915" s="2">
        <v>206432478</v>
      </c>
      <c r="E3915" s="2">
        <v>79180</v>
      </c>
      <c r="F3915">
        <v>64</v>
      </c>
      <c r="G3915" s="2">
        <v>25049879</v>
      </c>
      <c r="H3915" s="2">
        <v>343490</v>
      </c>
      <c r="I3915" s="2">
        <v>404172</v>
      </c>
      <c r="J3915">
        <v>17</v>
      </c>
      <c r="K3915">
        <v>39</v>
      </c>
      <c r="L3915">
        <v>1</v>
      </c>
      <c r="M3915" t="str">
        <f t="shared" si="61"/>
        <v>After 2020</v>
      </c>
    </row>
    <row r="3916" spans="1:13" hidden="1">
      <c r="A3916" t="s">
        <v>5476</v>
      </c>
      <c r="B3916" t="s">
        <v>5477</v>
      </c>
      <c r="C3916" s="1">
        <v>44785</v>
      </c>
      <c r="E3916">
        <v>1</v>
      </c>
      <c r="G3916" s="2">
        <v>357790871</v>
      </c>
      <c r="H3916" s="2">
        <v>2127672</v>
      </c>
      <c r="L3916">
        <v>0</v>
      </c>
      <c r="M3916" t="str">
        <f t="shared" si="61"/>
        <v>After 2020</v>
      </c>
    </row>
    <row r="3917" spans="1:13">
      <c r="A3917" t="s">
        <v>5478</v>
      </c>
      <c r="B3917" t="s">
        <v>917</v>
      </c>
      <c r="C3917" s="1">
        <v>43049</v>
      </c>
      <c r="D3917" s="2">
        <v>400479389</v>
      </c>
      <c r="E3917" s="2">
        <v>61255</v>
      </c>
      <c r="F3917">
        <v>68</v>
      </c>
      <c r="G3917" s="2">
        <v>63905136</v>
      </c>
      <c r="H3917" s="2">
        <v>626102</v>
      </c>
      <c r="I3917" s="2">
        <v>552721460</v>
      </c>
      <c r="J3917">
        <v>141</v>
      </c>
      <c r="K3917">
        <v>113</v>
      </c>
      <c r="L3917">
        <v>0</v>
      </c>
      <c r="M3917" t="str">
        <f t="shared" si="61"/>
        <v>2010-2020</v>
      </c>
    </row>
    <row r="3918" spans="1:13" hidden="1">
      <c r="A3918" t="s">
        <v>5479</v>
      </c>
      <c r="B3918" t="s">
        <v>5480</v>
      </c>
      <c r="C3918" s="1">
        <v>44365</v>
      </c>
      <c r="D3918" s="2">
        <v>110101642</v>
      </c>
      <c r="E3918" s="2">
        <v>13672</v>
      </c>
      <c r="F3918">
        <v>50</v>
      </c>
      <c r="G3918" s="2">
        <v>381825698</v>
      </c>
      <c r="H3918" s="2">
        <v>3084540</v>
      </c>
      <c r="I3918" s="2">
        <v>1314262368</v>
      </c>
      <c r="J3918">
        <v>10</v>
      </c>
      <c r="L3918">
        <v>0</v>
      </c>
      <c r="M3918" t="str">
        <f t="shared" si="61"/>
        <v>After 2020</v>
      </c>
    </row>
    <row r="3919" spans="1:13">
      <c r="A3919" t="s">
        <v>5481</v>
      </c>
      <c r="B3919" t="s">
        <v>139</v>
      </c>
      <c r="C3919" s="1">
        <v>44750</v>
      </c>
      <c r="D3919" s="2">
        <v>115406939</v>
      </c>
      <c r="E3919" s="2">
        <v>11617</v>
      </c>
      <c r="F3919">
        <v>62</v>
      </c>
      <c r="G3919" s="2">
        <v>267348363</v>
      </c>
      <c r="H3919" s="2">
        <v>3146913</v>
      </c>
      <c r="I3919" s="2">
        <v>401260794</v>
      </c>
      <c r="J3919">
        <v>13</v>
      </c>
      <c r="K3919">
        <v>10</v>
      </c>
      <c r="L3919">
        <v>0</v>
      </c>
      <c r="M3919" t="str">
        <f t="shared" si="61"/>
        <v>After 2020</v>
      </c>
    </row>
    <row r="3920" spans="1:13">
      <c r="A3920" t="s">
        <v>5482</v>
      </c>
      <c r="B3920" t="s">
        <v>5483</v>
      </c>
      <c r="C3920" s="1">
        <v>40909</v>
      </c>
      <c r="D3920" s="2">
        <v>1350428257</v>
      </c>
      <c r="E3920" s="2">
        <v>172980</v>
      </c>
      <c r="F3920">
        <v>78</v>
      </c>
      <c r="G3920" s="2">
        <v>343526777</v>
      </c>
      <c r="H3920" s="2">
        <v>3193437</v>
      </c>
      <c r="I3920" s="2">
        <v>3172500312</v>
      </c>
      <c r="J3920">
        <v>73</v>
      </c>
      <c r="K3920">
        <v>489</v>
      </c>
      <c r="L3920">
        <v>0</v>
      </c>
      <c r="M3920" t="str">
        <f t="shared" si="61"/>
        <v>2010-2020</v>
      </c>
    </row>
    <row r="3921" spans="1:13">
      <c r="A3921" t="s">
        <v>5484</v>
      </c>
      <c r="B3921" t="s">
        <v>5485</v>
      </c>
      <c r="C3921" s="1">
        <v>44600</v>
      </c>
      <c r="D3921" s="2">
        <v>122957173</v>
      </c>
      <c r="E3921" s="2">
        <v>65839</v>
      </c>
      <c r="F3921">
        <v>58</v>
      </c>
      <c r="G3921" s="2">
        <v>35159391</v>
      </c>
      <c r="H3921" s="2">
        <v>434406</v>
      </c>
      <c r="I3921" s="2">
        <v>1408619017</v>
      </c>
      <c r="J3921">
        <v>27</v>
      </c>
      <c r="K3921">
        <v>19</v>
      </c>
      <c r="L3921">
        <v>0</v>
      </c>
      <c r="M3921" t="str">
        <f t="shared" si="61"/>
        <v>After 2020</v>
      </c>
    </row>
    <row r="3922" spans="1:13">
      <c r="A3922" t="s">
        <v>5486</v>
      </c>
      <c r="B3922" t="s">
        <v>148</v>
      </c>
      <c r="C3922" s="1">
        <v>42895</v>
      </c>
      <c r="D3922" s="2">
        <v>537523729</v>
      </c>
      <c r="E3922" s="2">
        <v>71149</v>
      </c>
      <c r="F3922">
        <v>70</v>
      </c>
      <c r="G3922" s="2">
        <v>366197654</v>
      </c>
      <c r="H3922" s="2">
        <v>2942916</v>
      </c>
      <c r="I3922" s="2">
        <v>103430758</v>
      </c>
      <c r="J3922">
        <v>98</v>
      </c>
      <c r="K3922">
        <v>65</v>
      </c>
      <c r="L3922">
        <v>1</v>
      </c>
      <c r="M3922" t="str">
        <f t="shared" si="61"/>
        <v>2010-2020</v>
      </c>
    </row>
    <row r="3923" spans="1:13" hidden="1">
      <c r="A3923" t="s">
        <v>5487</v>
      </c>
      <c r="B3923" t="s">
        <v>5488</v>
      </c>
      <c r="C3923" s="1">
        <v>44694</v>
      </c>
      <c r="D3923" s="2">
        <v>58523865</v>
      </c>
      <c r="E3923" s="2">
        <v>18165</v>
      </c>
      <c r="F3923">
        <v>53</v>
      </c>
      <c r="G3923" s="2">
        <v>12161436</v>
      </c>
      <c r="H3923" s="2">
        <v>65390</v>
      </c>
      <c r="I3923" s="2">
        <v>235951162</v>
      </c>
      <c r="J3923">
        <v>40</v>
      </c>
      <c r="L3923">
        <v>0</v>
      </c>
      <c r="M3923" t="str">
        <f t="shared" si="61"/>
        <v>After 2020</v>
      </c>
    </row>
    <row r="3924" spans="1:13" hidden="1">
      <c r="A3924" t="s">
        <v>5489</v>
      </c>
      <c r="B3924" t="s">
        <v>5490</v>
      </c>
      <c r="C3924" s="1">
        <v>44910</v>
      </c>
      <c r="D3924" s="2">
        <v>130895</v>
      </c>
      <c r="E3924">
        <v>259</v>
      </c>
      <c r="F3924">
        <v>25</v>
      </c>
      <c r="G3924" s="2">
        <v>276105789</v>
      </c>
      <c r="H3924" s="2">
        <v>577586</v>
      </c>
      <c r="L3924">
        <v>0</v>
      </c>
      <c r="M3924" t="str">
        <f t="shared" si="61"/>
        <v>After 2020</v>
      </c>
    </row>
    <row r="3925" spans="1:13">
      <c r="A3925" t="s">
        <v>5491</v>
      </c>
      <c r="B3925" t="s">
        <v>360</v>
      </c>
      <c r="C3925" s="1">
        <v>42086</v>
      </c>
      <c r="D3925" s="2">
        <v>964765127</v>
      </c>
      <c r="E3925" s="2">
        <v>131842</v>
      </c>
      <c r="F3925">
        <v>70</v>
      </c>
      <c r="G3925" s="2">
        <v>530786123</v>
      </c>
      <c r="H3925" s="2">
        <v>3134158</v>
      </c>
      <c r="I3925" s="2">
        <v>69198449</v>
      </c>
      <c r="J3925">
        <v>124</v>
      </c>
      <c r="K3925">
        <v>14</v>
      </c>
      <c r="L3925">
        <v>0</v>
      </c>
      <c r="M3925" t="str">
        <f t="shared" si="61"/>
        <v>2010-2020</v>
      </c>
    </row>
    <row r="3926" spans="1:13" hidden="1">
      <c r="A3926" t="s">
        <v>5492</v>
      </c>
      <c r="B3926" t="s">
        <v>5493</v>
      </c>
      <c r="C3926" s="1">
        <v>44356</v>
      </c>
      <c r="D3926" s="2">
        <v>10265841</v>
      </c>
      <c r="E3926" s="2">
        <v>3742</v>
      </c>
      <c r="I3926" s="2">
        <v>1593175441</v>
      </c>
      <c r="L3926">
        <v>0</v>
      </c>
      <c r="M3926" t="str">
        <f t="shared" si="61"/>
        <v>After 2020</v>
      </c>
    </row>
    <row r="3927" spans="1:13">
      <c r="A3927" t="s">
        <v>5494</v>
      </c>
      <c r="B3927" t="s">
        <v>5495</v>
      </c>
      <c r="C3927" s="1">
        <v>44239</v>
      </c>
      <c r="D3927" s="2">
        <v>198942707</v>
      </c>
      <c r="E3927" s="2">
        <v>22915</v>
      </c>
      <c r="F3927">
        <v>56</v>
      </c>
      <c r="G3927" s="2">
        <v>61690062</v>
      </c>
      <c r="H3927" s="2">
        <v>458819</v>
      </c>
      <c r="I3927" s="2">
        <v>30889183</v>
      </c>
      <c r="J3927">
        <v>43</v>
      </c>
      <c r="K3927">
        <v>29</v>
      </c>
      <c r="L3927">
        <v>0</v>
      </c>
      <c r="M3927" t="str">
        <f t="shared" si="61"/>
        <v>After 2020</v>
      </c>
    </row>
    <row r="3928" spans="1:13" hidden="1">
      <c r="A3928" t="s">
        <v>5496</v>
      </c>
      <c r="B3928" t="s">
        <v>5497</v>
      </c>
      <c r="C3928" s="1">
        <v>44840</v>
      </c>
      <c r="D3928" s="2">
        <v>3479935</v>
      </c>
      <c r="E3928">
        <v>487</v>
      </c>
      <c r="F3928">
        <v>29</v>
      </c>
      <c r="G3928" s="2">
        <v>45732371</v>
      </c>
      <c r="H3928" s="2">
        <v>409950</v>
      </c>
      <c r="I3928" s="2">
        <v>2877575926</v>
      </c>
      <c r="L3928">
        <v>0</v>
      </c>
      <c r="M3928" t="str">
        <f t="shared" si="61"/>
        <v>After 2020</v>
      </c>
    </row>
    <row r="3929" spans="1:13" hidden="1">
      <c r="A3929" t="s">
        <v>5498</v>
      </c>
      <c r="B3929" t="s">
        <v>236</v>
      </c>
      <c r="C3929" s="1">
        <v>45135</v>
      </c>
      <c r="D3929" s="2">
        <v>72380469</v>
      </c>
      <c r="E3929" s="2">
        <v>32141</v>
      </c>
      <c r="F3929">
        <v>63</v>
      </c>
      <c r="G3929" s="2">
        <v>2630153</v>
      </c>
      <c r="H3929" s="2">
        <v>52698</v>
      </c>
      <c r="I3929" s="2">
        <v>4244746</v>
      </c>
      <c r="J3929">
        <v>4</v>
      </c>
      <c r="L3929">
        <v>1</v>
      </c>
      <c r="M3929" t="str">
        <f t="shared" si="61"/>
        <v>After 2020</v>
      </c>
    </row>
    <row r="3930" spans="1:13" hidden="1">
      <c r="A3930" t="s">
        <v>5499</v>
      </c>
      <c r="B3930" t="s">
        <v>5500</v>
      </c>
      <c r="C3930" s="1">
        <v>44752</v>
      </c>
      <c r="G3930" s="2">
        <v>376956912</v>
      </c>
      <c r="H3930" s="2">
        <v>1462872</v>
      </c>
      <c r="L3930">
        <v>0</v>
      </c>
      <c r="M3930" t="str">
        <f t="shared" si="61"/>
        <v>After 2020</v>
      </c>
    </row>
    <row r="3931" spans="1:13">
      <c r="A3931" t="s">
        <v>5501</v>
      </c>
      <c r="B3931" t="s">
        <v>129</v>
      </c>
      <c r="C3931" s="1">
        <v>43406</v>
      </c>
      <c r="D3931" s="2">
        <v>630863087</v>
      </c>
      <c r="E3931" s="2">
        <v>164540</v>
      </c>
      <c r="F3931">
        <v>71</v>
      </c>
      <c r="G3931" s="2">
        <v>93297998</v>
      </c>
      <c r="H3931" s="2">
        <v>924489</v>
      </c>
      <c r="I3931" s="2">
        <v>9867664</v>
      </c>
      <c r="J3931">
        <v>34</v>
      </c>
      <c r="K3931">
        <v>62</v>
      </c>
      <c r="L3931">
        <v>1</v>
      </c>
      <c r="M3931" t="str">
        <f t="shared" si="61"/>
        <v>2010-2020</v>
      </c>
    </row>
    <row r="3932" spans="1:13" hidden="1">
      <c r="A3932" t="s">
        <v>5502</v>
      </c>
      <c r="B3932" t="s">
        <v>5503</v>
      </c>
      <c r="C3932" s="1">
        <v>44490</v>
      </c>
      <c r="D3932" s="2">
        <v>271438</v>
      </c>
      <c r="E3932">
        <v>59</v>
      </c>
      <c r="F3932">
        <v>21</v>
      </c>
      <c r="G3932" s="2">
        <v>132812</v>
      </c>
      <c r="H3932" s="2">
        <v>1120</v>
      </c>
      <c r="I3932" s="2">
        <v>584146089</v>
      </c>
      <c r="L3932">
        <v>0</v>
      </c>
      <c r="M3932" t="str">
        <f t="shared" si="61"/>
        <v>After 2020</v>
      </c>
    </row>
    <row r="3933" spans="1:13" hidden="1">
      <c r="A3933" t="s">
        <v>5504</v>
      </c>
      <c r="B3933" t="s">
        <v>5505</v>
      </c>
      <c r="C3933" s="1">
        <v>45133</v>
      </c>
      <c r="D3933" s="2">
        <v>1196773729</v>
      </c>
      <c r="E3933">
        <v>28</v>
      </c>
      <c r="J3933">
        <v>2</v>
      </c>
      <c r="L3933">
        <v>0</v>
      </c>
      <c r="M3933" t="str">
        <f t="shared" si="61"/>
        <v>After 2020</v>
      </c>
    </row>
    <row r="3934" spans="1:13" hidden="1">
      <c r="A3934" t="s">
        <v>5506</v>
      </c>
      <c r="B3934" t="s">
        <v>5507</v>
      </c>
      <c r="C3934" s="1">
        <v>45303</v>
      </c>
      <c r="D3934" s="2">
        <v>11742947</v>
      </c>
      <c r="E3934" s="2">
        <v>3009</v>
      </c>
      <c r="G3934" s="2">
        <v>3396529</v>
      </c>
      <c r="H3934" s="2">
        <v>59923</v>
      </c>
      <c r="J3934">
        <v>22</v>
      </c>
      <c r="K3934">
        <v>189</v>
      </c>
      <c r="L3934">
        <v>0</v>
      </c>
      <c r="M3934" t="str">
        <f t="shared" si="61"/>
        <v>After 2020</v>
      </c>
    </row>
    <row r="3935" spans="1:13">
      <c r="A3935" t="s">
        <v>5508</v>
      </c>
      <c r="B3935" t="s">
        <v>522</v>
      </c>
      <c r="C3935" s="1">
        <v>45219</v>
      </c>
      <c r="D3935" s="2">
        <v>159876075</v>
      </c>
      <c r="E3935" s="2">
        <v>8225</v>
      </c>
      <c r="F3935">
        <v>79</v>
      </c>
      <c r="G3935" s="2">
        <v>36524769</v>
      </c>
      <c r="H3935" s="2">
        <v>320572</v>
      </c>
      <c r="I3935" s="2">
        <v>14846248</v>
      </c>
      <c r="J3935">
        <v>14</v>
      </c>
      <c r="K3935">
        <v>2</v>
      </c>
      <c r="L3935">
        <v>1</v>
      </c>
      <c r="M3935" t="str">
        <f t="shared" si="61"/>
        <v>After 2020</v>
      </c>
    </row>
    <row r="3936" spans="1:13" hidden="1">
      <c r="A3936" t="s">
        <v>5509</v>
      </c>
      <c r="B3936" t="s">
        <v>531</v>
      </c>
      <c r="C3936" s="1">
        <v>45295</v>
      </c>
      <c r="D3936" s="2">
        <v>65300464</v>
      </c>
      <c r="E3936" s="2">
        <v>14158</v>
      </c>
      <c r="G3936" s="2">
        <v>4790924</v>
      </c>
      <c r="H3936" s="2">
        <v>57022</v>
      </c>
      <c r="J3936">
        <v>1</v>
      </c>
      <c r="K3936">
        <v>932</v>
      </c>
      <c r="L3936">
        <v>1</v>
      </c>
      <c r="M3936" t="str">
        <f t="shared" si="61"/>
        <v>After 2020</v>
      </c>
    </row>
    <row r="3937" spans="1:13">
      <c r="A3937" t="s">
        <v>5510</v>
      </c>
      <c r="B3937" t="s">
        <v>674</v>
      </c>
      <c r="C3937" s="1">
        <v>44491</v>
      </c>
      <c r="D3937" s="2">
        <v>289013053</v>
      </c>
      <c r="E3937" s="2">
        <v>32179</v>
      </c>
      <c r="F3937">
        <v>63</v>
      </c>
      <c r="G3937" s="2">
        <v>256030564</v>
      </c>
      <c r="H3937" s="2">
        <v>6371436</v>
      </c>
      <c r="I3937" s="2">
        <v>358391850</v>
      </c>
      <c r="J3937">
        <v>29</v>
      </c>
      <c r="K3937">
        <v>155</v>
      </c>
      <c r="L3937">
        <v>1</v>
      </c>
      <c r="M3937" t="str">
        <f t="shared" si="61"/>
        <v>After 2020</v>
      </c>
    </row>
    <row r="3938" spans="1:13" hidden="1">
      <c r="A3938" t="s">
        <v>5511</v>
      </c>
      <c r="B3938" t="s">
        <v>772</v>
      </c>
      <c r="C3938" s="1">
        <v>45268</v>
      </c>
      <c r="D3938" s="2">
        <v>63109089</v>
      </c>
      <c r="E3938" s="2">
        <v>9844</v>
      </c>
      <c r="G3938" s="2">
        <v>8224997</v>
      </c>
      <c r="H3938" s="2">
        <v>155956</v>
      </c>
      <c r="J3938">
        <v>6</v>
      </c>
      <c r="K3938">
        <v>326</v>
      </c>
      <c r="L3938">
        <v>1</v>
      </c>
      <c r="M3938" t="str">
        <f t="shared" si="61"/>
        <v>After 2020</v>
      </c>
    </row>
    <row r="3939" spans="1:13" hidden="1">
      <c r="A3939" t="s">
        <v>5512</v>
      </c>
      <c r="B3939" t="s">
        <v>5513</v>
      </c>
      <c r="C3939" s="1">
        <v>45302</v>
      </c>
      <c r="D3939" s="2">
        <v>31380070</v>
      </c>
      <c r="E3939" s="2">
        <v>2862</v>
      </c>
      <c r="F3939">
        <v>73</v>
      </c>
      <c r="G3939" s="2">
        <v>48986579</v>
      </c>
      <c r="H3939" s="2">
        <v>533216</v>
      </c>
      <c r="J3939">
        <v>19</v>
      </c>
      <c r="L3939">
        <v>0</v>
      </c>
      <c r="M3939" t="str">
        <f t="shared" si="61"/>
        <v>After 2020</v>
      </c>
    </row>
    <row r="3940" spans="1:13" hidden="1">
      <c r="A3940" t="s">
        <v>5514</v>
      </c>
      <c r="B3940" t="s">
        <v>288</v>
      </c>
      <c r="C3940" s="1">
        <v>44022</v>
      </c>
      <c r="D3940" s="2">
        <v>407701213</v>
      </c>
      <c r="E3940" s="2">
        <v>93838</v>
      </c>
      <c r="F3940">
        <v>68</v>
      </c>
      <c r="G3940" s="2">
        <v>151055875</v>
      </c>
      <c r="H3940" s="2">
        <v>1970235</v>
      </c>
      <c r="I3940" s="2">
        <v>22493087</v>
      </c>
      <c r="J3940">
        <v>14</v>
      </c>
      <c r="L3940">
        <v>1</v>
      </c>
      <c r="M3940" t="str">
        <f t="shared" si="61"/>
        <v>2010-2020</v>
      </c>
    </row>
    <row r="3941" spans="1:13">
      <c r="A3941" t="s">
        <v>5515</v>
      </c>
      <c r="B3941" t="s">
        <v>5516</v>
      </c>
      <c r="C3941" s="1">
        <v>42909</v>
      </c>
      <c r="D3941" s="2">
        <v>365789171</v>
      </c>
      <c r="E3941" s="2">
        <v>47875</v>
      </c>
      <c r="F3941">
        <v>58</v>
      </c>
      <c r="G3941" s="2">
        <v>347981506</v>
      </c>
      <c r="H3941" s="2">
        <v>2544004</v>
      </c>
      <c r="I3941" s="2">
        <v>75103695</v>
      </c>
      <c r="J3941">
        <v>75</v>
      </c>
      <c r="K3941">
        <v>51</v>
      </c>
      <c r="L3941">
        <v>1</v>
      </c>
      <c r="M3941" t="str">
        <f t="shared" si="61"/>
        <v>2010-2020</v>
      </c>
    </row>
    <row r="3942" spans="1:13">
      <c r="A3942" t="s">
        <v>5517</v>
      </c>
      <c r="B3942" t="s">
        <v>418</v>
      </c>
      <c r="C3942" s="1">
        <v>44175</v>
      </c>
      <c r="D3942" s="2">
        <v>164788147</v>
      </c>
      <c r="E3942" s="2">
        <v>23301</v>
      </c>
      <c r="F3942">
        <v>62</v>
      </c>
      <c r="G3942" s="2">
        <v>426336235</v>
      </c>
      <c r="H3942" s="2">
        <v>1881474</v>
      </c>
      <c r="I3942" s="2">
        <v>44074315</v>
      </c>
      <c r="J3942">
        <v>23</v>
      </c>
      <c r="K3942">
        <v>21</v>
      </c>
      <c r="L3942">
        <v>0</v>
      </c>
      <c r="M3942" t="str">
        <f t="shared" si="61"/>
        <v>2010-2020</v>
      </c>
    </row>
    <row r="3943" spans="1:13">
      <c r="A3943" t="s">
        <v>4773</v>
      </c>
      <c r="B3943" t="s">
        <v>245</v>
      </c>
      <c r="C3943" s="1">
        <v>44510</v>
      </c>
      <c r="D3943" s="2">
        <v>426609723</v>
      </c>
      <c r="E3943" s="2">
        <v>59377</v>
      </c>
      <c r="F3943">
        <v>73</v>
      </c>
      <c r="G3943" s="2">
        <v>21063557</v>
      </c>
      <c r="H3943" s="2">
        <v>222445</v>
      </c>
      <c r="I3943" s="2">
        <v>85043400</v>
      </c>
      <c r="J3943">
        <v>58</v>
      </c>
      <c r="K3943">
        <v>37</v>
      </c>
      <c r="L3943">
        <v>0</v>
      </c>
      <c r="M3943" t="str">
        <f t="shared" si="61"/>
        <v>After 2020</v>
      </c>
    </row>
    <row r="3944" spans="1:13">
      <c r="A3944" t="s">
        <v>5518</v>
      </c>
      <c r="B3944" t="s">
        <v>1083</v>
      </c>
      <c r="C3944" s="1">
        <v>44820</v>
      </c>
      <c r="D3944" s="2">
        <v>62323136</v>
      </c>
      <c r="E3944" s="2">
        <v>33941</v>
      </c>
      <c r="F3944">
        <v>54</v>
      </c>
      <c r="G3944" s="2">
        <v>34075392</v>
      </c>
      <c r="H3944" s="2">
        <v>466729</v>
      </c>
      <c r="I3944" s="2">
        <v>25342217</v>
      </c>
      <c r="J3944">
        <v>6</v>
      </c>
      <c r="K3944">
        <v>544</v>
      </c>
      <c r="L3944">
        <v>1</v>
      </c>
      <c r="M3944" t="str">
        <f t="shared" si="61"/>
        <v>After 2020</v>
      </c>
    </row>
    <row r="3945" spans="1:13" hidden="1">
      <c r="A3945" t="s">
        <v>5519</v>
      </c>
      <c r="B3945" t="s">
        <v>5520</v>
      </c>
      <c r="C3945" s="1">
        <v>45051</v>
      </c>
      <c r="D3945" s="2">
        <v>107950388</v>
      </c>
      <c r="E3945" s="2">
        <v>34675</v>
      </c>
      <c r="F3945">
        <v>66</v>
      </c>
      <c r="G3945" s="2">
        <v>1812251</v>
      </c>
      <c r="H3945" s="2">
        <v>22038</v>
      </c>
      <c r="I3945" s="2">
        <v>30673708</v>
      </c>
      <c r="J3945">
        <v>18</v>
      </c>
      <c r="L3945">
        <v>0</v>
      </c>
      <c r="M3945" t="str">
        <f t="shared" si="61"/>
        <v>After 2020</v>
      </c>
    </row>
    <row r="3946" spans="1:13">
      <c r="A3946" t="s">
        <v>5521</v>
      </c>
      <c r="B3946" t="s">
        <v>305</v>
      </c>
      <c r="C3946" s="1">
        <v>42691</v>
      </c>
      <c r="D3946" s="2">
        <v>797648369</v>
      </c>
      <c r="E3946" s="2">
        <v>64011</v>
      </c>
      <c r="F3946">
        <v>72</v>
      </c>
      <c r="G3946" s="2">
        <v>733721686</v>
      </c>
      <c r="H3946" s="2">
        <v>4991700</v>
      </c>
      <c r="I3946" s="2">
        <v>99524212</v>
      </c>
      <c r="J3946">
        <v>73</v>
      </c>
      <c r="K3946">
        <v>2</v>
      </c>
      <c r="L3946">
        <v>0</v>
      </c>
      <c r="M3946" t="str">
        <f t="shared" si="61"/>
        <v>2010-2020</v>
      </c>
    </row>
    <row r="3947" spans="1:13" hidden="1">
      <c r="A3947" t="s">
        <v>5522</v>
      </c>
      <c r="B3947" t="s">
        <v>2458</v>
      </c>
      <c r="C3947" s="1">
        <v>44602</v>
      </c>
      <c r="D3947" s="2">
        <v>138986512</v>
      </c>
      <c r="E3947" s="2">
        <v>24359</v>
      </c>
      <c r="F3947">
        <v>61</v>
      </c>
      <c r="G3947" s="2">
        <v>266765542</v>
      </c>
      <c r="H3947" s="2">
        <v>1330194</v>
      </c>
      <c r="I3947" s="2">
        <v>240950847</v>
      </c>
      <c r="J3947">
        <v>4</v>
      </c>
      <c r="L3947">
        <v>0</v>
      </c>
      <c r="M3947" t="str">
        <f t="shared" si="61"/>
        <v>After 2020</v>
      </c>
    </row>
    <row r="3948" spans="1:13" hidden="1">
      <c r="A3948" t="s">
        <v>5523</v>
      </c>
      <c r="B3948" t="s">
        <v>2236</v>
      </c>
      <c r="C3948" s="1">
        <v>44981</v>
      </c>
      <c r="D3948" s="2">
        <v>13502324</v>
      </c>
      <c r="E3948" s="2">
        <v>3124</v>
      </c>
      <c r="F3948">
        <v>42</v>
      </c>
      <c r="G3948" s="2">
        <v>212073431</v>
      </c>
      <c r="H3948" s="2">
        <v>567112</v>
      </c>
      <c r="I3948" s="2">
        <v>136579723</v>
      </c>
      <c r="J3948">
        <v>1</v>
      </c>
      <c r="L3948">
        <v>0</v>
      </c>
      <c r="M3948" t="str">
        <f t="shared" si="61"/>
        <v>After 2020</v>
      </c>
    </row>
    <row r="3949" spans="1:13" hidden="1">
      <c r="A3949" t="s">
        <v>5524</v>
      </c>
      <c r="B3949" t="s">
        <v>4119</v>
      </c>
      <c r="C3949" s="1">
        <v>43952</v>
      </c>
      <c r="D3949" s="2">
        <v>164007720</v>
      </c>
      <c r="E3949" s="2">
        <v>14849</v>
      </c>
      <c r="F3949">
        <v>41</v>
      </c>
      <c r="G3949" s="2">
        <v>588981015</v>
      </c>
      <c r="H3949" s="2">
        <v>1697071</v>
      </c>
      <c r="I3949" s="2">
        <v>18781987</v>
      </c>
      <c r="J3949">
        <v>1</v>
      </c>
      <c r="L3949">
        <v>0</v>
      </c>
      <c r="M3949" t="str">
        <f t="shared" si="61"/>
        <v>2010-2020</v>
      </c>
    </row>
    <row r="3950" spans="1:13">
      <c r="A3950" t="s">
        <v>5525</v>
      </c>
      <c r="B3950" t="s">
        <v>5000</v>
      </c>
      <c r="C3950" s="1">
        <v>45006</v>
      </c>
      <c r="D3950" s="2">
        <v>96439278</v>
      </c>
      <c r="E3950" s="2">
        <v>9999</v>
      </c>
      <c r="F3950">
        <v>64</v>
      </c>
      <c r="G3950" s="2">
        <v>153565263</v>
      </c>
      <c r="H3950" s="2">
        <v>1299976</v>
      </c>
      <c r="I3950" s="2">
        <v>208385821</v>
      </c>
      <c r="J3950">
        <v>6</v>
      </c>
      <c r="K3950">
        <v>11</v>
      </c>
      <c r="L3950">
        <v>0</v>
      </c>
      <c r="M3950" t="str">
        <f t="shared" si="61"/>
        <v>After 2020</v>
      </c>
    </row>
    <row r="3951" spans="1:13">
      <c r="A3951" t="s">
        <v>5526</v>
      </c>
      <c r="B3951" t="s">
        <v>5527</v>
      </c>
      <c r="C3951" s="1">
        <v>43966</v>
      </c>
      <c r="D3951" s="2">
        <v>145000664</v>
      </c>
      <c r="E3951" s="2">
        <v>32202</v>
      </c>
      <c r="F3951">
        <v>53</v>
      </c>
      <c r="G3951" s="2">
        <v>114367853</v>
      </c>
      <c r="H3951" s="2">
        <v>1294275</v>
      </c>
      <c r="I3951" s="2">
        <v>7546931289</v>
      </c>
      <c r="J3951">
        <v>34</v>
      </c>
      <c r="K3951">
        <v>144</v>
      </c>
      <c r="L3951">
        <v>1</v>
      </c>
      <c r="M3951" t="str">
        <f t="shared" si="61"/>
        <v>2010-2020</v>
      </c>
    </row>
    <row r="3952" spans="1:13" hidden="1">
      <c r="A3952" t="s">
        <v>5528</v>
      </c>
      <c r="B3952" t="s">
        <v>5529</v>
      </c>
      <c r="C3952" s="1">
        <v>45226</v>
      </c>
      <c r="D3952" s="2">
        <v>17822349</v>
      </c>
      <c r="E3952" s="2">
        <v>5850</v>
      </c>
      <c r="G3952" s="2">
        <v>23346903</v>
      </c>
      <c r="H3952" s="2">
        <v>555249</v>
      </c>
      <c r="I3952" s="2">
        <v>591105266</v>
      </c>
      <c r="J3952">
        <v>2</v>
      </c>
      <c r="L3952">
        <v>0</v>
      </c>
      <c r="M3952" t="str">
        <f t="shared" si="61"/>
        <v>After 2020</v>
      </c>
    </row>
    <row r="3953" spans="1:13" hidden="1">
      <c r="A3953" t="s">
        <v>5530</v>
      </c>
      <c r="B3953" t="s">
        <v>72</v>
      </c>
      <c r="C3953" s="1">
        <v>45380</v>
      </c>
      <c r="D3953" s="2">
        <v>56412921</v>
      </c>
      <c r="E3953" s="2">
        <v>4391</v>
      </c>
      <c r="G3953" s="2">
        <v>5216744</v>
      </c>
      <c r="H3953" s="2">
        <v>84090</v>
      </c>
      <c r="J3953">
        <v>31</v>
      </c>
      <c r="L3953">
        <v>1</v>
      </c>
      <c r="M3953" t="str">
        <f t="shared" si="61"/>
        <v>After 2020</v>
      </c>
    </row>
    <row r="3954" spans="1:13">
      <c r="A3954" t="s">
        <v>5531</v>
      </c>
      <c r="B3954" t="s">
        <v>2321</v>
      </c>
      <c r="C3954" s="1">
        <v>44771</v>
      </c>
      <c r="D3954" s="2">
        <v>162889846</v>
      </c>
      <c r="E3954" s="2">
        <v>45505</v>
      </c>
      <c r="F3954">
        <v>69</v>
      </c>
      <c r="G3954" s="2">
        <v>82186979</v>
      </c>
      <c r="H3954" s="2">
        <v>804789</v>
      </c>
      <c r="I3954" s="2">
        <v>49371617</v>
      </c>
      <c r="J3954">
        <v>1</v>
      </c>
      <c r="K3954">
        <v>22</v>
      </c>
      <c r="L3954">
        <v>1</v>
      </c>
      <c r="M3954" t="str">
        <f t="shared" si="61"/>
        <v>After 2020</v>
      </c>
    </row>
    <row r="3955" spans="1:13">
      <c r="A3955" t="s">
        <v>2640</v>
      </c>
      <c r="B3955" t="s">
        <v>1025</v>
      </c>
      <c r="C3955" s="1">
        <v>41275</v>
      </c>
      <c r="D3955" s="2">
        <v>413855724</v>
      </c>
      <c r="E3955" s="2">
        <v>67911</v>
      </c>
      <c r="F3955">
        <v>61</v>
      </c>
      <c r="G3955" s="2">
        <v>62878984</v>
      </c>
      <c r="H3955" s="2">
        <v>569920</v>
      </c>
      <c r="I3955" s="2">
        <v>170836810</v>
      </c>
      <c r="J3955">
        <v>80</v>
      </c>
      <c r="K3955">
        <v>375</v>
      </c>
      <c r="L3955">
        <v>1</v>
      </c>
      <c r="M3955" t="str">
        <f t="shared" si="61"/>
        <v>2010-2020</v>
      </c>
    </row>
    <row r="3956" spans="1:13" hidden="1">
      <c r="A3956" t="s">
        <v>5532</v>
      </c>
      <c r="B3956" t="s">
        <v>1460</v>
      </c>
      <c r="C3956" s="1">
        <v>43335</v>
      </c>
      <c r="D3956" s="2">
        <v>97600091</v>
      </c>
      <c r="E3956" s="2">
        <v>10461</v>
      </c>
      <c r="F3956">
        <v>55</v>
      </c>
      <c r="G3956" s="2">
        <v>966173774</v>
      </c>
      <c r="H3956" s="2">
        <v>5203477</v>
      </c>
      <c r="I3956" s="2">
        <v>49191</v>
      </c>
      <c r="J3956">
        <v>14</v>
      </c>
      <c r="L3956">
        <v>0</v>
      </c>
      <c r="M3956" t="str">
        <f t="shared" si="61"/>
        <v>2010-2020</v>
      </c>
    </row>
    <row r="3957" spans="1:13" hidden="1">
      <c r="A3957" t="s">
        <v>5533</v>
      </c>
      <c r="B3957" t="s">
        <v>5534</v>
      </c>
      <c r="C3957" s="1">
        <v>44883</v>
      </c>
      <c r="D3957" s="2">
        <v>42862565</v>
      </c>
      <c r="E3957" s="2">
        <v>5084</v>
      </c>
      <c r="F3957">
        <v>54</v>
      </c>
      <c r="G3957" s="2">
        <v>9151739</v>
      </c>
      <c r="H3957" s="2">
        <v>70548</v>
      </c>
      <c r="I3957" s="2">
        <v>670266290</v>
      </c>
      <c r="J3957">
        <v>3</v>
      </c>
      <c r="L3957">
        <v>0</v>
      </c>
      <c r="M3957" t="str">
        <f t="shared" si="61"/>
        <v>After 2020</v>
      </c>
    </row>
    <row r="3958" spans="1:13">
      <c r="A3958" t="s">
        <v>5535</v>
      </c>
      <c r="B3958" t="s">
        <v>332</v>
      </c>
      <c r="C3958" s="1">
        <v>44540</v>
      </c>
      <c r="D3958" s="2">
        <v>255973824</v>
      </c>
      <c r="E3958" s="2">
        <v>28166</v>
      </c>
      <c r="F3958">
        <v>71</v>
      </c>
      <c r="G3958" s="2">
        <v>230466044</v>
      </c>
      <c r="H3958" s="2">
        <v>1013942</v>
      </c>
      <c r="I3958" s="2">
        <v>333978136</v>
      </c>
      <c r="J3958">
        <v>30</v>
      </c>
      <c r="K3958">
        <v>265</v>
      </c>
      <c r="L3958">
        <v>0</v>
      </c>
      <c r="M3958" t="str">
        <f t="shared" si="61"/>
        <v>After 2020</v>
      </c>
    </row>
    <row r="3959" spans="1:13" hidden="1">
      <c r="A3959" t="s">
        <v>5536</v>
      </c>
      <c r="B3959" t="s">
        <v>989</v>
      </c>
      <c r="C3959" s="1">
        <v>45292</v>
      </c>
      <c r="D3959" s="2">
        <v>34820660</v>
      </c>
      <c r="E3959">
        <v>762</v>
      </c>
      <c r="F3959">
        <v>66</v>
      </c>
      <c r="G3959" s="2">
        <v>68873278</v>
      </c>
      <c r="H3959" s="2">
        <v>518809</v>
      </c>
      <c r="I3959" s="2">
        <v>173000</v>
      </c>
      <c r="J3959">
        <v>8</v>
      </c>
      <c r="L3959">
        <v>0</v>
      </c>
      <c r="M3959" t="str">
        <f t="shared" si="61"/>
        <v>After 2020</v>
      </c>
    </row>
    <row r="3960" spans="1:13" hidden="1">
      <c r="A3960" t="s">
        <v>5537</v>
      </c>
      <c r="B3960" t="s">
        <v>5538</v>
      </c>
      <c r="C3960" s="1">
        <v>44613</v>
      </c>
      <c r="D3960" s="2">
        <v>91842323</v>
      </c>
      <c r="E3960" s="2">
        <v>15910</v>
      </c>
      <c r="F3960">
        <v>63</v>
      </c>
      <c r="G3960" s="2">
        <v>237180411</v>
      </c>
      <c r="H3960" s="2">
        <v>1961210</v>
      </c>
      <c r="I3960" s="2">
        <v>149090596</v>
      </c>
      <c r="J3960">
        <v>10</v>
      </c>
      <c r="L3960">
        <v>0</v>
      </c>
      <c r="M3960" t="str">
        <f t="shared" si="61"/>
        <v>After 2020</v>
      </c>
    </row>
    <row r="3961" spans="1:13">
      <c r="A3961" t="s">
        <v>5539</v>
      </c>
      <c r="B3961" t="s">
        <v>1002</v>
      </c>
      <c r="C3961" s="1">
        <v>44995</v>
      </c>
      <c r="D3961" s="2">
        <v>240686521</v>
      </c>
      <c r="E3961" s="2">
        <v>33016</v>
      </c>
      <c r="F3961">
        <v>75</v>
      </c>
      <c r="G3961" s="2">
        <v>21619</v>
      </c>
      <c r="H3961">
        <v>626</v>
      </c>
      <c r="I3961" s="2">
        <v>349168412</v>
      </c>
      <c r="J3961">
        <v>3</v>
      </c>
      <c r="K3961">
        <v>22</v>
      </c>
      <c r="L3961">
        <v>0</v>
      </c>
      <c r="M3961" t="str">
        <f t="shared" si="61"/>
        <v>After 2020</v>
      </c>
    </row>
    <row r="3962" spans="1:13" hidden="1">
      <c r="A3962" t="s">
        <v>5540</v>
      </c>
      <c r="B3962" t="s">
        <v>5541</v>
      </c>
      <c r="C3962" s="1">
        <v>45441</v>
      </c>
      <c r="D3962" s="2">
        <v>207454</v>
      </c>
      <c r="E3962">
        <v>23</v>
      </c>
      <c r="G3962" s="2">
        <v>8963678</v>
      </c>
      <c r="H3962" s="2">
        <v>36984</v>
      </c>
      <c r="J3962">
        <v>4</v>
      </c>
      <c r="L3962">
        <v>0</v>
      </c>
      <c r="M3962" t="str">
        <f t="shared" si="61"/>
        <v>After 2020</v>
      </c>
    </row>
    <row r="3963" spans="1:13">
      <c r="A3963" t="s">
        <v>5542</v>
      </c>
      <c r="B3963" t="s">
        <v>3669</v>
      </c>
      <c r="C3963" s="1">
        <v>45296</v>
      </c>
      <c r="D3963" s="2">
        <v>40415304</v>
      </c>
      <c r="E3963" s="2">
        <v>2509</v>
      </c>
      <c r="F3963">
        <v>59</v>
      </c>
      <c r="G3963" s="2">
        <v>56771181</v>
      </c>
      <c r="H3963" s="2">
        <v>675344</v>
      </c>
      <c r="I3963" s="2">
        <v>3801500</v>
      </c>
      <c r="J3963">
        <v>10</v>
      </c>
      <c r="K3963">
        <v>13</v>
      </c>
      <c r="L3963">
        <v>0</v>
      </c>
      <c r="M3963" t="str">
        <f t="shared" si="61"/>
        <v>After 2020</v>
      </c>
    </row>
    <row r="3964" spans="1:13">
      <c r="A3964" t="s">
        <v>5543</v>
      </c>
      <c r="B3964" t="s">
        <v>1500</v>
      </c>
      <c r="C3964" s="1">
        <v>40386</v>
      </c>
      <c r="D3964" s="2">
        <v>534874667</v>
      </c>
      <c r="E3964" s="2">
        <v>65494</v>
      </c>
      <c r="F3964">
        <v>65</v>
      </c>
      <c r="G3964" s="2">
        <v>562197656</v>
      </c>
      <c r="H3964" s="2">
        <v>3376379</v>
      </c>
      <c r="I3964" s="2">
        <v>109689471</v>
      </c>
      <c r="J3964">
        <v>42</v>
      </c>
      <c r="K3964">
        <v>98</v>
      </c>
      <c r="L3964">
        <v>0</v>
      </c>
      <c r="M3964" t="str">
        <f t="shared" si="61"/>
        <v>2010-2020</v>
      </c>
    </row>
    <row r="3965" spans="1:13" hidden="1">
      <c r="A3965" t="s">
        <v>5544</v>
      </c>
      <c r="B3965" t="s">
        <v>5545</v>
      </c>
      <c r="C3965" s="1">
        <v>44498</v>
      </c>
      <c r="D3965" s="2">
        <v>35440292</v>
      </c>
      <c r="E3965" s="2">
        <v>7611</v>
      </c>
      <c r="F3965">
        <v>49</v>
      </c>
      <c r="G3965" s="2">
        <v>105583094</v>
      </c>
      <c r="H3965" s="2">
        <v>723839</v>
      </c>
      <c r="I3965" s="2">
        <v>1048666929</v>
      </c>
      <c r="J3965">
        <v>8</v>
      </c>
      <c r="L3965">
        <v>0</v>
      </c>
      <c r="M3965" t="str">
        <f t="shared" si="61"/>
        <v>After 2020</v>
      </c>
    </row>
    <row r="3966" spans="1:13" hidden="1">
      <c r="A3966" t="s">
        <v>5546</v>
      </c>
      <c r="B3966" t="s">
        <v>5547</v>
      </c>
      <c r="C3966" s="1">
        <v>45189</v>
      </c>
      <c r="D3966" s="2">
        <v>44931644</v>
      </c>
      <c r="E3966">
        <v>309</v>
      </c>
      <c r="G3966" s="2">
        <v>2181868</v>
      </c>
      <c r="H3966" s="2">
        <v>26263</v>
      </c>
      <c r="J3966">
        <v>5</v>
      </c>
      <c r="L3966">
        <v>0</v>
      </c>
      <c r="M3966" t="str">
        <f t="shared" si="61"/>
        <v>After 2020</v>
      </c>
    </row>
    <row r="3967" spans="1:13" hidden="1">
      <c r="A3967" t="s">
        <v>5548</v>
      </c>
      <c r="B3967" t="s">
        <v>5549</v>
      </c>
      <c r="C3967" s="1">
        <v>44743</v>
      </c>
      <c r="E3967">
        <v>1</v>
      </c>
      <c r="G3967" s="2">
        <v>377233092</v>
      </c>
      <c r="H3967" s="2">
        <v>352337</v>
      </c>
      <c r="L3967">
        <v>0</v>
      </c>
      <c r="M3967" t="str">
        <f t="shared" si="61"/>
        <v>After 2020</v>
      </c>
    </row>
    <row r="3968" spans="1:13">
      <c r="A3968" t="s">
        <v>5550</v>
      </c>
      <c r="B3968" t="s">
        <v>1932</v>
      </c>
      <c r="C3968" s="1">
        <v>44776</v>
      </c>
      <c r="D3968" s="2">
        <v>137720938</v>
      </c>
      <c r="E3968" s="2">
        <v>30579</v>
      </c>
      <c r="F3968">
        <v>65</v>
      </c>
      <c r="G3968" s="2">
        <v>153725209</v>
      </c>
      <c r="H3968" s="2">
        <v>1337733</v>
      </c>
      <c r="I3968" s="2">
        <v>950882</v>
      </c>
      <c r="J3968">
        <v>12</v>
      </c>
      <c r="K3968">
        <v>40</v>
      </c>
      <c r="L3968">
        <v>0</v>
      </c>
      <c r="M3968" t="str">
        <f t="shared" si="61"/>
        <v>After 2020</v>
      </c>
    </row>
    <row r="3969" spans="1:13" hidden="1">
      <c r="A3969" t="s">
        <v>5551</v>
      </c>
      <c r="B3969" t="s">
        <v>633</v>
      </c>
      <c r="C3969" s="1">
        <v>44707</v>
      </c>
      <c r="D3969" s="2">
        <v>161990851</v>
      </c>
      <c r="E3969" s="2">
        <v>31668</v>
      </c>
      <c r="F3969">
        <v>68</v>
      </c>
      <c r="G3969" s="2">
        <v>187450025</v>
      </c>
      <c r="H3969" s="2">
        <v>1297403</v>
      </c>
      <c r="I3969" s="2">
        <v>28786547</v>
      </c>
      <c r="J3969">
        <v>5</v>
      </c>
      <c r="L3969">
        <v>1</v>
      </c>
      <c r="M3969" t="str">
        <f t="shared" si="61"/>
        <v>After 2020</v>
      </c>
    </row>
    <row r="3970" spans="1:13">
      <c r="A3970" t="s">
        <v>5552</v>
      </c>
      <c r="B3970" t="s">
        <v>3133</v>
      </c>
      <c r="C3970" s="1">
        <v>40909</v>
      </c>
      <c r="D3970" s="2">
        <v>850863163</v>
      </c>
      <c r="E3970" s="2">
        <v>91617</v>
      </c>
      <c r="F3970">
        <v>62</v>
      </c>
      <c r="G3970" s="2">
        <v>21096118</v>
      </c>
      <c r="H3970" s="2">
        <v>126444</v>
      </c>
      <c r="I3970" s="2">
        <v>77268402</v>
      </c>
      <c r="J3970">
        <v>70</v>
      </c>
      <c r="K3970">
        <v>27</v>
      </c>
      <c r="L3970">
        <v>0</v>
      </c>
      <c r="M3970" t="str">
        <f t="shared" si="61"/>
        <v>2010-2020</v>
      </c>
    </row>
    <row r="3971" spans="1:13">
      <c r="A3971" t="s">
        <v>5553</v>
      </c>
      <c r="B3971" t="s">
        <v>5554</v>
      </c>
      <c r="C3971" s="1">
        <v>44428</v>
      </c>
      <c r="D3971" s="2">
        <v>416972132</v>
      </c>
      <c r="E3971" s="2">
        <v>75352</v>
      </c>
      <c r="F3971">
        <v>63</v>
      </c>
      <c r="G3971" s="2">
        <v>27881902</v>
      </c>
      <c r="H3971" s="2">
        <v>283314</v>
      </c>
      <c r="I3971" s="2">
        <v>1003766991</v>
      </c>
      <c r="J3971">
        <v>37</v>
      </c>
      <c r="K3971">
        <v>4</v>
      </c>
      <c r="L3971">
        <v>0</v>
      </c>
      <c r="M3971" t="str">
        <f t="shared" ref="M3971:M4034" si="62">IF(YEAR(C3971)&lt;2010,"Before 2010",IF(YEAR(C3971)&lt;=2020,"2010-2020","After 2020"))</f>
        <v>After 2020</v>
      </c>
    </row>
    <row r="3972" spans="1:13" hidden="1">
      <c r="A3972" t="s">
        <v>5555</v>
      </c>
      <c r="B3972" t="s">
        <v>5556</v>
      </c>
      <c r="C3972" s="1">
        <v>44218</v>
      </c>
      <c r="D3972" s="2">
        <v>196159389</v>
      </c>
      <c r="E3972" s="2">
        <v>21913</v>
      </c>
      <c r="F3972">
        <v>53</v>
      </c>
      <c r="G3972" s="2">
        <v>452999889</v>
      </c>
      <c r="H3972" s="2">
        <v>2998357</v>
      </c>
      <c r="I3972" s="2">
        <v>349411180</v>
      </c>
      <c r="J3972">
        <v>23</v>
      </c>
      <c r="L3972">
        <v>0</v>
      </c>
      <c r="M3972" t="str">
        <f t="shared" si="62"/>
        <v>After 2020</v>
      </c>
    </row>
    <row r="3973" spans="1:13" hidden="1">
      <c r="A3973" t="s">
        <v>5557</v>
      </c>
      <c r="B3973" t="s">
        <v>5505</v>
      </c>
      <c r="C3973" s="1">
        <v>45175</v>
      </c>
      <c r="D3973" s="2">
        <v>31185560</v>
      </c>
      <c r="E3973" s="2">
        <v>10629</v>
      </c>
      <c r="G3973" s="2">
        <v>31460860</v>
      </c>
      <c r="H3973" s="2">
        <v>421898</v>
      </c>
      <c r="J3973">
        <v>28</v>
      </c>
      <c r="L3973">
        <v>0</v>
      </c>
      <c r="M3973" t="str">
        <f t="shared" si="62"/>
        <v>After 2020</v>
      </c>
    </row>
    <row r="3974" spans="1:13" hidden="1">
      <c r="A3974" t="s">
        <v>5558</v>
      </c>
      <c r="B3974" t="s">
        <v>1862</v>
      </c>
      <c r="C3974" s="1">
        <v>44372</v>
      </c>
      <c r="D3974" s="2">
        <v>269671235</v>
      </c>
      <c r="E3974" s="2">
        <v>93761</v>
      </c>
      <c r="F3974">
        <v>69</v>
      </c>
      <c r="G3974" s="2">
        <v>36399833</v>
      </c>
      <c r="H3974" s="2">
        <v>578718</v>
      </c>
      <c r="I3974" s="2">
        <v>124695761</v>
      </c>
      <c r="J3974">
        <v>10</v>
      </c>
      <c r="L3974">
        <v>1</v>
      </c>
      <c r="M3974" t="str">
        <f t="shared" si="62"/>
        <v>After 2020</v>
      </c>
    </row>
    <row r="3975" spans="1:13" hidden="1">
      <c r="A3975" t="s">
        <v>5559</v>
      </c>
      <c r="B3975" t="s">
        <v>2328</v>
      </c>
      <c r="C3975" s="1">
        <v>45198</v>
      </c>
      <c r="D3975" s="2">
        <v>43940810</v>
      </c>
      <c r="E3975" s="2">
        <v>6918</v>
      </c>
      <c r="G3975" s="2">
        <v>13505487</v>
      </c>
      <c r="H3975" s="2">
        <v>255255</v>
      </c>
      <c r="I3975" s="2">
        <v>7067986</v>
      </c>
      <c r="J3975">
        <v>8</v>
      </c>
      <c r="K3975">
        <v>371</v>
      </c>
      <c r="L3975">
        <v>1</v>
      </c>
      <c r="M3975" t="str">
        <f t="shared" si="62"/>
        <v>After 2020</v>
      </c>
    </row>
    <row r="3976" spans="1:13">
      <c r="A3976" t="s">
        <v>5560</v>
      </c>
      <c r="B3976" t="s">
        <v>849</v>
      </c>
      <c r="C3976" s="1">
        <v>40909</v>
      </c>
      <c r="D3976" s="2">
        <v>662971898</v>
      </c>
      <c r="E3976" s="2">
        <v>94974</v>
      </c>
      <c r="F3976">
        <v>74</v>
      </c>
      <c r="G3976" s="2">
        <v>990716604</v>
      </c>
      <c r="H3976" s="2">
        <v>4801576</v>
      </c>
      <c r="I3976" s="2">
        <v>689599858</v>
      </c>
      <c r="J3976">
        <v>57</v>
      </c>
      <c r="K3976">
        <v>82</v>
      </c>
      <c r="L3976">
        <v>0</v>
      </c>
      <c r="M3976" t="str">
        <f t="shared" si="62"/>
        <v>2010-2020</v>
      </c>
    </row>
    <row r="3977" spans="1:13" hidden="1">
      <c r="A3977" t="s">
        <v>5561</v>
      </c>
      <c r="B3977" t="s">
        <v>2845</v>
      </c>
      <c r="C3977" s="1">
        <v>44223</v>
      </c>
      <c r="D3977" s="2">
        <v>39793463</v>
      </c>
      <c r="E3977" s="2">
        <v>5646</v>
      </c>
      <c r="F3977">
        <v>48</v>
      </c>
      <c r="G3977" s="2">
        <v>585353915</v>
      </c>
      <c r="H3977" s="2">
        <v>6571121</v>
      </c>
      <c r="J3977">
        <v>1</v>
      </c>
      <c r="L3977">
        <v>0</v>
      </c>
      <c r="M3977" t="str">
        <f t="shared" si="62"/>
        <v>After 2020</v>
      </c>
    </row>
    <row r="3978" spans="1:13" hidden="1">
      <c r="A3978" t="s">
        <v>5562</v>
      </c>
      <c r="B3978" t="s">
        <v>5563</v>
      </c>
      <c r="C3978" s="1">
        <v>45209</v>
      </c>
      <c r="D3978" s="2">
        <v>44343451</v>
      </c>
      <c r="E3978" s="2">
        <v>5241</v>
      </c>
      <c r="G3978" s="2">
        <v>68122505</v>
      </c>
      <c r="H3978" s="2">
        <v>1142953</v>
      </c>
      <c r="I3978" s="2">
        <v>57791681</v>
      </c>
      <c r="L3978">
        <v>1</v>
      </c>
      <c r="M3978" t="str">
        <f t="shared" si="62"/>
        <v>After 2020</v>
      </c>
    </row>
    <row r="3979" spans="1:13">
      <c r="A3979" t="s">
        <v>5564</v>
      </c>
      <c r="B3979" t="s">
        <v>5565</v>
      </c>
      <c r="C3979" s="1">
        <v>43126</v>
      </c>
      <c r="D3979" s="2">
        <v>596164214</v>
      </c>
      <c r="E3979" s="2">
        <v>158639</v>
      </c>
      <c r="F3979">
        <v>71</v>
      </c>
      <c r="G3979" s="2">
        <v>207640042</v>
      </c>
      <c r="H3979" s="2">
        <v>2700851</v>
      </c>
      <c r="I3979" s="2">
        <v>155192084</v>
      </c>
      <c r="J3979">
        <v>30</v>
      </c>
      <c r="K3979">
        <v>125</v>
      </c>
      <c r="L3979">
        <v>0</v>
      </c>
      <c r="M3979" t="str">
        <f t="shared" si="62"/>
        <v>2010-2020</v>
      </c>
    </row>
    <row r="3980" spans="1:13">
      <c r="A3980" t="s">
        <v>5566</v>
      </c>
      <c r="B3980" t="s">
        <v>3527</v>
      </c>
      <c r="C3980" s="1">
        <v>31979</v>
      </c>
      <c r="D3980" s="2">
        <v>1879386440</v>
      </c>
      <c r="E3980" s="2">
        <v>295491</v>
      </c>
      <c r="F3980">
        <v>80</v>
      </c>
      <c r="G3980" s="2">
        <v>2007460784</v>
      </c>
      <c r="H3980" s="2">
        <v>11222080</v>
      </c>
      <c r="I3980" s="2">
        <v>673282408</v>
      </c>
      <c r="J3980">
        <v>212</v>
      </c>
      <c r="K3980">
        <v>416</v>
      </c>
      <c r="L3980">
        <v>1</v>
      </c>
      <c r="M3980" t="str">
        <f t="shared" si="62"/>
        <v>Before 2010</v>
      </c>
    </row>
    <row r="3981" spans="1:13" hidden="1">
      <c r="A3981" t="s">
        <v>5567</v>
      </c>
      <c r="B3981" t="s">
        <v>170</v>
      </c>
      <c r="C3981" s="1">
        <v>45148</v>
      </c>
      <c r="D3981" s="2">
        <v>113567783</v>
      </c>
      <c r="E3981" s="2">
        <v>11700</v>
      </c>
      <c r="F3981">
        <v>68</v>
      </c>
      <c r="G3981" s="2">
        <v>70427226</v>
      </c>
      <c r="H3981" s="2">
        <v>409549</v>
      </c>
      <c r="J3981">
        <v>7</v>
      </c>
      <c r="K3981">
        <v>4</v>
      </c>
      <c r="L3981">
        <v>1</v>
      </c>
      <c r="M3981" t="str">
        <f t="shared" si="62"/>
        <v>After 2020</v>
      </c>
    </row>
    <row r="3982" spans="1:13" hidden="1">
      <c r="A3982" t="s">
        <v>5568</v>
      </c>
      <c r="B3982" t="s">
        <v>5569</v>
      </c>
      <c r="C3982" s="1">
        <v>44833</v>
      </c>
      <c r="D3982" s="2">
        <v>161366691</v>
      </c>
      <c r="E3982" s="2">
        <v>18781</v>
      </c>
      <c r="F3982">
        <v>64</v>
      </c>
      <c r="G3982" s="2">
        <v>167537164</v>
      </c>
      <c r="H3982" s="2">
        <v>1497169</v>
      </c>
      <c r="I3982" s="2">
        <v>286891984</v>
      </c>
      <c r="J3982">
        <v>22</v>
      </c>
      <c r="L3982">
        <v>0</v>
      </c>
      <c r="M3982" t="str">
        <f t="shared" si="62"/>
        <v>After 2020</v>
      </c>
    </row>
    <row r="3983" spans="1:13" hidden="1">
      <c r="A3983" t="s">
        <v>5570</v>
      </c>
      <c r="B3983" t="s">
        <v>2785</v>
      </c>
      <c r="C3983" s="1">
        <v>45415</v>
      </c>
      <c r="D3983" s="2">
        <v>3459469</v>
      </c>
      <c r="E3983">
        <v>675</v>
      </c>
      <c r="G3983" s="2">
        <v>30547</v>
      </c>
      <c r="H3983">
        <v>846</v>
      </c>
      <c r="J3983">
        <v>18</v>
      </c>
      <c r="L3983">
        <v>0</v>
      </c>
      <c r="M3983" t="str">
        <f t="shared" si="62"/>
        <v>After 2020</v>
      </c>
    </row>
    <row r="3984" spans="1:13" hidden="1">
      <c r="A3984" t="s">
        <v>5571</v>
      </c>
      <c r="B3984" t="s">
        <v>5572</v>
      </c>
      <c r="C3984" s="1">
        <v>45198</v>
      </c>
      <c r="D3984" s="2">
        <v>64860954</v>
      </c>
      <c r="E3984" s="2">
        <v>8481</v>
      </c>
      <c r="G3984" s="2">
        <v>30204546</v>
      </c>
      <c r="H3984" s="2">
        <v>157044</v>
      </c>
      <c r="I3984" s="2">
        <v>462395885</v>
      </c>
      <c r="J3984">
        <v>53</v>
      </c>
      <c r="L3984">
        <v>0</v>
      </c>
      <c r="M3984" t="str">
        <f t="shared" si="62"/>
        <v>After 2020</v>
      </c>
    </row>
    <row r="3985" spans="1:13" hidden="1">
      <c r="A3985" t="s">
        <v>5573</v>
      </c>
      <c r="B3985" t="s">
        <v>5574</v>
      </c>
      <c r="C3985" s="1">
        <v>45379</v>
      </c>
      <c r="D3985" s="2">
        <v>293683495</v>
      </c>
      <c r="E3985">
        <v>2</v>
      </c>
      <c r="L3985">
        <v>0</v>
      </c>
      <c r="M3985" t="str">
        <f t="shared" si="62"/>
        <v>After 2020</v>
      </c>
    </row>
    <row r="3986" spans="1:13">
      <c r="A3986" t="s">
        <v>5575</v>
      </c>
      <c r="B3986" t="s">
        <v>1217</v>
      </c>
      <c r="C3986" s="1">
        <v>44214</v>
      </c>
      <c r="D3986" s="2">
        <v>185362995</v>
      </c>
      <c r="E3986" s="2">
        <v>19981</v>
      </c>
      <c r="F3986">
        <v>50</v>
      </c>
      <c r="G3986" s="2">
        <v>315331221</v>
      </c>
      <c r="H3986" s="2">
        <v>3732558</v>
      </c>
      <c r="I3986" s="2">
        <v>1309968091</v>
      </c>
      <c r="J3986">
        <v>43</v>
      </c>
      <c r="K3986">
        <v>203</v>
      </c>
      <c r="L3986">
        <v>0</v>
      </c>
      <c r="M3986" t="str">
        <f t="shared" si="62"/>
        <v>After 2020</v>
      </c>
    </row>
    <row r="3987" spans="1:13">
      <c r="A3987" t="s">
        <v>5576</v>
      </c>
      <c r="B3987" t="s">
        <v>2004</v>
      </c>
      <c r="C3987" s="1">
        <v>44330</v>
      </c>
      <c r="D3987" s="2">
        <v>135665686</v>
      </c>
      <c r="E3987" s="2">
        <v>61959</v>
      </c>
      <c r="F3987">
        <v>51</v>
      </c>
      <c r="G3987" s="2">
        <v>158341543</v>
      </c>
      <c r="H3987" s="2">
        <v>1541456</v>
      </c>
      <c r="I3987" s="2">
        <v>98085095</v>
      </c>
      <c r="J3987">
        <v>67</v>
      </c>
      <c r="K3987">
        <v>2</v>
      </c>
      <c r="L3987">
        <v>1</v>
      </c>
      <c r="M3987" t="str">
        <f t="shared" si="62"/>
        <v>After 2020</v>
      </c>
    </row>
    <row r="3988" spans="1:13" hidden="1">
      <c r="A3988" t="s">
        <v>5577</v>
      </c>
      <c r="B3988" t="s">
        <v>831</v>
      </c>
      <c r="C3988" s="1">
        <v>42691</v>
      </c>
      <c r="D3988" s="2">
        <v>17238604</v>
      </c>
      <c r="E3988" s="2">
        <v>1581</v>
      </c>
      <c r="F3988">
        <v>49</v>
      </c>
      <c r="G3988" s="2">
        <v>1267939965</v>
      </c>
      <c r="H3988" s="2">
        <v>2741076</v>
      </c>
      <c r="I3988" s="2">
        <v>14803398</v>
      </c>
      <c r="J3988">
        <v>1</v>
      </c>
      <c r="L3988">
        <v>0</v>
      </c>
      <c r="M3988" t="str">
        <f t="shared" si="62"/>
        <v>2010-2020</v>
      </c>
    </row>
    <row r="3989" spans="1:13">
      <c r="A3989" t="s">
        <v>5578</v>
      </c>
      <c r="B3989" t="s">
        <v>5579</v>
      </c>
      <c r="C3989" s="1">
        <v>37622</v>
      </c>
      <c r="D3989" s="2">
        <v>1129346989</v>
      </c>
      <c r="E3989" s="2">
        <v>229491</v>
      </c>
      <c r="F3989">
        <v>79</v>
      </c>
      <c r="G3989" s="2">
        <v>1380253721</v>
      </c>
      <c r="H3989" s="2">
        <v>9926891</v>
      </c>
      <c r="I3989" s="2">
        <v>906228976</v>
      </c>
      <c r="J3989">
        <v>91</v>
      </c>
      <c r="K3989">
        <v>277</v>
      </c>
      <c r="L3989">
        <v>0</v>
      </c>
      <c r="M3989" t="str">
        <f t="shared" si="62"/>
        <v>Before 2010</v>
      </c>
    </row>
    <row r="3990" spans="1:13" hidden="1">
      <c r="A3990" t="s">
        <v>5580</v>
      </c>
      <c r="B3990" t="s">
        <v>1663</v>
      </c>
      <c r="C3990" s="1">
        <v>45400</v>
      </c>
      <c r="D3990" s="2">
        <v>29254420</v>
      </c>
      <c r="E3990" s="2">
        <v>3415</v>
      </c>
      <c r="G3990" s="2">
        <v>4214564</v>
      </c>
      <c r="H3990" s="2">
        <v>68306</v>
      </c>
      <c r="J3990">
        <v>30</v>
      </c>
      <c r="K3990">
        <v>42</v>
      </c>
      <c r="L3990">
        <v>0</v>
      </c>
      <c r="M3990" t="str">
        <f t="shared" si="62"/>
        <v>After 2020</v>
      </c>
    </row>
    <row r="3991" spans="1:13">
      <c r="A3991" t="s">
        <v>5581</v>
      </c>
      <c r="B3991" t="s">
        <v>258</v>
      </c>
      <c r="C3991" s="1">
        <v>43843</v>
      </c>
      <c r="D3991" s="2">
        <v>353815769</v>
      </c>
      <c r="E3991" s="2">
        <v>49237</v>
      </c>
      <c r="F3991">
        <v>61</v>
      </c>
      <c r="G3991" s="2">
        <v>392297415</v>
      </c>
      <c r="H3991" s="2">
        <v>3298273</v>
      </c>
      <c r="I3991" s="2">
        <v>108385612</v>
      </c>
      <c r="J3991">
        <v>95</v>
      </c>
      <c r="K3991">
        <v>10</v>
      </c>
      <c r="L3991">
        <v>0</v>
      </c>
      <c r="M3991" t="str">
        <f t="shared" si="62"/>
        <v>2010-2020</v>
      </c>
    </row>
    <row r="3992" spans="1:13">
      <c r="A3992" t="s">
        <v>5582</v>
      </c>
      <c r="B3992" t="s">
        <v>674</v>
      </c>
      <c r="C3992" s="1">
        <v>42293</v>
      </c>
      <c r="D3992" s="2">
        <v>1068023888</v>
      </c>
      <c r="E3992" s="2">
        <v>136601</v>
      </c>
      <c r="F3992">
        <v>70</v>
      </c>
      <c r="G3992" s="2">
        <v>43143589</v>
      </c>
      <c r="H3992" s="2">
        <v>435488</v>
      </c>
      <c r="I3992" s="2">
        <v>288028736</v>
      </c>
      <c r="J3992">
        <v>193</v>
      </c>
      <c r="K3992">
        <v>21</v>
      </c>
      <c r="L3992">
        <v>0</v>
      </c>
      <c r="M3992" t="str">
        <f t="shared" si="62"/>
        <v>2010-2020</v>
      </c>
    </row>
    <row r="3993" spans="1:13">
      <c r="A3993" t="s">
        <v>5583</v>
      </c>
      <c r="B3993" t="s">
        <v>5584</v>
      </c>
      <c r="C3993" s="1">
        <v>44965</v>
      </c>
      <c r="D3993" s="2">
        <v>63725545</v>
      </c>
      <c r="E3993" s="2">
        <v>28846</v>
      </c>
      <c r="F3993">
        <v>65</v>
      </c>
      <c r="G3993" s="2">
        <v>17655608</v>
      </c>
      <c r="H3993" s="2">
        <v>162513</v>
      </c>
      <c r="I3993" s="2">
        <v>243757</v>
      </c>
      <c r="J3993">
        <v>5</v>
      </c>
      <c r="K3993">
        <v>242</v>
      </c>
      <c r="L3993">
        <v>1</v>
      </c>
      <c r="M3993" t="str">
        <f t="shared" si="62"/>
        <v>After 2020</v>
      </c>
    </row>
    <row r="3994" spans="1:13" hidden="1">
      <c r="A3994" t="s">
        <v>5585</v>
      </c>
      <c r="B3994" t="s">
        <v>5586</v>
      </c>
      <c r="C3994" s="1">
        <v>38284</v>
      </c>
      <c r="D3994" s="2">
        <v>29422741</v>
      </c>
      <c r="E3994" s="2">
        <v>3040</v>
      </c>
      <c r="F3994">
        <v>54</v>
      </c>
      <c r="G3994" s="2">
        <v>2970122390</v>
      </c>
      <c r="H3994" s="2">
        <v>1957811</v>
      </c>
      <c r="I3994" s="2">
        <v>119966916</v>
      </c>
      <c r="L3994">
        <v>0</v>
      </c>
      <c r="M3994" t="str">
        <f t="shared" si="62"/>
        <v>Before 2010</v>
      </c>
    </row>
    <row r="3995" spans="1:13" hidden="1">
      <c r="A3995" t="s">
        <v>5587</v>
      </c>
      <c r="B3995" t="s">
        <v>5588</v>
      </c>
      <c r="C3995" s="1">
        <v>45057</v>
      </c>
      <c r="D3995" s="2">
        <v>74806048</v>
      </c>
      <c r="E3995" s="2">
        <v>9014</v>
      </c>
      <c r="F3995">
        <v>60</v>
      </c>
      <c r="I3995" s="2">
        <v>11672926</v>
      </c>
      <c r="J3995">
        <v>14</v>
      </c>
      <c r="L3995">
        <v>0</v>
      </c>
      <c r="M3995" t="str">
        <f t="shared" si="62"/>
        <v>After 2020</v>
      </c>
    </row>
    <row r="3996" spans="1:13" hidden="1">
      <c r="A3996" t="s">
        <v>5589</v>
      </c>
      <c r="B3996" t="s">
        <v>5590</v>
      </c>
      <c r="C3996" s="1">
        <v>42580</v>
      </c>
      <c r="D3996" s="2">
        <v>71345247</v>
      </c>
      <c r="E3996" s="2">
        <v>8334</v>
      </c>
      <c r="F3996">
        <v>45</v>
      </c>
      <c r="G3996" s="2">
        <v>92840225</v>
      </c>
      <c r="H3996" s="2">
        <v>813836</v>
      </c>
      <c r="I3996" s="2">
        <v>274234939</v>
      </c>
      <c r="J3996">
        <v>2</v>
      </c>
      <c r="L3996">
        <v>0</v>
      </c>
      <c r="M3996" t="str">
        <f t="shared" si="62"/>
        <v>2010-2020</v>
      </c>
    </row>
    <row r="3997" spans="1:13">
      <c r="A3997" t="s">
        <v>5591</v>
      </c>
      <c r="B3997" t="s">
        <v>28</v>
      </c>
      <c r="C3997" s="1">
        <v>38303</v>
      </c>
      <c r="D3997" s="2">
        <v>1680919413</v>
      </c>
      <c r="E3997" s="2">
        <v>293385</v>
      </c>
      <c r="F3997">
        <v>82</v>
      </c>
      <c r="G3997" s="2">
        <v>244059770</v>
      </c>
      <c r="H3997" s="2">
        <v>2900004</v>
      </c>
      <c r="I3997" s="2">
        <v>76886329</v>
      </c>
      <c r="J3997">
        <v>79</v>
      </c>
      <c r="K3997">
        <v>5</v>
      </c>
      <c r="L3997">
        <v>1</v>
      </c>
      <c r="M3997" t="str">
        <f t="shared" si="62"/>
        <v>Before 2010</v>
      </c>
    </row>
    <row r="3998" spans="1:13" hidden="1">
      <c r="A3998" t="s">
        <v>5592</v>
      </c>
      <c r="B3998" t="s">
        <v>5593</v>
      </c>
      <c r="C3998" s="1">
        <v>44772</v>
      </c>
      <c r="D3998" s="2">
        <v>218621</v>
      </c>
      <c r="E3998">
        <v>137</v>
      </c>
      <c r="F3998">
        <v>29</v>
      </c>
      <c r="I3998" s="2">
        <v>1029125885</v>
      </c>
      <c r="L3998">
        <v>0</v>
      </c>
      <c r="M3998" t="str">
        <f t="shared" si="62"/>
        <v>After 2020</v>
      </c>
    </row>
    <row r="3999" spans="1:13" hidden="1">
      <c r="A3999" t="s">
        <v>5594</v>
      </c>
      <c r="B3999" t="s">
        <v>2472</v>
      </c>
      <c r="C3999" s="1">
        <v>43221</v>
      </c>
      <c r="D3999" s="2">
        <v>362670547</v>
      </c>
      <c r="E3999" s="2">
        <v>33711</v>
      </c>
      <c r="F3999">
        <v>62</v>
      </c>
      <c r="G3999" s="2">
        <v>712253277</v>
      </c>
      <c r="H3999" s="2">
        <v>3550138</v>
      </c>
      <c r="I3999" s="2">
        <v>17887810</v>
      </c>
      <c r="J3999">
        <v>11</v>
      </c>
      <c r="L3999">
        <v>1</v>
      </c>
      <c r="M3999" t="str">
        <f t="shared" si="62"/>
        <v>2010-2020</v>
      </c>
    </row>
    <row r="4000" spans="1:13" hidden="1">
      <c r="A4000" t="s">
        <v>5595</v>
      </c>
      <c r="B4000" t="s">
        <v>1703</v>
      </c>
      <c r="C4000" s="1">
        <v>45212</v>
      </c>
      <c r="D4000" s="2">
        <v>53163000</v>
      </c>
      <c r="E4000" s="2">
        <v>24166</v>
      </c>
      <c r="I4000" s="2">
        <v>5105135</v>
      </c>
      <c r="J4000">
        <v>1</v>
      </c>
      <c r="K4000">
        <v>219</v>
      </c>
      <c r="L4000">
        <v>1</v>
      </c>
      <c r="M4000" t="str">
        <f t="shared" si="62"/>
        <v>After 2020</v>
      </c>
    </row>
    <row r="4001" spans="1:13" hidden="1">
      <c r="A4001" t="s">
        <v>5596</v>
      </c>
      <c r="B4001" t="s">
        <v>5263</v>
      </c>
      <c r="C4001" s="1">
        <v>40781</v>
      </c>
      <c r="D4001" s="2">
        <v>10163724</v>
      </c>
      <c r="E4001">
        <v>11</v>
      </c>
      <c r="G4001" s="2">
        <v>2248807705</v>
      </c>
      <c r="H4001" s="2">
        <v>13922683</v>
      </c>
      <c r="L4001">
        <v>0</v>
      </c>
      <c r="M4001" t="str">
        <f t="shared" si="62"/>
        <v>2010-2020</v>
      </c>
    </row>
    <row r="4002" spans="1:13" hidden="1">
      <c r="A4002" t="s">
        <v>5597</v>
      </c>
      <c r="B4002" t="s">
        <v>99</v>
      </c>
      <c r="C4002" s="1">
        <v>45079</v>
      </c>
      <c r="D4002" s="2">
        <v>50098085</v>
      </c>
      <c r="E4002" s="2">
        <v>29986</v>
      </c>
      <c r="F4002">
        <v>54</v>
      </c>
      <c r="G4002" s="2">
        <v>30556463</v>
      </c>
      <c r="H4002" s="2">
        <v>330529</v>
      </c>
      <c r="I4002" s="2">
        <v>9089105</v>
      </c>
      <c r="J4002">
        <v>40</v>
      </c>
      <c r="L4002">
        <v>1</v>
      </c>
      <c r="M4002" t="str">
        <f t="shared" si="62"/>
        <v>After 2020</v>
      </c>
    </row>
    <row r="4003" spans="1:13" hidden="1">
      <c r="A4003" t="s">
        <v>597</v>
      </c>
      <c r="B4003" t="s">
        <v>5598</v>
      </c>
      <c r="C4003" s="1">
        <v>44536</v>
      </c>
      <c r="D4003" s="2">
        <v>227696852</v>
      </c>
      <c r="E4003" s="2">
        <v>34276</v>
      </c>
      <c r="F4003">
        <v>63</v>
      </c>
      <c r="G4003" s="2">
        <v>250190214</v>
      </c>
      <c r="H4003" s="2">
        <v>1270608</v>
      </c>
      <c r="J4003">
        <v>35</v>
      </c>
      <c r="L4003">
        <v>0</v>
      </c>
      <c r="M4003" t="str">
        <f t="shared" si="62"/>
        <v>After 2020</v>
      </c>
    </row>
    <row r="4004" spans="1:13" hidden="1">
      <c r="A4004" t="s">
        <v>5599</v>
      </c>
      <c r="B4004" t="s">
        <v>288</v>
      </c>
      <c r="C4004" s="1">
        <v>44022</v>
      </c>
      <c r="D4004" s="2">
        <v>463970393</v>
      </c>
      <c r="E4004" s="2">
        <v>92879</v>
      </c>
      <c r="F4004">
        <v>62</v>
      </c>
      <c r="G4004" s="2">
        <v>130269657</v>
      </c>
      <c r="H4004" s="2">
        <v>1671937</v>
      </c>
      <c r="I4004" s="2">
        <v>1309847</v>
      </c>
      <c r="J4004">
        <v>46</v>
      </c>
      <c r="L4004">
        <v>1</v>
      </c>
      <c r="M4004" t="str">
        <f t="shared" si="62"/>
        <v>2010-2020</v>
      </c>
    </row>
    <row r="4005" spans="1:13" hidden="1">
      <c r="A4005" t="s">
        <v>5600</v>
      </c>
      <c r="B4005" t="s">
        <v>5601</v>
      </c>
      <c r="C4005" s="1">
        <v>44813</v>
      </c>
      <c r="D4005" s="2">
        <v>70664645</v>
      </c>
      <c r="E4005" s="2">
        <v>13324</v>
      </c>
      <c r="F4005">
        <v>58</v>
      </c>
      <c r="G4005" s="2">
        <v>246582532</v>
      </c>
      <c r="H4005" s="2">
        <v>3314166</v>
      </c>
      <c r="I4005" s="2">
        <v>69529104</v>
      </c>
      <c r="J4005">
        <v>1</v>
      </c>
      <c r="L4005">
        <v>1</v>
      </c>
      <c r="M4005" t="str">
        <f t="shared" si="62"/>
        <v>After 2020</v>
      </c>
    </row>
    <row r="4006" spans="1:13" hidden="1">
      <c r="A4006" t="s">
        <v>5602</v>
      </c>
      <c r="B4006" t="s">
        <v>299</v>
      </c>
      <c r="C4006" s="1">
        <v>45233</v>
      </c>
      <c r="D4006" s="2">
        <v>167384917</v>
      </c>
      <c r="E4006" s="2">
        <v>7556</v>
      </c>
      <c r="G4006" s="2">
        <v>46061623</v>
      </c>
      <c r="H4006" s="2">
        <v>617032</v>
      </c>
      <c r="I4006" s="2">
        <v>14147233</v>
      </c>
      <c r="J4006">
        <v>4</v>
      </c>
      <c r="K4006">
        <v>21</v>
      </c>
      <c r="L4006">
        <v>0</v>
      </c>
      <c r="M4006" t="str">
        <f t="shared" si="62"/>
        <v>After 2020</v>
      </c>
    </row>
    <row r="4007" spans="1:13" hidden="1">
      <c r="A4007" t="s">
        <v>5603</v>
      </c>
      <c r="B4007" t="s">
        <v>43</v>
      </c>
      <c r="C4007" s="1">
        <v>45281</v>
      </c>
      <c r="D4007" s="2">
        <v>27850857</v>
      </c>
      <c r="E4007" s="2">
        <v>13873</v>
      </c>
      <c r="G4007" s="2">
        <v>13933188</v>
      </c>
      <c r="H4007" s="2">
        <v>336872</v>
      </c>
      <c r="J4007">
        <v>10</v>
      </c>
      <c r="K4007">
        <v>711</v>
      </c>
      <c r="L4007">
        <v>1</v>
      </c>
      <c r="M4007" t="str">
        <f t="shared" si="62"/>
        <v>After 2020</v>
      </c>
    </row>
    <row r="4008" spans="1:13">
      <c r="A4008" t="s">
        <v>5604</v>
      </c>
      <c r="B4008" t="s">
        <v>5605</v>
      </c>
      <c r="C4008" s="1">
        <v>43159</v>
      </c>
      <c r="D4008" s="2">
        <v>466462034</v>
      </c>
      <c r="E4008" s="2">
        <v>145278</v>
      </c>
      <c r="F4008">
        <v>20</v>
      </c>
      <c r="G4008" s="2">
        <v>91890599</v>
      </c>
      <c r="H4008" s="2">
        <v>1551928</v>
      </c>
      <c r="I4008" s="2">
        <v>1503260547</v>
      </c>
      <c r="J4008">
        <v>25</v>
      </c>
      <c r="K4008">
        <v>102</v>
      </c>
      <c r="L4008">
        <v>0</v>
      </c>
      <c r="M4008" t="str">
        <f t="shared" si="62"/>
        <v>2010-2020</v>
      </c>
    </row>
    <row r="4009" spans="1:13">
      <c r="A4009" t="s">
        <v>5606</v>
      </c>
      <c r="B4009" t="s">
        <v>912</v>
      </c>
      <c r="C4009" s="1">
        <v>40909</v>
      </c>
      <c r="D4009" s="2">
        <v>417616725</v>
      </c>
      <c r="E4009" s="2">
        <v>59548</v>
      </c>
      <c r="F4009">
        <v>64</v>
      </c>
      <c r="G4009" s="2">
        <v>498382704</v>
      </c>
      <c r="H4009" s="2">
        <v>2551106</v>
      </c>
      <c r="I4009" s="2">
        <v>9984519</v>
      </c>
      <c r="J4009">
        <v>53</v>
      </c>
      <c r="K4009">
        <v>40</v>
      </c>
      <c r="L4009">
        <v>1</v>
      </c>
      <c r="M4009" t="str">
        <f t="shared" si="62"/>
        <v>2010-2020</v>
      </c>
    </row>
    <row r="4010" spans="1:13" hidden="1">
      <c r="A4010" t="s">
        <v>5607</v>
      </c>
      <c r="B4010" t="s">
        <v>5608</v>
      </c>
      <c r="C4010" s="1">
        <v>45218</v>
      </c>
      <c r="D4010" s="2">
        <v>35900099</v>
      </c>
      <c r="E4010" s="2">
        <v>17596</v>
      </c>
      <c r="G4010" s="2">
        <v>3551154</v>
      </c>
      <c r="H4010" s="2">
        <v>60217</v>
      </c>
      <c r="I4010" s="2">
        <v>45531637</v>
      </c>
      <c r="J4010">
        <v>5</v>
      </c>
      <c r="L4010">
        <v>1</v>
      </c>
      <c r="M4010" t="str">
        <f t="shared" si="62"/>
        <v>After 2020</v>
      </c>
    </row>
    <row r="4011" spans="1:13" hidden="1">
      <c r="A4011" t="s">
        <v>5609</v>
      </c>
      <c r="B4011" t="s">
        <v>5610</v>
      </c>
      <c r="C4011" s="1">
        <v>44729</v>
      </c>
      <c r="L4011">
        <v>0</v>
      </c>
      <c r="M4011" t="str">
        <f t="shared" si="62"/>
        <v>After 2020</v>
      </c>
    </row>
    <row r="4012" spans="1:13" hidden="1">
      <c r="A4012" t="s">
        <v>5611</v>
      </c>
      <c r="B4012" t="s">
        <v>5612</v>
      </c>
      <c r="C4012" s="1">
        <v>43782</v>
      </c>
      <c r="D4012" s="2">
        <v>486647778</v>
      </c>
      <c r="E4012" s="2">
        <v>83294</v>
      </c>
      <c r="F4012">
        <v>71</v>
      </c>
      <c r="G4012" s="2">
        <v>239866189</v>
      </c>
      <c r="H4012" s="2">
        <v>2910072</v>
      </c>
      <c r="I4012" s="2">
        <v>147581751</v>
      </c>
      <c r="J4012">
        <v>6</v>
      </c>
      <c r="L4012">
        <v>0</v>
      </c>
      <c r="M4012" t="str">
        <f t="shared" si="62"/>
        <v>2010-2020</v>
      </c>
    </row>
    <row r="4013" spans="1:13" hidden="1">
      <c r="A4013" t="s">
        <v>5613</v>
      </c>
      <c r="B4013" t="s">
        <v>3617</v>
      </c>
      <c r="C4013" s="1">
        <v>45254</v>
      </c>
      <c r="D4013" s="2">
        <v>63563583</v>
      </c>
      <c r="E4013" s="2">
        <v>3408</v>
      </c>
      <c r="F4013">
        <v>69</v>
      </c>
      <c r="G4013" s="2">
        <v>58005062</v>
      </c>
      <c r="H4013" s="2">
        <v>102744</v>
      </c>
      <c r="J4013">
        <v>12</v>
      </c>
      <c r="L4013">
        <v>0</v>
      </c>
      <c r="M4013" t="str">
        <f t="shared" si="62"/>
        <v>After 2020</v>
      </c>
    </row>
    <row r="4014" spans="1:13" hidden="1">
      <c r="A4014" t="s">
        <v>5614</v>
      </c>
      <c r="B4014" t="s">
        <v>200</v>
      </c>
      <c r="C4014" s="1">
        <v>44984</v>
      </c>
      <c r="D4014" s="2">
        <v>129370457</v>
      </c>
      <c r="E4014" s="2">
        <v>14028</v>
      </c>
      <c r="F4014">
        <v>62</v>
      </c>
      <c r="G4014" s="2">
        <v>137242871</v>
      </c>
      <c r="H4014" s="2">
        <v>910371</v>
      </c>
      <c r="I4014" s="2">
        <v>100106095</v>
      </c>
      <c r="J4014">
        <v>8</v>
      </c>
      <c r="L4014">
        <v>0</v>
      </c>
      <c r="M4014" t="str">
        <f t="shared" si="62"/>
        <v>After 2020</v>
      </c>
    </row>
    <row r="4015" spans="1:13" hidden="1">
      <c r="A4015" t="s">
        <v>5615</v>
      </c>
      <c r="B4015" t="s">
        <v>5616</v>
      </c>
      <c r="C4015" s="1">
        <v>45002</v>
      </c>
      <c r="D4015" s="2">
        <v>110533607</v>
      </c>
      <c r="E4015" s="2">
        <v>40021</v>
      </c>
      <c r="F4015">
        <v>63</v>
      </c>
      <c r="G4015" s="2">
        <v>7522346</v>
      </c>
      <c r="H4015" s="2">
        <v>53344</v>
      </c>
      <c r="I4015" s="2">
        <v>54432181</v>
      </c>
      <c r="J4015">
        <v>12</v>
      </c>
      <c r="L4015">
        <v>0</v>
      </c>
      <c r="M4015" t="str">
        <f t="shared" si="62"/>
        <v>After 2020</v>
      </c>
    </row>
    <row r="4016" spans="1:13">
      <c r="A4016" t="s">
        <v>1068</v>
      </c>
      <c r="B4016" t="s">
        <v>4688</v>
      </c>
      <c r="C4016" s="1">
        <v>44785</v>
      </c>
      <c r="D4016" s="2">
        <v>36861625</v>
      </c>
      <c r="E4016" s="2">
        <v>18739</v>
      </c>
      <c r="F4016">
        <v>48</v>
      </c>
      <c r="G4016" s="2">
        <v>45862527</v>
      </c>
      <c r="H4016" s="2">
        <v>493206</v>
      </c>
      <c r="I4016" s="2">
        <v>146110913</v>
      </c>
      <c r="J4016">
        <v>7</v>
      </c>
      <c r="K4016">
        <v>626</v>
      </c>
      <c r="L4016">
        <v>1</v>
      </c>
      <c r="M4016" t="str">
        <f t="shared" si="62"/>
        <v>After 2020</v>
      </c>
    </row>
    <row r="4017" spans="1:13" hidden="1">
      <c r="A4017" t="s">
        <v>5617</v>
      </c>
      <c r="B4017" t="s">
        <v>5618</v>
      </c>
      <c r="C4017" s="1">
        <v>45210</v>
      </c>
      <c r="D4017" s="2">
        <v>97393603</v>
      </c>
      <c r="E4017" s="2">
        <v>4072</v>
      </c>
      <c r="G4017" s="2">
        <v>89293152</v>
      </c>
      <c r="H4017" s="2">
        <v>804501</v>
      </c>
      <c r="J4017">
        <v>11</v>
      </c>
      <c r="L4017">
        <v>0</v>
      </c>
      <c r="M4017" t="str">
        <f t="shared" si="62"/>
        <v>After 2020</v>
      </c>
    </row>
    <row r="4018" spans="1:13" hidden="1">
      <c r="A4018" t="s">
        <v>5619</v>
      </c>
      <c r="B4018" t="s">
        <v>5620</v>
      </c>
      <c r="C4018" s="1">
        <v>45352</v>
      </c>
      <c r="D4018" s="2">
        <v>30377279</v>
      </c>
      <c r="E4018" s="2">
        <v>7417</v>
      </c>
      <c r="G4018" s="2">
        <v>454550</v>
      </c>
      <c r="H4018" s="2">
        <v>7485</v>
      </c>
      <c r="J4018">
        <v>20</v>
      </c>
      <c r="K4018">
        <v>3</v>
      </c>
      <c r="L4018">
        <v>0</v>
      </c>
      <c r="M4018" t="str">
        <f t="shared" si="62"/>
        <v>After 2020</v>
      </c>
    </row>
    <row r="4019" spans="1:13" hidden="1">
      <c r="A4019" t="s">
        <v>5621</v>
      </c>
      <c r="B4019" t="s">
        <v>3009</v>
      </c>
      <c r="C4019" s="1">
        <v>45415</v>
      </c>
      <c r="D4019" s="2">
        <v>12589295</v>
      </c>
      <c r="E4019">
        <v>889</v>
      </c>
      <c r="F4019">
        <v>69</v>
      </c>
      <c r="G4019" s="2">
        <v>13732957</v>
      </c>
      <c r="H4019" s="2">
        <v>115078</v>
      </c>
      <c r="J4019">
        <v>2</v>
      </c>
      <c r="L4019">
        <v>1</v>
      </c>
      <c r="M4019" t="str">
        <f t="shared" si="62"/>
        <v>After 2020</v>
      </c>
    </row>
    <row r="4020" spans="1:13" hidden="1">
      <c r="A4020" t="s">
        <v>5622</v>
      </c>
      <c r="B4020" t="s">
        <v>5623</v>
      </c>
      <c r="C4020" s="1">
        <v>44302</v>
      </c>
      <c r="D4020" s="2">
        <v>277393068</v>
      </c>
      <c r="E4020" s="2">
        <v>103470</v>
      </c>
      <c r="F4020">
        <v>61</v>
      </c>
      <c r="G4020" s="2">
        <v>932111</v>
      </c>
      <c r="H4020" s="2">
        <v>15329</v>
      </c>
      <c r="I4020" s="2">
        <v>6843990</v>
      </c>
      <c r="J4020">
        <v>73</v>
      </c>
      <c r="L4020">
        <v>1</v>
      </c>
      <c r="M4020" t="str">
        <f t="shared" si="62"/>
        <v>After 2020</v>
      </c>
    </row>
    <row r="4021" spans="1:13">
      <c r="A4021" t="s">
        <v>5624</v>
      </c>
      <c r="B4021" t="s">
        <v>1407</v>
      </c>
      <c r="C4021" s="1">
        <v>43738</v>
      </c>
      <c r="D4021" s="2">
        <v>117819788</v>
      </c>
      <c r="E4021" s="2">
        <v>59052</v>
      </c>
      <c r="F4021">
        <v>59</v>
      </c>
      <c r="G4021" s="2">
        <v>312077132</v>
      </c>
      <c r="H4021" s="2">
        <v>1773615</v>
      </c>
      <c r="I4021" s="2">
        <v>1866473503</v>
      </c>
      <c r="J4021">
        <v>59</v>
      </c>
      <c r="K4021">
        <v>1</v>
      </c>
      <c r="L4021">
        <v>0</v>
      </c>
      <c r="M4021" t="str">
        <f t="shared" si="62"/>
        <v>2010-2020</v>
      </c>
    </row>
    <row r="4022" spans="1:13" hidden="1">
      <c r="A4022" t="s">
        <v>5625</v>
      </c>
      <c r="B4022" t="s">
        <v>5626</v>
      </c>
      <c r="C4022" s="1">
        <v>45436</v>
      </c>
      <c r="D4022" s="2">
        <v>5200791</v>
      </c>
      <c r="E4022">
        <v>137</v>
      </c>
      <c r="F4022">
        <v>42</v>
      </c>
      <c r="G4022" s="2">
        <v>10354894</v>
      </c>
      <c r="H4022" s="2">
        <v>189908</v>
      </c>
      <c r="J4022">
        <v>9</v>
      </c>
      <c r="L4022">
        <v>0</v>
      </c>
      <c r="M4022" t="str">
        <f t="shared" si="62"/>
        <v>After 2020</v>
      </c>
    </row>
    <row r="4023" spans="1:13" hidden="1">
      <c r="A4023" t="s">
        <v>5627</v>
      </c>
      <c r="B4023" t="s">
        <v>1781</v>
      </c>
      <c r="C4023" s="1">
        <v>44190</v>
      </c>
      <c r="D4023" s="2">
        <v>178750521</v>
      </c>
      <c r="E4023" s="2">
        <v>76739</v>
      </c>
      <c r="F4023">
        <v>66</v>
      </c>
      <c r="G4023" s="2">
        <v>33772398</v>
      </c>
      <c r="H4023" s="2">
        <v>478840</v>
      </c>
      <c r="I4023" s="2">
        <v>88268263</v>
      </c>
      <c r="J4023">
        <v>7</v>
      </c>
      <c r="L4023">
        <v>1</v>
      </c>
      <c r="M4023" t="str">
        <f t="shared" si="62"/>
        <v>2010-2020</v>
      </c>
    </row>
    <row r="4024" spans="1:13" hidden="1">
      <c r="A4024" t="s">
        <v>5628</v>
      </c>
      <c r="B4024" t="s">
        <v>5629</v>
      </c>
      <c r="C4024" s="1">
        <v>45086</v>
      </c>
      <c r="D4024" s="2">
        <v>34601626</v>
      </c>
      <c r="E4024" s="2">
        <v>34272</v>
      </c>
      <c r="F4024">
        <v>65</v>
      </c>
      <c r="I4024" s="2">
        <v>869444</v>
      </c>
      <c r="J4024">
        <v>20</v>
      </c>
      <c r="L4024">
        <v>0</v>
      </c>
      <c r="M4024" t="str">
        <f t="shared" si="62"/>
        <v>After 2020</v>
      </c>
    </row>
    <row r="4025" spans="1:13">
      <c r="A4025" t="s">
        <v>5630</v>
      </c>
      <c r="B4025" t="s">
        <v>51</v>
      </c>
      <c r="C4025" s="1">
        <v>43553</v>
      </c>
      <c r="D4025" s="2">
        <v>640099263</v>
      </c>
      <c r="E4025" s="2">
        <v>74072</v>
      </c>
      <c r="F4025">
        <v>68</v>
      </c>
      <c r="G4025" s="2">
        <v>342695701</v>
      </c>
      <c r="H4025" s="2">
        <v>7870079</v>
      </c>
      <c r="I4025" s="2">
        <v>204727914</v>
      </c>
      <c r="J4025">
        <v>40</v>
      </c>
      <c r="K4025">
        <v>87</v>
      </c>
      <c r="L4025">
        <v>0</v>
      </c>
      <c r="M4025" t="str">
        <f t="shared" si="62"/>
        <v>2010-2020</v>
      </c>
    </row>
    <row r="4026" spans="1:13" hidden="1">
      <c r="A4026" t="s">
        <v>5631</v>
      </c>
      <c r="B4026" t="s">
        <v>299</v>
      </c>
      <c r="C4026" s="1">
        <v>45233</v>
      </c>
      <c r="D4026" s="2">
        <v>104618147</v>
      </c>
      <c r="E4026" s="2">
        <v>5815</v>
      </c>
      <c r="G4026" s="2">
        <v>49859367</v>
      </c>
      <c r="H4026" s="2">
        <v>2196731</v>
      </c>
      <c r="I4026" s="2">
        <v>21112856</v>
      </c>
      <c r="J4026">
        <v>1</v>
      </c>
      <c r="K4026">
        <v>5</v>
      </c>
      <c r="L4026">
        <v>0</v>
      </c>
      <c r="M4026" t="str">
        <f t="shared" si="62"/>
        <v>After 2020</v>
      </c>
    </row>
    <row r="4027" spans="1:13" hidden="1">
      <c r="A4027" t="s">
        <v>5632</v>
      </c>
      <c r="B4027" t="s">
        <v>682</v>
      </c>
      <c r="C4027" s="1">
        <v>45411</v>
      </c>
      <c r="D4027" s="2">
        <v>9866591</v>
      </c>
      <c r="E4027">
        <v>621</v>
      </c>
      <c r="G4027" s="2">
        <v>16856738</v>
      </c>
      <c r="H4027" s="2">
        <v>641553</v>
      </c>
      <c r="L4027">
        <v>0</v>
      </c>
      <c r="M4027" t="str">
        <f t="shared" si="62"/>
        <v>After 2020</v>
      </c>
    </row>
    <row r="4028" spans="1:13" hidden="1">
      <c r="A4028" t="s">
        <v>5633</v>
      </c>
      <c r="B4028" t="s">
        <v>1280</v>
      </c>
      <c r="C4028" s="1">
        <v>45429</v>
      </c>
      <c r="D4028" s="2">
        <v>6958248</v>
      </c>
      <c r="E4028" s="2">
        <v>1226</v>
      </c>
      <c r="G4028" s="2">
        <v>2816970</v>
      </c>
      <c r="H4028" s="2">
        <v>81956</v>
      </c>
      <c r="I4028" s="2">
        <v>4881</v>
      </c>
      <c r="J4028">
        <v>32</v>
      </c>
      <c r="K4028">
        <v>102</v>
      </c>
      <c r="L4028">
        <v>0</v>
      </c>
      <c r="M4028" t="str">
        <f t="shared" si="62"/>
        <v>After 2020</v>
      </c>
    </row>
    <row r="4029" spans="1:13">
      <c r="A4029" t="s">
        <v>5634</v>
      </c>
      <c r="B4029" t="s">
        <v>1013</v>
      </c>
      <c r="C4029" s="1">
        <v>43518</v>
      </c>
      <c r="D4029" s="2">
        <v>76516847</v>
      </c>
      <c r="E4029" s="2">
        <v>14310</v>
      </c>
      <c r="F4029">
        <v>48</v>
      </c>
      <c r="G4029" s="2">
        <v>865812768</v>
      </c>
      <c r="H4029" s="2">
        <v>3458107</v>
      </c>
      <c r="I4029" s="2">
        <v>4319903</v>
      </c>
      <c r="J4029">
        <v>3</v>
      </c>
      <c r="K4029">
        <v>10</v>
      </c>
      <c r="L4029">
        <v>1</v>
      </c>
      <c r="M4029" t="str">
        <f t="shared" si="62"/>
        <v>2010-2020</v>
      </c>
    </row>
    <row r="4030" spans="1:13" hidden="1">
      <c r="A4030" t="s">
        <v>5635</v>
      </c>
      <c r="B4030" t="s">
        <v>5636</v>
      </c>
      <c r="C4030" s="1">
        <v>45115</v>
      </c>
      <c r="D4030" s="2">
        <v>52265945</v>
      </c>
      <c r="E4030" s="2">
        <v>3957</v>
      </c>
      <c r="F4030">
        <v>62</v>
      </c>
      <c r="G4030" s="2">
        <v>39586218</v>
      </c>
      <c r="H4030" s="2">
        <v>99471</v>
      </c>
      <c r="I4030" s="2">
        <v>160140881</v>
      </c>
      <c r="L4030">
        <v>1</v>
      </c>
      <c r="M4030" t="str">
        <f t="shared" si="62"/>
        <v>After 2020</v>
      </c>
    </row>
    <row r="4031" spans="1:13" hidden="1">
      <c r="A4031" t="s">
        <v>1108</v>
      </c>
      <c r="B4031" t="s">
        <v>1109</v>
      </c>
      <c r="C4031" s="1">
        <v>44463</v>
      </c>
      <c r="G4031" s="2">
        <v>108142</v>
      </c>
      <c r="H4031">
        <v>917</v>
      </c>
      <c r="J4031">
        <v>133</v>
      </c>
      <c r="L4031">
        <v>0</v>
      </c>
      <c r="M4031" t="str">
        <f t="shared" si="62"/>
        <v>After 2020</v>
      </c>
    </row>
    <row r="4032" spans="1:13">
      <c r="A4032" t="s">
        <v>5637</v>
      </c>
      <c r="B4032" t="s">
        <v>1857</v>
      </c>
      <c r="C4032" s="1">
        <v>42461</v>
      </c>
      <c r="D4032" s="2">
        <v>1102322992</v>
      </c>
      <c r="E4032" s="2">
        <v>191719</v>
      </c>
      <c r="F4032">
        <v>79</v>
      </c>
      <c r="G4032" s="2">
        <v>98389487</v>
      </c>
      <c r="H4032" s="2">
        <v>1056464</v>
      </c>
      <c r="I4032" s="2">
        <v>243179588</v>
      </c>
      <c r="J4032">
        <v>88</v>
      </c>
      <c r="K4032">
        <v>60</v>
      </c>
      <c r="L4032">
        <v>1</v>
      </c>
      <c r="M4032" t="str">
        <f t="shared" si="62"/>
        <v>2010-2020</v>
      </c>
    </row>
    <row r="4033" spans="1:13">
      <c r="A4033">
        <v>505</v>
      </c>
      <c r="B4033" t="s">
        <v>2728</v>
      </c>
      <c r="C4033" s="1">
        <v>39193</v>
      </c>
      <c r="D4033" s="2">
        <v>1660504577</v>
      </c>
      <c r="E4033" s="2">
        <v>315657</v>
      </c>
      <c r="F4033">
        <v>80</v>
      </c>
      <c r="G4033" s="2">
        <v>611110729</v>
      </c>
      <c r="H4033" s="2">
        <v>4963235</v>
      </c>
      <c r="I4033" s="2">
        <v>229596064</v>
      </c>
      <c r="J4033">
        <v>33</v>
      </c>
      <c r="K4033">
        <v>21</v>
      </c>
      <c r="L4033">
        <v>0</v>
      </c>
      <c r="M4033" t="str">
        <f t="shared" si="62"/>
        <v>Before 2010</v>
      </c>
    </row>
    <row r="4034" spans="1:13" hidden="1">
      <c r="A4034" t="s">
        <v>5638</v>
      </c>
      <c r="B4034" t="s">
        <v>5639</v>
      </c>
      <c r="C4034" s="1">
        <v>45030</v>
      </c>
      <c r="D4034" s="2">
        <v>71078859</v>
      </c>
      <c r="E4034" s="2">
        <v>9468</v>
      </c>
      <c r="F4034">
        <v>60</v>
      </c>
      <c r="G4034" s="2">
        <v>152076565</v>
      </c>
      <c r="H4034" s="2">
        <v>714710</v>
      </c>
      <c r="I4034" s="2">
        <v>14276253</v>
      </c>
      <c r="J4034">
        <v>3</v>
      </c>
      <c r="L4034">
        <v>0</v>
      </c>
      <c r="M4034" t="str">
        <f t="shared" si="62"/>
        <v>After 2020</v>
      </c>
    </row>
    <row r="4035" spans="1:13" hidden="1">
      <c r="A4035" t="s">
        <v>5640</v>
      </c>
      <c r="B4035" t="s">
        <v>3738</v>
      </c>
      <c r="C4035" s="1">
        <v>44973</v>
      </c>
      <c r="D4035" s="2">
        <v>89073254</v>
      </c>
      <c r="E4035" s="2">
        <v>15308</v>
      </c>
      <c r="F4035">
        <v>60</v>
      </c>
      <c r="G4035" s="2">
        <v>142372911</v>
      </c>
      <c r="H4035" s="2">
        <v>435060</v>
      </c>
      <c r="I4035" s="2">
        <v>64861163</v>
      </c>
      <c r="L4035">
        <v>0</v>
      </c>
      <c r="M4035" t="str">
        <f t="shared" ref="M4035:M4098" si="63">IF(YEAR(C4035)&lt;2010,"Before 2010",IF(YEAR(C4035)&lt;=2020,"2010-2020","After 2020"))</f>
        <v>After 2020</v>
      </c>
    </row>
    <row r="4036" spans="1:13" hidden="1">
      <c r="A4036" t="s">
        <v>5641</v>
      </c>
      <c r="B4036" t="s">
        <v>61</v>
      </c>
      <c r="C4036" s="1">
        <v>45401</v>
      </c>
      <c r="D4036" s="2">
        <v>65809859</v>
      </c>
      <c r="E4036" s="2">
        <v>1728</v>
      </c>
      <c r="G4036" s="2">
        <v>6877351</v>
      </c>
      <c r="H4036" s="2">
        <v>113555</v>
      </c>
      <c r="J4036">
        <v>5</v>
      </c>
      <c r="L4036">
        <v>1</v>
      </c>
      <c r="M4036" t="str">
        <f t="shared" si="63"/>
        <v>After 2020</v>
      </c>
    </row>
    <row r="4037" spans="1:13">
      <c r="A4037" t="s">
        <v>5642</v>
      </c>
      <c r="B4037" t="s">
        <v>1814</v>
      </c>
      <c r="C4037" s="1">
        <v>42964</v>
      </c>
      <c r="D4037" s="2">
        <v>554022596</v>
      </c>
      <c r="E4037" s="2">
        <v>98431</v>
      </c>
      <c r="F4037">
        <v>64</v>
      </c>
      <c r="G4037" s="2">
        <v>609183858</v>
      </c>
      <c r="H4037" s="2">
        <v>2885179</v>
      </c>
      <c r="I4037" s="2">
        <v>178883578</v>
      </c>
      <c r="J4037">
        <v>8</v>
      </c>
      <c r="K4037">
        <v>23</v>
      </c>
      <c r="L4037">
        <v>1</v>
      </c>
      <c r="M4037" t="str">
        <f t="shared" si="63"/>
        <v>2010-2020</v>
      </c>
    </row>
    <row r="4038" spans="1:13" hidden="1">
      <c r="A4038" t="s">
        <v>5643</v>
      </c>
      <c r="B4038" t="s">
        <v>5123</v>
      </c>
      <c r="C4038" s="1">
        <v>44428</v>
      </c>
      <c r="D4038" s="2">
        <v>7762464</v>
      </c>
      <c r="E4038">
        <v>955</v>
      </c>
      <c r="F4038">
        <v>40</v>
      </c>
      <c r="G4038" s="2">
        <v>504812090</v>
      </c>
      <c r="H4038" s="2">
        <v>3667632</v>
      </c>
      <c r="I4038" s="2">
        <v>36027436</v>
      </c>
      <c r="L4038">
        <v>0</v>
      </c>
      <c r="M4038" t="str">
        <f t="shared" si="63"/>
        <v>After 2020</v>
      </c>
    </row>
    <row r="4039" spans="1:13">
      <c r="A4039" t="s">
        <v>5644</v>
      </c>
      <c r="B4039" t="s">
        <v>5645</v>
      </c>
      <c r="C4039" s="1">
        <v>43571</v>
      </c>
      <c r="D4039" s="2">
        <v>215492373</v>
      </c>
      <c r="E4039" s="2">
        <v>91317</v>
      </c>
      <c r="F4039">
        <v>67</v>
      </c>
      <c r="G4039" s="2">
        <v>291742629</v>
      </c>
      <c r="H4039" s="2">
        <v>2585653</v>
      </c>
      <c r="I4039" s="2">
        <v>64559724</v>
      </c>
      <c r="J4039">
        <v>36</v>
      </c>
      <c r="K4039">
        <v>231</v>
      </c>
      <c r="L4039">
        <v>0</v>
      </c>
      <c r="M4039" t="str">
        <f t="shared" si="63"/>
        <v>2010-2020</v>
      </c>
    </row>
    <row r="4040" spans="1:13" hidden="1">
      <c r="A4040" t="s">
        <v>5646</v>
      </c>
      <c r="B4040" t="s">
        <v>5647</v>
      </c>
      <c r="C4040" s="1">
        <v>45303</v>
      </c>
      <c r="D4040" s="2">
        <v>33401958</v>
      </c>
      <c r="E4040" s="2">
        <v>9093</v>
      </c>
      <c r="G4040" s="2">
        <v>2070128</v>
      </c>
      <c r="H4040" s="2">
        <v>36023</v>
      </c>
      <c r="J4040">
        <v>18</v>
      </c>
      <c r="K4040">
        <v>111</v>
      </c>
      <c r="L4040">
        <v>0</v>
      </c>
      <c r="M4040" t="str">
        <f t="shared" si="63"/>
        <v>After 2020</v>
      </c>
    </row>
    <row r="4041" spans="1:13" hidden="1">
      <c r="A4041" t="s">
        <v>5648</v>
      </c>
      <c r="B4041" t="s">
        <v>5649</v>
      </c>
      <c r="C4041" s="1">
        <v>44727</v>
      </c>
      <c r="D4041" s="2">
        <v>1224</v>
      </c>
      <c r="E4041">
        <v>3</v>
      </c>
      <c r="G4041" s="2">
        <v>389845206</v>
      </c>
      <c r="H4041" s="2">
        <v>2639618</v>
      </c>
      <c r="L4041">
        <v>0</v>
      </c>
      <c r="M4041" t="str">
        <f t="shared" si="63"/>
        <v>After 2020</v>
      </c>
    </row>
    <row r="4042" spans="1:13">
      <c r="A4042" t="s">
        <v>5650</v>
      </c>
      <c r="B4042" t="s">
        <v>912</v>
      </c>
      <c r="C4042" s="1">
        <v>40179</v>
      </c>
      <c r="D4042" s="2">
        <v>520418822</v>
      </c>
      <c r="E4042" s="2">
        <v>88906</v>
      </c>
      <c r="F4042">
        <v>69</v>
      </c>
      <c r="G4042" s="2">
        <v>1049777851</v>
      </c>
      <c r="H4042" s="2">
        <v>3714062</v>
      </c>
      <c r="I4042" s="2">
        <v>32366</v>
      </c>
      <c r="J4042">
        <v>76</v>
      </c>
      <c r="K4042">
        <v>136</v>
      </c>
      <c r="L4042">
        <v>0</v>
      </c>
      <c r="M4042" t="str">
        <f t="shared" si="63"/>
        <v>2010-2020</v>
      </c>
    </row>
    <row r="4043" spans="1:13">
      <c r="A4043" t="s">
        <v>23</v>
      </c>
      <c r="B4043" t="s">
        <v>2655</v>
      </c>
      <c r="C4043" s="1">
        <v>44665</v>
      </c>
      <c r="D4043" s="2">
        <v>260183209</v>
      </c>
      <c r="E4043" s="2">
        <v>36176</v>
      </c>
      <c r="F4043">
        <v>65</v>
      </c>
      <c r="G4043" s="2">
        <v>64169463</v>
      </c>
      <c r="H4043" s="2">
        <v>486007</v>
      </c>
      <c r="I4043" s="2">
        <v>295540554</v>
      </c>
      <c r="J4043">
        <v>31</v>
      </c>
      <c r="K4043">
        <v>62</v>
      </c>
      <c r="L4043">
        <v>1</v>
      </c>
      <c r="M4043" t="str">
        <f t="shared" si="63"/>
        <v>After 2020</v>
      </c>
    </row>
    <row r="4044" spans="1:13" hidden="1">
      <c r="A4044" t="s">
        <v>5651</v>
      </c>
      <c r="B4044" t="s">
        <v>5652</v>
      </c>
      <c r="C4044" s="1">
        <v>43385</v>
      </c>
      <c r="D4044" s="2">
        <v>38630486</v>
      </c>
      <c r="E4044" s="2">
        <v>5868</v>
      </c>
      <c r="F4044">
        <v>52</v>
      </c>
      <c r="G4044" s="2">
        <v>929048943</v>
      </c>
      <c r="H4044" s="2">
        <v>4745876</v>
      </c>
      <c r="I4044" s="2">
        <v>67416406</v>
      </c>
      <c r="J4044">
        <v>7</v>
      </c>
      <c r="L4044">
        <v>0</v>
      </c>
      <c r="M4044" t="str">
        <f t="shared" si="63"/>
        <v>2010-2020</v>
      </c>
    </row>
    <row r="4045" spans="1:13">
      <c r="A4045" t="s">
        <v>5653</v>
      </c>
      <c r="B4045" t="s">
        <v>2004</v>
      </c>
      <c r="C4045" s="1">
        <v>43089</v>
      </c>
      <c r="D4045" s="2">
        <v>680431508</v>
      </c>
      <c r="E4045" s="2">
        <v>107585</v>
      </c>
      <c r="F4045">
        <v>68</v>
      </c>
      <c r="G4045" s="2">
        <v>179781280</v>
      </c>
      <c r="H4045" s="2">
        <v>1878811</v>
      </c>
      <c r="I4045" s="2">
        <v>249432966</v>
      </c>
      <c r="J4045">
        <v>111</v>
      </c>
      <c r="K4045">
        <v>84</v>
      </c>
      <c r="L4045">
        <v>1</v>
      </c>
      <c r="M4045" t="str">
        <f t="shared" si="63"/>
        <v>2010-2020</v>
      </c>
    </row>
    <row r="4046" spans="1:13">
      <c r="A4046" t="s">
        <v>5654</v>
      </c>
      <c r="B4046" t="s">
        <v>19</v>
      </c>
      <c r="C4046" s="1">
        <v>40909</v>
      </c>
      <c r="D4046" s="2">
        <v>721771477</v>
      </c>
      <c r="E4046" s="2">
        <v>182518</v>
      </c>
      <c r="F4046">
        <v>67</v>
      </c>
      <c r="G4046" s="2">
        <v>459189834</v>
      </c>
      <c r="H4046" s="2">
        <v>3603381</v>
      </c>
      <c r="I4046" s="2">
        <v>78341646</v>
      </c>
      <c r="J4046">
        <v>73</v>
      </c>
      <c r="K4046">
        <v>10</v>
      </c>
      <c r="L4046">
        <v>1</v>
      </c>
      <c r="M4046" t="str">
        <f t="shared" si="63"/>
        <v>2010-2020</v>
      </c>
    </row>
    <row r="4047" spans="1:13">
      <c r="A4047" t="s">
        <v>5655</v>
      </c>
      <c r="B4047" t="s">
        <v>99</v>
      </c>
      <c r="C4047" s="1">
        <v>43973</v>
      </c>
      <c r="D4047" s="2">
        <v>390498074</v>
      </c>
      <c r="E4047" s="2">
        <v>113725</v>
      </c>
      <c r="F4047">
        <v>64</v>
      </c>
      <c r="G4047" s="2">
        <v>85842981</v>
      </c>
      <c r="H4047" s="2">
        <v>807191</v>
      </c>
      <c r="I4047" s="2">
        <v>268907515</v>
      </c>
      <c r="J4047">
        <v>37</v>
      </c>
      <c r="K4047">
        <v>66</v>
      </c>
      <c r="L4047">
        <v>1</v>
      </c>
      <c r="M4047" t="str">
        <f t="shared" si="63"/>
        <v>2010-2020</v>
      </c>
    </row>
    <row r="4048" spans="1:13" hidden="1">
      <c r="A4048" t="s">
        <v>5656</v>
      </c>
      <c r="B4048" t="s">
        <v>5657</v>
      </c>
      <c r="C4048" s="1">
        <v>42251</v>
      </c>
      <c r="D4048" s="2">
        <v>36465157</v>
      </c>
      <c r="E4048" s="2">
        <v>3570</v>
      </c>
      <c r="F4048">
        <v>58</v>
      </c>
      <c r="G4048" s="2">
        <v>1542745105</v>
      </c>
      <c r="H4048" s="2">
        <v>2793743</v>
      </c>
      <c r="J4048">
        <v>2</v>
      </c>
      <c r="L4048">
        <v>0</v>
      </c>
      <c r="M4048" t="str">
        <f t="shared" si="63"/>
        <v>2010-2020</v>
      </c>
    </row>
    <row r="4049" spans="1:13">
      <c r="A4049" t="s">
        <v>5658</v>
      </c>
      <c r="B4049" t="s">
        <v>301</v>
      </c>
      <c r="C4049" s="1">
        <v>44057</v>
      </c>
      <c r="D4049" s="2">
        <v>433429705</v>
      </c>
      <c r="E4049" s="2">
        <v>47966</v>
      </c>
      <c r="F4049">
        <v>73</v>
      </c>
      <c r="G4049" s="2">
        <v>108280492</v>
      </c>
      <c r="H4049" s="2">
        <v>418212</v>
      </c>
      <c r="I4049" s="2">
        <v>273205308</v>
      </c>
      <c r="J4049">
        <v>33</v>
      </c>
      <c r="K4049">
        <v>14</v>
      </c>
      <c r="L4049">
        <v>0</v>
      </c>
      <c r="M4049" t="str">
        <f t="shared" si="63"/>
        <v>2010-2020</v>
      </c>
    </row>
    <row r="4050" spans="1:13" hidden="1">
      <c r="A4050" t="s">
        <v>5659</v>
      </c>
      <c r="B4050" t="s">
        <v>193</v>
      </c>
      <c r="C4050" s="1">
        <v>45337</v>
      </c>
      <c r="D4050" s="2">
        <v>50761385</v>
      </c>
      <c r="E4050" s="2">
        <v>6296</v>
      </c>
      <c r="G4050" s="2">
        <v>15098694</v>
      </c>
      <c r="H4050" s="2">
        <v>116415</v>
      </c>
      <c r="J4050">
        <v>23</v>
      </c>
      <c r="L4050">
        <v>1</v>
      </c>
      <c r="M4050" t="str">
        <f t="shared" si="63"/>
        <v>After 2020</v>
      </c>
    </row>
    <row r="4051" spans="1:13" hidden="1">
      <c r="A4051" t="s">
        <v>5660</v>
      </c>
      <c r="B4051" t="s">
        <v>5661</v>
      </c>
      <c r="C4051" s="1">
        <v>43560</v>
      </c>
      <c r="D4051" s="2">
        <v>279660513</v>
      </c>
      <c r="E4051" s="2">
        <v>39887</v>
      </c>
      <c r="F4051">
        <v>60</v>
      </c>
      <c r="G4051" s="2">
        <v>273044816</v>
      </c>
      <c r="H4051" s="2">
        <v>3691413</v>
      </c>
      <c r="I4051" s="2">
        <v>583142943</v>
      </c>
      <c r="J4051">
        <v>6</v>
      </c>
      <c r="L4051">
        <v>0</v>
      </c>
      <c r="M4051" t="str">
        <f t="shared" si="63"/>
        <v>2010-2020</v>
      </c>
    </row>
    <row r="4052" spans="1:13">
      <c r="A4052" t="s">
        <v>5662</v>
      </c>
      <c r="B4052" t="s">
        <v>5663</v>
      </c>
      <c r="C4052" s="1">
        <v>42846</v>
      </c>
      <c r="D4052" s="2">
        <v>473059298</v>
      </c>
      <c r="E4052" s="2">
        <v>108732</v>
      </c>
      <c r="F4052">
        <v>62</v>
      </c>
      <c r="G4052" s="2">
        <v>302782709</v>
      </c>
      <c r="H4052" s="2">
        <v>3261634</v>
      </c>
      <c r="I4052" s="2">
        <v>793624604</v>
      </c>
      <c r="J4052">
        <v>39</v>
      </c>
      <c r="K4052">
        <v>59</v>
      </c>
      <c r="L4052">
        <v>0</v>
      </c>
      <c r="M4052" t="str">
        <f t="shared" si="63"/>
        <v>2010-2020</v>
      </c>
    </row>
    <row r="4053" spans="1:13" hidden="1">
      <c r="A4053" t="s">
        <v>5664</v>
      </c>
      <c r="B4053" t="s">
        <v>642</v>
      </c>
      <c r="C4053" s="1">
        <v>45167</v>
      </c>
      <c r="D4053" s="2">
        <v>60776379</v>
      </c>
      <c r="E4053" s="2">
        <v>15554</v>
      </c>
      <c r="G4053" s="2">
        <v>10032098</v>
      </c>
      <c r="H4053" s="2">
        <v>98573</v>
      </c>
      <c r="I4053" s="2">
        <v>41222378</v>
      </c>
      <c r="K4053">
        <v>151</v>
      </c>
      <c r="L4053">
        <v>0</v>
      </c>
      <c r="M4053" t="str">
        <f t="shared" si="63"/>
        <v>After 2020</v>
      </c>
    </row>
    <row r="4054" spans="1:13">
      <c r="A4054" t="s">
        <v>4035</v>
      </c>
      <c r="B4054" t="s">
        <v>24</v>
      </c>
      <c r="C4054" s="1">
        <v>44995</v>
      </c>
      <c r="D4054" s="2">
        <v>132653623</v>
      </c>
      <c r="E4054" s="2">
        <v>15227</v>
      </c>
      <c r="F4054">
        <v>59</v>
      </c>
      <c r="G4054" s="2">
        <v>51695313</v>
      </c>
      <c r="H4054" s="2">
        <v>709774</v>
      </c>
      <c r="I4054" s="2">
        <v>65838521</v>
      </c>
      <c r="J4054">
        <v>40</v>
      </c>
      <c r="K4054">
        <v>634</v>
      </c>
      <c r="L4054">
        <v>0</v>
      </c>
      <c r="M4054" t="str">
        <f t="shared" si="63"/>
        <v>After 2020</v>
      </c>
    </row>
    <row r="4055" spans="1:13" hidden="1">
      <c r="A4055" t="s">
        <v>5665</v>
      </c>
      <c r="B4055" t="s">
        <v>1102</v>
      </c>
      <c r="C4055" s="1">
        <v>44603</v>
      </c>
      <c r="D4055" s="2">
        <v>293017219</v>
      </c>
      <c r="E4055" s="2">
        <v>21333</v>
      </c>
      <c r="F4055">
        <v>74</v>
      </c>
      <c r="G4055" s="2">
        <v>220479914</v>
      </c>
      <c r="H4055" s="2">
        <v>1074637</v>
      </c>
      <c r="I4055" s="2">
        <v>228557824</v>
      </c>
      <c r="J4055">
        <v>1</v>
      </c>
      <c r="L4055">
        <v>0</v>
      </c>
      <c r="M4055" t="str">
        <f t="shared" si="63"/>
        <v>After 2020</v>
      </c>
    </row>
    <row r="4056" spans="1:13">
      <c r="A4056" t="s">
        <v>5666</v>
      </c>
      <c r="B4056" t="s">
        <v>1949</v>
      </c>
      <c r="C4056" s="1">
        <v>43742</v>
      </c>
      <c r="D4056" s="2">
        <v>836491531</v>
      </c>
      <c r="E4056" s="2">
        <v>114619</v>
      </c>
      <c r="F4056">
        <v>79</v>
      </c>
      <c r="G4056" s="2">
        <v>95215206</v>
      </c>
      <c r="H4056" s="2">
        <v>1310860</v>
      </c>
      <c r="I4056" s="2">
        <v>1679330230</v>
      </c>
      <c r="J4056">
        <v>27</v>
      </c>
      <c r="K4056">
        <v>303</v>
      </c>
      <c r="L4056">
        <v>0</v>
      </c>
      <c r="M4056" t="str">
        <f t="shared" si="63"/>
        <v>2010-2020</v>
      </c>
    </row>
    <row r="4057" spans="1:13" hidden="1">
      <c r="A4057" t="s">
        <v>5667</v>
      </c>
      <c r="B4057" t="s">
        <v>5668</v>
      </c>
      <c r="C4057" s="1">
        <v>44834</v>
      </c>
      <c r="D4057" s="2">
        <v>151179942</v>
      </c>
      <c r="E4057" s="2">
        <v>30909</v>
      </c>
      <c r="F4057">
        <v>63</v>
      </c>
      <c r="G4057" s="2">
        <v>71184530</v>
      </c>
      <c r="H4057" s="2">
        <v>866717</v>
      </c>
      <c r="I4057" s="2">
        <v>617882237</v>
      </c>
      <c r="J4057">
        <v>9</v>
      </c>
      <c r="L4057">
        <v>0</v>
      </c>
      <c r="M4057" t="str">
        <f t="shared" si="63"/>
        <v>After 2020</v>
      </c>
    </row>
    <row r="4058" spans="1:13">
      <c r="A4058" t="s">
        <v>5669</v>
      </c>
      <c r="B4058" t="s">
        <v>5670</v>
      </c>
      <c r="C4058" s="1">
        <v>43619</v>
      </c>
      <c r="D4058" s="2">
        <v>204337911</v>
      </c>
      <c r="E4058" s="2">
        <v>29832</v>
      </c>
      <c r="F4058">
        <v>65</v>
      </c>
      <c r="G4058" s="2">
        <v>640084081</v>
      </c>
      <c r="H4058" s="2">
        <v>3105166</v>
      </c>
      <c r="I4058" s="2">
        <v>157858644</v>
      </c>
      <c r="J4058">
        <v>9</v>
      </c>
      <c r="K4058">
        <v>1</v>
      </c>
      <c r="L4058">
        <v>1</v>
      </c>
      <c r="M4058" t="str">
        <f t="shared" si="63"/>
        <v>2010-2020</v>
      </c>
    </row>
    <row r="4059" spans="1:13" hidden="1">
      <c r="A4059" t="s">
        <v>5671</v>
      </c>
      <c r="B4059" t="s">
        <v>5672</v>
      </c>
      <c r="C4059" s="1">
        <v>43954</v>
      </c>
      <c r="D4059" s="2">
        <v>286057865</v>
      </c>
      <c r="E4059" s="2">
        <v>73783</v>
      </c>
      <c r="F4059">
        <v>67</v>
      </c>
      <c r="G4059" s="2">
        <v>182898963</v>
      </c>
      <c r="H4059" s="2">
        <v>2201213</v>
      </c>
      <c r="I4059" s="2">
        <v>2702536885</v>
      </c>
      <c r="J4059">
        <v>22</v>
      </c>
      <c r="L4059">
        <v>1</v>
      </c>
      <c r="M4059" t="str">
        <f t="shared" si="63"/>
        <v>2010-2020</v>
      </c>
    </row>
    <row r="4060" spans="1:13">
      <c r="A4060" t="s">
        <v>5673</v>
      </c>
      <c r="B4060" t="s">
        <v>258</v>
      </c>
      <c r="C4060" s="1">
        <v>45106</v>
      </c>
      <c r="D4060" s="2">
        <v>147537573</v>
      </c>
      <c r="E4060" s="2">
        <v>17322</v>
      </c>
      <c r="F4060">
        <v>63</v>
      </c>
      <c r="G4060" s="2">
        <v>13918496</v>
      </c>
      <c r="H4060" s="2">
        <v>120215</v>
      </c>
      <c r="I4060" s="2">
        <v>68517237</v>
      </c>
      <c r="J4060">
        <v>46</v>
      </c>
      <c r="K4060">
        <v>317</v>
      </c>
      <c r="L4060">
        <v>0</v>
      </c>
      <c r="M4060" t="str">
        <f t="shared" si="63"/>
        <v>After 2020</v>
      </c>
    </row>
    <row r="4061" spans="1:13" hidden="1">
      <c r="A4061" t="s">
        <v>5674</v>
      </c>
      <c r="B4061" t="s">
        <v>30</v>
      </c>
      <c r="C4061" s="1">
        <v>44006</v>
      </c>
      <c r="D4061" s="2">
        <v>742255774</v>
      </c>
      <c r="E4061" s="2">
        <v>117293</v>
      </c>
      <c r="F4061">
        <v>62</v>
      </c>
      <c r="J4061">
        <v>52</v>
      </c>
      <c r="L4061">
        <v>1</v>
      </c>
      <c r="M4061" t="str">
        <f t="shared" si="63"/>
        <v>2010-2020</v>
      </c>
    </row>
    <row r="4062" spans="1:13">
      <c r="A4062" t="s">
        <v>5675</v>
      </c>
      <c r="B4062" t="s">
        <v>449</v>
      </c>
      <c r="C4062" s="1">
        <v>44844</v>
      </c>
      <c r="D4062" s="2">
        <v>66617153</v>
      </c>
      <c r="E4062" s="2">
        <v>34503</v>
      </c>
      <c r="F4062">
        <v>51</v>
      </c>
      <c r="G4062" s="2">
        <v>29347420</v>
      </c>
      <c r="H4062" s="2">
        <v>343023</v>
      </c>
      <c r="I4062" s="2">
        <v>139786101</v>
      </c>
      <c r="J4062">
        <v>11</v>
      </c>
      <c r="K4062">
        <v>319</v>
      </c>
      <c r="L4062">
        <v>1</v>
      </c>
      <c r="M4062" t="str">
        <f t="shared" si="63"/>
        <v>After 2020</v>
      </c>
    </row>
    <row r="4063" spans="1:13" hidden="1">
      <c r="A4063" t="s">
        <v>5676</v>
      </c>
      <c r="B4063" t="s">
        <v>5677</v>
      </c>
      <c r="C4063" s="1">
        <v>42951</v>
      </c>
      <c r="D4063" s="2">
        <v>398779586</v>
      </c>
      <c r="E4063" s="2">
        <v>38061</v>
      </c>
      <c r="F4063">
        <v>59</v>
      </c>
      <c r="G4063" s="2">
        <v>784193659</v>
      </c>
      <c r="H4063" s="2">
        <v>2659427</v>
      </c>
      <c r="I4063" s="2">
        <v>22158832</v>
      </c>
      <c r="J4063">
        <v>18</v>
      </c>
      <c r="L4063">
        <v>0</v>
      </c>
      <c r="M4063" t="str">
        <f t="shared" si="63"/>
        <v>2010-2020</v>
      </c>
    </row>
    <row r="4064" spans="1:13" hidden="1">
      <c r="A4064" t="s">
        <v>5678</v>
      </c>
      <c r="B4064" t="s">
        <v>5679</v>
      </c>
      <c r="C4064" s="1">
        <v>45254</v>
      </c>
      <c r="D4064" s="2">
        <v>61127558</v>
      </c>
      <c r="E4064" s="2">
        <v>16750</v>
      </c>
      <c r="G4064" s="2">
        <v>6762701</v>
      </c>
      <c r="H4064" s="2">
        <v>61532</v>
      </c>
      <c r="I4064" s="2">
        <v>10188593</v>
      </c>
      <c r="J4064">
        <v>5</v>
      </c>
      <c r="L4064">
        <v>1</v>
      </c>
      <c r="M4064" t="str">
        <f t="shared" si="63"/>
        <v>After 2020</v>
      </c>
    </row>
    <row r="4065" spans="1:13" hidden="1">
      <c r="A4065" t="s">
        <v>5680</v>
      </c>
      <c r="B4065" t="s">
        <v>5681</v>
      </c>
      <c r="C4065" s="1">
        <v>44273</v>
      </c>
      <c r="D4065" s="2">
        <v>123191456</v>
      </c>
      <c r="E4065" s="2">
        <v>30942</v>
      </c>
      <c r="F4065">
        <v>57</v>
      </c>
      <c r="G4065" s="2">
        <v>152552030</v>
      </c>
      <c r="H4065" s="2">
        <v>910614</v>
      </c>
      <c r="I4065" s="2">
        <v>1139849739</v>
      </c>
      <c r="J4065">
        <v>47</v>
      </c>
      <c r="L4065">
        <v>0</v>
      </c>
      <c r="M4065" t="str">
        <f t="shared" si="63"/>
        <v>After 2020</v>
      </c>
    </row>
    <row r="4066" spans="1:13">
      <c r="A4066" t="s">
        <v>5682</v>
      </c>
      <c r="B4066" t="s">
        <v>451</v>
      </c>
      <c r="C4066" s="1">
        <v>44564</v>
      </c>
      <c r="D4066" s="2">
        <v>172657413</v>
      </c>
      <c r="E4066" s="2">
        <v>16436</v>
      </c>
      <c r="F4066">
        <v>54</v>
      </c>
      <c r="G4066" s="2">
        <v>272201730</v>
      </c>
      <c r="H4066" s="2">
        <v>4399092</v>
      </c>
      <c r="I4066" s="2">
        <v>1992357477</v>
      </c>
      <c r="J4066">
        <v>17</v>
      </c>
      <c r="K4066">
        <v>148</v>
      </c>
      <c r="L4066">
        <v>0</v>
      </c>
      <c r="M4066" t="str">
        <f t="shared" si="63"/>
        <v>After 2020</v>
      </c>
    </row>
    <row r="4067" spans="1:13">
      <c r="A4067" t="s">
        <v>5683</v>
      </c>
      <c r="B4067" t="s">
        <v>5684</v>
      </c>
      <c r="C4067" s="1">
        <v>37622</v>
      </c>
      <c r="D4067" s="2">
        <v>1657866786</v>
      </c>
      <c r="E4067" s="2">
        <v>206953</v>
      </c>
      <c r="F4067">
        <v>81</v>
      </c>
      <c r="G4067" s="2">
        <v>339571990</v>
      </c>
      <c r="H4067" s="2">
        <v>4052894</v>
      </c>
      <c r="I4067" s="2">
        <v>1394903550</v>
      </c>
      <c r="J4067">
        <v>275</v>
      </c>
      <c r="K4067">
        <v>124</v>
      </c>
      <c r="L4067">
        <v>0</v>
      </c>
      <c r="M4067" t="str">
        <f t="shared" si="63"/>
        <v>Before 2010</v>
      </c>
    </row>
    <row r="4068" spans="1:13">
      <c r="A4068" t="s">
        <v>5685</v>
      </c>
      <c r="B4068" t="s">
        <v>187</v>
      </c>
      <c r="C4068" s="1">
        <v>44614</v>
      </c>
      <c r="D4068" s="2">
        <v>104411097</v>
      </c>
      <c r="E4068" s="2">
        <v>51535</v>
      </c>
      <c r="F4068">
        <v>54</v>
      </c>
      <c r="G4068" s="2">
        <v>128163786</v>
      </c>
      <c r="H4068" s="2">
        <v>1321268</v>
      </c>
      <c r="I4068" s="2">
        <v>64467510</v>
      </c>
      <c r="J4068">
        <v>19</v>
      </c>
      <c r="K4068">
        <v>320</v>
      </c>
      <c r="L4068">
        <v>1</v>
      </c>
      <c r="M4068" t="str">
        <f t="shared" si="63"/>
        <v>After 2020</v>
      </c>
    </row>
    <row r="4069" spans="1:13">
      <c r="A4069" t="s">
        <v>5686</v>
      </c>
      <c r="B4069" t="s">
        <v>1320</v>
      </c>
      <c r="C4069" s="1">
        <v>45114</v>
      </c>
      <c r="D4069" s="2">
        <v>102643968</v>
      </c>
      <c r="E4069" s="2">
        <v>11419</v>
      </c>
      <c r="F4069">
        <v>59</v>
      </c>
      <c r="G4069" s="2">
        <v>64931319</v>
      </c>
      <c r="H4069" s="2">
        <v>1474575</v>
      </c>
      <c r="I4069" s="2">
        <v>432572281</v>
      </c>
      <c r="J4069">
        <v>7</v>
      </c>
      <c r="K4069">
        <v>360</v>
      </c>
      <c r="L4069">
        <v>0</v>
      </c>
      <c r="M4069" t="str">
        <f t="shared" si="63"/>
        <v>After 2020</v>
      </c>
    </row>
    <row r="4070" spans="1:13" hidden="1">
      <c r="A4070" t="s">
        <v>5687</v>
      </c>
      <c r="B4070" t="s">
        <v>5688</v>
      </c>
      <c r="C4070" s="1">
        <v>45355</v>
      </c>
      <c r="D4070" s="2">
        <v>6740285</v>
      </c>
      <c r="E4070">
        <v>123</v>
      </c>
      <c r="G4070" s="2">
        <v>45885773</v>
      </c>
      <c r="H4070" s="2">
        <v>382184</v>
      </c>
      <c r="L4070">
        <v>0</v>
      </c>
      <c r="M4070" t="str">
        <f t="shared" si="63"/>
        <v>After 2020</v>
      </c>
    </row>
    <row r="4071" spans="1:13" hidden="1">
      <c r="A4071" t="s">
        <v>5689</v>
      </c>
      <c r="B4071" t="s">
        <v>5690</v>
      </c>
      <c r="C4071" s="1">
        <v>45443</v>
      </c>
      <c r="D4071" s="2">
        <v>115283</v>
      </c>
      <c r="E4071">
        <v>17</v>
      </c>
      <c r="G4071" s="2">
        <v>7869218</v>
      </c>
      <c r="H4071" s="2">
        <v>72222</v>
      </c>
      <c r="L4071">
        <v>0</v>
      </c>
      <c r="M4071" t="str">
        <f t="shared" si="63"/>
        <v>After 2020</v>
      </c>
    </row>
    <row r="4072" spans="1:13" hidden="1">
      <c r="A4072" t="s">
        <v>5691</v>
      </c>
      <c r="B4072" t="s">
        <v>5692</v>
      </c>
      <c r="C4072" s="1">
        <v>44260</v>
      </c>
      <c r="D4072" s="2">
        <v>44231951</v>
      </c>
      <c r="E4072" s="2">
        <v>7286</v>
      </c>
      <c r="F4072">
        <v>50</v>
      </c>
      <c r="G4072" s="2">
        <v>549781386</v>
      </c>
      <c r="H4072" s="2">
        <v>5379716</v>
      </c>
      <c r="I4072" s="2">
        <v>29422</v>
      </c>
      <c r="J4072">
        <v>17</v>
      </c>
      <c r="L4072">
        <v>0</v>
      </c>
      <c r="M4072" t="str">
        <f t="shared" si="63"/>
        <v>After 2020</v>
      </c>
    </row>
    <row r="4073" spans="1:13">
      <c r="A4073" t="s">
        <v>5693</v>
      </c>
      <c r="B4073" t="s">
        <v>5694</v>
      </c>
      <c r="C4073" s="1">
        <v>44357</v>
      </c>
      <c r="D4073" s="2">
        <v>225256279</v>
      </c>
      <c r="E4073" s="2">
        <v>53441</v>
      </c>
      <c r="F4073">
        <v>60</v>
      </c>
      <c r="G4073" s="2">
        <v>76742047</v>
      </c>
      <c r="H4073" s="2">
        <v>1632194</v>
      </c>
      <c r="I4073" s="2">
        <v>3664416923</v>
      </c>
      <c r="J4073">
        <v>11</v>
      </c>
      <c r="K4073">
        <v>291</v>
      </c>
      <c r="L4073">
        <v>1</v>
      </c>
      <c r="M4073" t="str">
        <f t="shared" si="63"/>
        <v>After 2020</v>
      </c>
    </row>
    <row r="4074" spans="1:13">
      <c r="A4074" t="s">
        <v>5695</v>
      </c>
      <c r="B4074" t="s">
        <v>912</v>
      </c>
      <c r="C4074" s="1">
        <v>40544</v>
      </c>
      <c r="D4074" s="2">
        <v>699439249</v>
      </c>
      <c r="E4074" s="2">
        <v>120535</v>
      </c>
      <c r="F4074">
        <v>69</v>
      </c>
      <c r="G4074" s="2">
        <v>821028883</v>
      </c>
      <c r="H4074" s="2">
        <v>4207574</v>
      </c>
      <c r="I4074" s="2">
        <v>824607003</v>
      </c>
      <c r="J4074">
        <v>72</v>
      </c>
      <c r="K4074">
        <v>113</v>
      </c>
      <c r="L4074">
        <v>0</v>
      </c>
      <c r="M4074" t="str">
        <f t="shared" si="63"/>
        <v>2010-2020</v>
      </c>
    </row>
    <row r="4075" spans="1:13">
      <c r="A4075" t="s">
        <v>5696</v>
      </c>
      <c r="B4075" t="s">
        <v>187</v>
      </c>
      <c r="C4075" s="1">
        <v>45071</v>
      </c>
      <c r="D4075" s="2">
        <v>25898720</v>
      </c>
      <c r="E4075" s="2">
        <v>17854</v>
      </c>
      <c r="F4075">
        <v>50</v>
      </c>
      <c r="G4075" s="2">
        <v>21808363</v>
      </c>
      <c r="H4075" s="2">
        <v>173005</v>
      </c>
      <c r="I4075" s="2">
        <v>16324229</v>
      </c>
      <c r="J4075">
        <v>30</v>
      </c>
      <c r="K4075">
        <v>4</v>
      </c>
      <c r="L4075">
        <v>1</v>
      </c>
      <c r="M4075" t="str">
        <f t="shared" si="63"/>
        <v>After 2020</v>
      </c>
    </row>
    <row r="4076" spans="1:13" hidden="1">
      <c r="A4076">
        <v>22</v>
      </c>
      <c r="B4076" t="s">
        <v>5697</v>
      </c>
      <c r="C4076" s="1">
        <v>44979</v>
      </c>
      <c r="D4076" s="2">
        <v>87001628</v>
      </c>
      <c r="E4076" s="2">
        <v>30898</v>
      </c>
      <c r="F4076">
        <v>62</v>
      </c>
      <c r="G4076" s="2">
        <v>20680259</v>
      </c>
      <c r="H4076" s="2">
        <v>263409</v>
      </c>
      <c r="I4076" s="2">
        <v>566961428</v>
      </c>
      <c r="J4076">
        <v>25</v>
      </c>
      <c r="L4076">
        <v>1</v>
      </c>
      <c r="M4076" t="str">
        <f t="shared" si="63"/>
        <v>After 2020</v>
      </c>
    </row>
    <row r="4077" spans="1:13">
      <c r="A4077" t="s">
        <v>5698</v>
      </c>
      <c r="B4077" t="s">
        <v>4827</v>
      </c>
      <c r="C4077" s="1">
        <v>44505</v>
      </c>
      <c r="D4077" s="2">
        <v>265040914</v>
      </c>
      <c r="E4077" s="2">
        <v>45783</v>
      </c>
      <c r="F4077">
        <v>69</v>
      </c>
      <c r="G4077" s="2">
        <v>103282847</v>
      </c>
      <c r="H4077" s="2">
        <v>1061969</v>
      </c>
      <c r="I4077" s="2">
        <v>131770714</v>
      </c>
      <c r="J4077">
        <v>47</v>
      </c>
      <c r="K4077">
        <v>393</v>
      </c>
      <c r="L4077">
        <v>1</v>
      </c>
      <c r="M4077" t="str">
        <f t="shared" si="63"/>
        <v>After 2020</v>
      </c>
    </row>
    <row r="4078" spans="1:13" hidden="1">
      <c r="A4078" t="s">
        <v>5699</v>
      </c>
      <c r="B4078" t="s">
        <v>59</v>
      </c>
      <c r="C4078" s="1">
        <v>43721</v>
      </c>
      <c r="D4078" s="2">
        <v>387094388</v>
      </c>
      <c r="E4078" s="2">
        <v>61560</v>
      </c>
      <c r="F4078">
        <v>70</v>
      </c>
      <c r="G4078" s="2">
        <v>439612099</v>
      </c>
      <c r="H4078" s="2">
        <v>2226916</v>
      </c>
      <c r="I4078" s="2">
        <v>81826396</v>
      </c>
      <c r="J4078">
        <v>16</v>
      </c>
      <c r="L4078">
        <v>1</v>
      </c>
      <c r="M4078" t="str">
        <f t="shared" si="63"/>
        <v>2010-2020</v>
      </c>
    </row>
    <row r="4079" spans="1:13" hidden="1">
      <c r="A4079" t="s">
        <v>5700</v>
      </c>
      <c r="B4079" t="s">
        <v>807</v>
      </c>
      <c r="C4079" s="1">
        <v>43292</v>
      </c>
      <c r="D4079" s="2">
        <v>315997441</v>
      </c>
      <c r="E4079" s="2">
        <v>104490</v>
      </c>
      <c r="F4079">
        <v>65</v>
      </c>
      <c r="G4079" s="2">
        <v>392128653</v>
      </c>
      <c r="H4079" s="2">
        <v>3960133</v>
      </c>
      <c r="I4079" s="2">
        <v>54727766</v>
      </c>
      <c r="J4079">
        <v>63</v>
      </c>
      <c r="L4079">
        <v>0</v>
      </c>
      <c r="M4079" t="str">
        <f t="shared" si="63"/>
        <v>2010-2020</v>
      </c>
    </row>
    <row r="4080" spans="1:13" hidden="1">
      <c r="A4080" t="s">
        <v>5701</v>
      </c>
      <c r="B4080" t="s">
        <v>101</v>
      </c>
      <c r="C4080" s="1">
        <v>44148</v>
      </c>
      <c r="D4080" s="2">
        <v>419557907</v>
      </c>
      <c r="E4080" s="2">
        <v>58857</v>
      </c>
      <c r="F4080">
        <v>64</v>
      </c>
      <c r="G4080" s="2">
        <v>60022490</v>
      </c>
      <c r="H4080" s="2">
        <v>600320</v>
      </c>
      <c r="I4080" s="2">
        <v>1034246968</v>
      </c>
      <c r="J4080">
        <v>121</v>
      </c>
      <c r="L4080">
        <v>0</v>
      </c>
      <c r="M4080" t="str">
        <f t="shared" si="63"/>
        <v>2010-2020</v>
      </c>
    </row>
    <row r="4081" spans="1:13" hidden="1">
      <c r="A4081" t="s">
        <v>5702</v>
      </c>
      <c r="B4081" t="s">
        <v>362</v>
      </c>
      <c r="C4081" s="1">
        <v>42144</v>
      </c>
      <c r="D4081" s="2">
        <v>1281704427</v>
      </c>
      <c r="E4081" s="2">
        <v>1277</v>
      </c>
      <c r="F4081">
        <v>37</v>
      </c>
      <c r="G4081" s="2">
        <v>506308579</v>
      </c>
      <c r="H4081" s="2">
        <v>3063149</v>
      </c>
      <c r="J4081">
        <v>47</v>
      </c>
      <c r="L4081">
        <v>0</v>
      </c>
      <c r="M4081" t="str">
        <f t="shared" si="63"/>
        <v>2010-2020</v>
      </c>
    </row>
    <row r="4082" spans="1:13" hidden="1">
      <c r="A4082" t="s">
        <v>5703</v>
      </c>
      <c r="B4082" t="s">
        <v>5704</v>
      </c>
      <c r="C4082" s="1">
        <v>41640</v>
      </c>
      <c r="D4082" s="2">
        <v>732651478</v>
      </c>
      <c r="E4082" s="2">
        <v>76941</v>
      </c>
      <c r="F4082">
        <v>65</v>
      </c>
      <c r="G4082" s="2">
        <v>511428536</v>
      </c>
      <c r="H4082" s="2">
        <v>5924267</v>
      </c>
      <c r="I4082" s="2">
        <v>663477196</v>
      </c>
      <c r="J4082">
        <v>37</v>
      </c>
      <c r="L4082">
        <v>0</v>
      </c>
      <c r="M4082" t="str">
        <f t="shared" si="63"/>
        <v>2010-2020</v>
      </c>
    </row>
    <row r="4083" spans="1:13">
      <c r="A4083" t="s">
        <v>5705</v>
      </c>
      <c r="B4083" t="s">
        <v>981</v>
      </c>
      <c r="C4083" s="1">
        <v>41666</v>
      </c>
      <c r="D4083" s="2">
        <v>308811426</v>
      </c>
      <c r="E4083" s="2">
        <v>35237</v>
      </c>
      <c r="F4083">
        <v>61</v>
      </c>
      <c r="G4083" s="2">
        <v>1182676666</v>
      </c>
      <c r="H4083" s="2">
        <v>3048769</v>
      </c>
      <c r="I4083" s="2">
        <v>24662350</v>
      </c>
      <c r="J4083">
        <v>46</v>
      </c>
      <c r="K4083">
        <v>89</v>
      </c>
      <c r="L4083">
        <v>0</v>
      </c>
      <c r="M4083" t="str">
        <f t="shared" si="63"/>
        <v>2010-2020</v>
      </c>
    </row>
    <row r="4084" spans="1:13" hidden="1">
      <c r="A4084" t="s">
        <v>5706</v>
      </c>
      <c r="B4084" t="s">
        <v>1046</v>
      </c>
      <c r="C4084" s="1">
        <v>44729</v>
      </c>
      <c r="D4084" s="2">
        <v>120404381</v>
      </c>
      <c r="E4084" s="2">
        <v>17334</v>
      </c>
      <c r="F4084">
        <v>54</v>
      </c>
      <c r="G4084" s="2">
        <v>217520607</v>
      </c>
      <c r="H4084" s="2">
        <v>1240522</v>
      </c>
      <c r="J4084">
        <v>17</v>
      </c>
      <c r="K4084">
        <v>189</v>
      </c>
      <c r="L4084">
        <v>0</v>
      </c>
      <c r="M4084" t="str">
        <f t="shared" si="63"/>
        <v>After 2020</v>
      </c>
    </row>
    <row r="4085" spans="1:13" hidden="1">
      <c r="A4085" t="s">
        <v>5707</v>
      </c>
      <c r="B4085" t="s">
        <v>5708</v>
      </c>
      <c r="C4085" s="1">
        <v>44893</v>
      </c>
      <c r="D4085" s="2">
        <v>740008</v>
      </c>
      <c r="E4085">
        <v>335</v>
      </c>
      <c r="F4085">
        <v>34</v>
      </c>
      <c r="G4085" s="2">
        <v>22163251</v>
      </c>
      <c r="H4085" s="2">
        <v>83415</v>
      </c>
      <c r="I4085" s="2">
        <v>81729317</v>
      </c>
      <c r="J4085">
        <v>1</v>
      </c>
      <c r="L4085">
        <v>0</v>
      </c>
      <c r="M4085" t="str">
        <f t="shared" si="63"/>
        <v>After 2020</v>
      </c>
    </row>
    <row r="4086" spans="1:13" hidden="1">
      <c r="A4086" t="s">
        <v>5709</v>
      </c>
      <c r="B4086" t="s">
        <v>506</v>
      </c>
      <c r="C4086" s="1">
        <v>45260</v>
      </c>
      <c r="D4086" s="2">
        <v>125938742</v>
      </c>
      <c r="E4086" s="2">
        <v>6042</v>
      </c>
      <c r="G4086" s="2">
        <v>44462722</v>
      </c>
      <c r="H4086" s="2">
        <v>287551</v>
      </c>
      <c r="J4086">
        <v>5</v>
      </c>
      <c r="L4086">
        <v>0</v>
      </c>
      <c r="M4086" t="str">
        <f t="shared" si="63"/>
        <v>After 2020</v>
      </c>
    </row>
    <row r="4087" spans="1:13" hidden="1">
      <c r="A4087" t="s">
        <v>5710</v>
      </c>
      <c r="B4087" t="s">
        <v>5711</v>
      </c>
      <c r="C4087" s="1">
        <v>45338</v>
      </c>
      <c r="D4087" s="2">
        <v>52585215</v>
      </c>
      <c r="E4087" s="2">
        <v>5947</v>
      </c>
      <c r="F4087">
        <v>71</v>
      </c>
      <c r="G4087" s="2">
        <v>17820860</v>
      </c>
      <c r="H4087" s="2">
        <v>131403</v>
      </c>
      <c r="J4087">
        <v>9</v>
      </c>
      <c r="L4087">
        <v>0</v>
      </c>
      <c r="M4087" t="str">
        <f t="shared" si="63"/>
        <v>After 2020</v>
      </c>
    </row>
    <row r="4088" spans="1:13" hidden="1">
      <c r="A4088" t="s">
        <v>5712</v>
      </c>
      <c r="B4088" t="s">
        <v>2042</v>
      </c>
      <c r="C4088" s="1">
        <v>45407</v>
      </c>
      <c r="D4088" s="2">
        <v>19104053</v>
      </c>
      <c r="E4088" s="2">
        <v>2466</v>
      </c>
      <c r="F4088">
        <v>72</v>
      </c>
      <c r="G4088" s="2">
        <v>7306812</v>
      </c>
      <c r="H4088" s="2">
        <v>69075</v>
      </c>
      <c r="J4088">
        <v>11</v>
      </c>
      <c r="L4088">
        <v>1</v>
      </c>
      <c r="M4088" t="str">
        <f t="shared" si="63"/>
        <v>After 2020</v>
      </c>
    </row>
    <row r="4089" spans="1:13" hidden="1">
      <c r="A4089" t="s">
        <v>5713</v>
      </c>
      <c r="B4089" t="s">
        <v>422</v>
      </c>
      <c r="C4089" s="1">
        <v>44974</v>
      </c>
      <c r="D4089" s="2">
        <v>11923405</v>
      </c>
      <c r="E4089" s="2">
        <v>2423</v>
      </c>
      <c r="F4089">
        <v>41</v>
      </c>
      <c r="I4089" s="2">
        <v>527232531</v>
      </c>
      <c r="J4089">
        <v>1</v>
      </c>
      <c r="L4089">
        <v>0</v>
      </c>
      <c r="M4089" t="str">
        <f t="shared" si="63"/>
        <v>After 2020</v>
      </c>
    </row>
    <row r="4090" spans="1:13" hidden="1">
      <c r="A4090" t="s">
        <v>5714</v>
      </c>
      <c r="B4090" t="s">
        <v>53</v>
      </c>
      <c r="C4090" s="1">
        <v>45394</v>
      </c>
      <c r="D4090" s="2">
        <v>19420471</v>
      </c>
      <c r="E4090" s="2">
        <v>5261</v>
      </c>
      <c r="G4090" s="2">
        <v>2121380</v>
      </c>
      <c r="H4090" s="2">
        <v>35442</v>
      </c>
      <c r="J4090">
        <v>1</v>
      </c>
      <c r="L4090">
        <v>1</v>
      </c>
      <c r="M4090" t="str">
        <f t="shared" si="63"/>
        <v>After 2020</v>
      </c>
    </row>
    <row r="4091" spans="1:13">
      <c r="A4091" t="s">
        <v>5715</v>
      </c>
      <c r="B4091" t="s">
        <v>531</v>
      </c>
      <c r="C4091" s="1">
        <v>44435</v>
      </c>
      <c r="D4091" s="2">
        <v>318061543</v>
      </c>
      <c r="E4091" s="2">
        <v>75726</v>
      </c>
      <c r="F4091">
        <v>73</v>
      </c>
      <c r="G4091" s="2">
        <v>44097619</v>
      </c>
      <c r="H4091" s="2">
        <v>664394</v>
      </c>
      <c r="I4091" s="2">
        <v>300555534</v>
      </c>
      <c r="J4091">
        <v>4</v>
      </c>
      <c r="K4091">
        <v>11</v>
      </c>
      <c r="L4091">
        <v>0</v>
      </c>
      <c r="M4091" t="str">
        <f t="shared" si="63"/>
        <v>After 2020</v>
      </c>
    </row>
    <row r="4092" spans="1:13" hidden="1">
      <c r="A4092" t="s">
        <v>2048</v>
      </c>
      <c r="B4092" t="s">
        <v>184</v>
      </c>
      <c r="C4092" s="1">
        <v>40731</v>
      </c>
      <c r="E4092">
        <v>39</v>
      </c>
      <c r="G4092" s="2">
        <v>2403713406</v>
      </c>
      <c r="H4092" s="2">
        <v>11349859</v>
      </c>
      <c r="L4092">
        <v>0</v>
      </c>
      <c r="M4092" t="str">
        <f t="shared" si="63"/>
        <v>2010-2020</v>
      </c>
    </row>
    <row r="4093" spans="1:13" hidden="1">
      <c r="A4093" t="s">
        <v>5716</v>
      </c>
      <c r="B4093" t="s">
        <v>676</v>
      </c>
      <c r="C4093" s="1">
        <v>45219</v>
      </c>
      <c r="D4093" s="2">
        <v>58594676</v>
      </c>
      <c r="E4093" s="2">
        <v>4863</v>
      </c>
      <c r="G4093" s="2">
        <v>51423861</v>
      </c>
      <c r="H4093" s="2">
        <v>642905</v>
      </c>
      <c r="I4093" s="2">
        <v>539493388</v>
      </c>
      <c r="J4093">
        <v>16</v>
      </c>
      <c r="L4093">
        <v>0</v>
      </c>
      <c r="M4093" t="str">
        <f t="shared" si="63"/>
        <v>After 2020</v>
      </c>
    </row>
    <row r="4094" spans="1:13" hidden="1">
      <c r="A4094" t="s">
        <v>5717</v>
      </c>
      <c r="B4094" t="s">
        <v>1905</v>
      </c>
      <c r="C4094" s="1">
        <v>45110</v>
      </c>
      <c r="D4094" s="2">
        <v>45306335</v>
      </c>
      <c r="E4094" s="2">
        <v>1868</v>
      </c>
      <c r="F4094">
        <v>54</v>
      </c>
      <c r="G4094" s="2">
        <v>147259041</v>
      </c>
      <c r="H4094" s="2">
        <v>1596909</v>
      </c>
      <c r="I4094" s="2">
        <v>42269499</v>
      </c>
      <c r="L4094">
        <v>0</v>
      </c>
      <c r="M4094" t="str">
        <f t="shared" si="63"/>
        <v>After 2020</v>
      </c>
    </row>
    <row r="4095" spans="1:13" hidden="1">
      <c r="A4095" t="s">
        <v>5718</v>
      </c>
      <c r="B4095" t="s">
        <v>295</v>
      </c>
      <c r="C4095" s="1">
        <v>45205</v>
      </c>
      <c r="D4095" s="2">
        <v>64168685</v>
      </c>
      <c r="E4095" s="2">
        <v>21270</v>
      </c>
      <c r="G4095" s="2">
        <v>8485348</v>
      </c>
      <c r="H4095" s="2">
        <v>63704</v>
      </c>
      <c r="I4095" s="2">
        <v>11535</v>
      </c>
      <c r="J4095">
        <v>6</v>
      </c>
      <c r="L4095">
        <v>1</v>
      </c>
      <c r="M4095" t="str">
        <f t="shared" si="63"/>
        <v>After 2020</v>
      </c>
    </row>
    <row r="4096" spans="1:13">
      <c r="A4096" t="s">
        <v>5719</v>
      </c>
      <c r="B4096" t="s">
        <v>5720</v>
      </c>
      <c r="C4096" s="1">
        <v>43112</v>
      </c>
      <c r="D4096" s="2">
        <v>597167984</v>
      </c>
      <c r="E4096" s="2">
        <v>106817</v>
      </c>
      <c r="F4096">
        <v>65</v>
      </c>
      <c r="G4096" s="2">
        <v>229946161</v>
      </c>
      <c r="H4096" s="2">
        <v>2833259</v>
      </c>
      <c r="I4096" s="2">
        <v>1101118641</v>
      </c>
      <c r="J4096">
        <v>84</v>
      </c>
      <c r="K4096">
        <v>38</v>
      </c>
      <c r="L4096">
        <v>1</v>
      </c>
      <c r="M4096" t="str">
        <f t="shared" si="63"/>
        <v>2010-2020</v>
      </c>
    </row>
    <row r="4097" spans="1:13" hidden="1">
      <c r="A4097" t="s">
        <v>5721</v>
      </c>
      <c r="B4097" t="s">
        <v>1460</v>
      </c>
      <c r="C4097" s="1">
        <v>43329</v>
      </c>
      <c r="D4097" s="2">
        <v>2574126</v>
      </c>
      <c r="E4097">
        <v>400</v>
      </c>
      <c r="F4097">
        <v>27</v>
      </c>
      <c r="G4097" s="2">
        <v>1033803791</v>
      </c>
      <c r="H4097" s="2">
        <v>4709012</v>
      </c>
      <c r="I4097" s="2">
        <v>2785871</v>
      </c>
      <c r="J4097">
        <v>4</v>
      </c>
      <c r="L4097">
        <v>0</v>
      </c>
      <c r="M4097" t="str">
        <f t="shared" si="63"/>
        <v>2010-2020</v>
      </c>
    </row>
    <row r="4098" spans="1:13" hidden="1">
      <c r="A4098" t="s">
        <v>5722</v>
      </c>
      <c r="B4098" t="s">
        <v>920</v>
      </c>
      <c r="C4098" s="1">
        <v>45205</v>
      </c>
      <c r="D4098" s="2">
        <v>58048453</v>
      </c>
      <c r="E4098" s="2">
        <v>6562</v>
      </c>
      <c r="G4098" s="2">
        <v>67978137</v>
      </c>
      <c r="H4098" s="2">
        <v>688436</v>
      </c>
      <c r="I4098" s="2">
        <v>51771253</v>
      </c>
      <c r="J4098">
        <v>9</v>
      </c>
      <c r="L4098">
        <v>0</v>
      </c>
      <c r="M4098" t="str">
        <f t="shared" si="63"/>
        <v>After 2020</v>
      </c>
    </row>
    <row r="4099" spans="1:13">
      <c r="A4099" t="s">
        <v>5723</v>
      </c>
      <c r="B4099" t="s">
        <v>688</v>
      </c>
      <c r="C4099" s="1">
        <v>44946</v>
      </c>
      <c r="D4099" s="2">
        <v>166942258</v>
      </c>
      <c r="E4099" s="2">
        <v>24993</v>
      </c>
      <c r="F4099">
        <v>71</v>
      </c>
      <c r="G4099" s="2">
        <v>23143608</v>
      </c>
      <c r="H4099" s="2">
        <v>205874</v>
      </c>
      <c r="I4099" s="2">
        <v>39481015</v>
      </c>
      <c r="J4099">
        <v>26</v>
      </c>
      <c r="K4099">
        <v>17</v>
      </c>
      <c r="L4099">
        <v>0</v>
      </c>
      <c r="M4099" t="str">
        <f t="shared" ref="M4099:M4162" si="64">IF(YEAR(C4099)&lt;2010,"Before 2010",IF(YEAR(C4099)&lt;=2020,"2010-2020","After 2020"))</f>
        <v>After 2020</v>
      </c>
    </row>
    <row r="4100" spans="1:13" hidden="1">
      <c r="A4100" t="s">
        <v>5724</v>
      </c>
      <c r="B4100" t="s">
        <v>355</v>
      </c>
      <c r="C4100" s="1">
        <v>44015</v>
      </c>
      <c r="D4100" s="2">
        <v>234889039</v>
      </c>
      <c r="E4100" s="2">
        <v>106769</v>
      </c>
      <c r="F4100">
        <v>62</v>
      </c>
      <c r="G4100" s="2">
        <v>121584355</v>
      </c>
      <c r="H4100" s="2">
        <v>1028988</v>
      </c>
      <c r="I4100" s="2">
        <v>118304933</v>
      </c>
      <c r="J4100">
        <v>12</v>
      </c>
      <c r="L4100">
        <v>1</v>
      </c>
      <c r="M4100" t="str">
        <f t="shared" si="64"/>
        <v>2010-2020</v>
      </c>
    </row>
    <row r="4101" spans="1:13">
      <c r="A4101" t="s">
        <v>5725</v>
      </c>
      <c r="B4101" t="s">
        <v>295</v>
      </c>
      <c r="C4101" s="1">
        <v>42489</v>
      </c>
      <c r="D4101" s="2">
        <v>1052473730</v>
      </c>
      <c r="E4101" s="2">
        <v>126251</v>
      </c>
      <c r="F4101">
        <v>68</v>
      </c>
      <c r="G4101" s="2">
        <v>10990620</v>
      </c>
      <c r="H4101" s="2">
        <v>127032</v>
      </c>
      <c r="I4101" s="2">
        <v>308797315</v>
      </c>
      <c r="J4101">
        <v>176</v>
      </c>
      <c r="K4101">
        <v>1</v>
      </c>
      <c r="L4101">
        <v>1</v>
      </c>
      <c r="M4101" t="str">
        <f t="shared" si="64"/>
        <v>2010-2020</v>
      </c>
    </row>
    <row r="4102" spans="1:13">
      <c r="A4102" t="s">
        <v>1236</v>
      </c>
      <c r="B4102" t="s">
        <v>1534</v>
      </c>
      <c r="C4102" s="1">
        <v>44782</v>
      </c>
      <c r="D4102" s="2">
        <v>64562541</v>
      </c>
      <c r="E4102" s="2">
        <v>14704</v>
      </c>
      <c r="F4102">
        <v>55</v>
      </c>
      <c r="G4102" s="2">
        <v>63051891</v>
      </c>
      <c r="H4102" s="2">
        <v>588504</v>
      </c>
      <c r="I4102" s="2">
        <v>38123007</v>
      </c>
      <c r="J4102">
        <v>11</v>
      </c>
      <c r="K4102">
        <v>181</v>
      </c>
      <c r="L4102">
        <v>1</v>
      </c>
      <c r="M4102" t="str">
        <f t="shared" si="64"/>
        <v>After 2020</v>
      </c>
    </row>
    <row r="4103" spans="1:13" hidden="1">
      <c r="A4103" t="s">
        <v>5726</v>
      </c>
      <c r="B4103" t="s">
        <v>3204</v>
      </c>
      <c r="C4103" s="1">
        <v>45443</v>
      </c>
      <c r="D4103" s="2">
        <v>173242</v>
      </c>
      <c r="E4103">
        <v>19</v>
      </c>
      <c r="G4103" s="2">
        <v>7618257</v>
      </c>
      <c r="H4103" s="2">
        <v>63190</v>
      </c>
      <c r="L4103">
        <v>0</v>
      </c>
      <c r="M4103" t="str">
        <f t="shared" si="64"/>
        <v>After 2020</v>
      </c>
    </row>
    <row r="4104" spans="1:13">
      <c r="A4104" t="s">
        <v>5727</v>
      </c>
      <c r="B4104" t="s">
        <v>43</v>
      </c>
      <c r="C4104" s="1">
        <v>44847</v>
      </c>
      <c r="D4104" s="2">
        <v>130784398</v>
      </c>
      <c r="E4104" s="2">
        <v>51124</v>
      </c>
      <c r="F4104">
        <v>62</v>
      </c>
      <c r="G4104" s="2">
        <v>36578844</v>
      </c>
      <c r="H4104" s="2">
        <v>497282</v>
      </c>
      <c r="I4104" s="2">
        <v>32710454</v>
      </c>
      <c r="J4104">
        <v>10</v>
      </c>
      <c r="K4104">
        <v>484</v>
      </c>
      <c r="L4104">
        <v>0</v>
      </c>
      <c r="M4104" t="str">
        <f t="shared" si="64"/>
        <v>After 2020</v>
      </c>
    </row>
    <row r="4105" spans="1:13">
      <c r="A4105" t="s">
        <v>5728</v>
      </c>
      <c r="B4105" t="s">
        <v>1064</v>
      </c>
      <c r="C4105" s="1">
        <v>41938</v>
      </c>
      <c r="D4105" s="2">
        <v>703008289</v>
      </c>
      <c r="E4105" s="2">
        <v>107737</v>
      </c>
      <c r="F4105">
        <v>65</v>
      </c>
      <c r="G4105" s="2">
        <v>676519290</v>
      </c>
      <c r="H4105" s="2">
        <v>8302787</v>
      </c>
      <c r="I4105" s="2">
        <v>1202118262</v>
      </c>
      <c r="J4105">
        <v>13</v>
      </c>
      <c r="K4105">
        <v>4</v>
      </c>
      <c r="L4105">
        <v>1</v>
      </c>
      <c r="M4105" t="str">
        <f t="shared" si="64"/>
        <v>2010-2020</v>
      </c>
    </row>
    <row r="4106" spans="1:13" hidden="1">
      <c r="A4106" t="s">
        <v>5729</v>
      </c>
      <c r="B4106" t="s">
        <v>1590</v>
      </c>
      <c r="C4106" s="1">
        <v>44776</v>
      </c>
      <c r="D4106" s="2">
        <v>8761</v>
      </c>
      <c r="E4106">
        <v>12</v>
      </c>
      <c r="G4106" s="2">
        <v>30515</v>
      </c>
      <c r="H4106">
        <v>811</v>
      </c>
      <c r="I4106" s="2">
        <v>290930740</v>
      </c>
      <c r="L4106">
        <v>0</v>
      </c>
      <c r="M4106" t="str">
        <f t="shared" si="64"/>
        <v>After 2020</v>
      </c>
    </row>
    <row r="4107" spans="1:13" hidden="1">
      <c r="A4107" t="s">
        <v>5730</v>
      </c>
      <c r="B4107" t="s">
        <v>739</v>
      </c>
      <c r="C4107" s="1">
        <v>45167</v>
      </c>
      <c r="D4107" s="2">
        <v>46879854</v>
      </c>
      <c r="E4107" s="2">
        <v>2866</v>
      </c>
      <c r="G4107" s="2">
        <v>122041931</v>
      </c>
      <c r="H4107" s="2">
        <v>1323316</v>
      </c>
      <c r="J4107">
        <v>6</v>
      </c>
      <c r="L4107">
        <v>0</v>
      </c>
      <c r="M4107" t="str">
        <f t="shared" si="64"/>
        <v>After 2020</v>
      </c>
    </row>
    <row r="4108" spans="1:13" hidden="1">
      <c r="A4108" t="s">
        <v>5731</v>
      </c>
      <c r="B4108" t="s">
        <v>2321</v>
      </c>
      <c r="C4108" s="1">
        <v>45401</v>
      </c>
      <c r="D4108" s="2">
        <v>28870396</v>
      </c>
      <c r="E4108" s="2">
        <v>4298</v>
      </c>
      <c r="F4108">
        <v>78</v>
      </c>
      <c r="G4108" s="2">
        <v>2640169</v>
      </c>
      <c r="H4108" s="2">
        <v>75740</v>
      </c>
      <c r="J4108">
        <v>2</v>
      </c>
      <c r="K4108">
        <v>103</v>
      </c>
      <c r="L4108">
        <v>1</v>
      </c>
      <c r="M4108" t="str">
        <f t="shared" si="64"/>
        <v>After 2020</v>
      </c>
    </row>
    <row r="4109" spans="1:13">
      <c r="A4109" t="s">
        <v>5732</v>
      </c>
      <c r="B4109" t="s">
        <v>912</v>
      </c>
      <c r="C4109" s="1">
        <v>40179</v>
      </c>
      <c r="D4109" s="2">
        <v>1085436198</v>
      </c>
      <c r="E4109" s="2">
        <v>192284</v>
      </c>
      <c r="F4109">
        <v>78</v>
      </c>
      <c r="G4109" s="2">
        <v>162454294</v>
      </c>
      <c r="H4109" s="2">
        <v>1193141</v>
      </c>
      <c r="I4109" s="2">
        <v>1513290</v>
      </c>
      <c r="J4109">
        <v>113</v>
      </c>
      <c r="K4109">
        <v>212</v>
      </c>
      <c r="L4109">
        <v>0</v>
      </c>
      <c r="M4109" t="str">
        <f t="shared" si="64"/>
        <v>2010-2020</v>
      </c>
    </row>
    <row r="4110" spans="1:13">
      <c r="A4110" t="s">
        <v>5733</v>
      </c>
      <c r="B4110" t="s">
        <v>1174</v>
      </c>
      <c r="C4110" s="1">
        <v>43210</v>
      </c>
      <c r="D4110" s="2">
        <v>623201391</v>
      </c>
      <c r="E4110" s="2">
        <v>89059</v>
      </c>
      <c r="F4110">
        <v>63</v>
      </c>
      <c r="G4110" s="2">
        <v>221457313</v>
      </c>
      <c r="H4110" s="2">
        <v>1349006</v>
      </c>
      <c r="I4110" s="2">
        <v>10583591</v>
      </c>
      <c r="J4110">
        <v>57</v>
      </c>
      <c r="K4110">
        <v>11</v>
      </c>
      <c r="L4110">
        <v>1</v>
      </c>
      <c r="M4110" t="str">
        <f t="shared" si="64"/>
        <v>2010-2020</v>
      </c>
    </row>
    <row r="4111" spans="1:13" hidden="1">
      <c r="A4111" t="s">
        <v>5734</v>
      </c>
      <c r="B4111" t="s">
        <v>1794</v>
      </c>
      <c r="C4111" s="1">
        <v>43788</v>
      </c>
      <c r="D4111" s="2">
        <v>238027193</v>
      </c>
      <c r="E4111" s="2">
        <v>60128</v>
      </c>
      <c r="F4111">
        <v>4</v>
      </c>
      <c r="G4111" s="2">
        <v>79782493</v>
      </c>
      <c r="H4111" s="2">
        <v>1147086</v>
      </c>
      <c r="I4111" s="2">
        <v>13194733</v>
      </c>
      <c r="J4111">
        <v>16</v>
      </c>
      <c r="L4111">
        <v>1</v>
      </c>
      <c r="M4111" t="str">
        <f t="shared" si="64"/>
        <v>2010-2020</v>
      </c>
    </row>
    <row r="4112" spans="1:13" hidden="1">
      <c r="A4112" t="s">
        <v>5735</v>
      </c>
      <c r="B4112" t="s">
        <v>5736</v>
      </c>
      <c r="C4112" s="1">
        <v>45002</v>
      </c>
      <c r="D4112" s="2">
        <v>37199</v>
      </c>
      <c r="E4112">
        <v>138</v>
      </c>
      <c r="F4112">
        <v>11</v>
      </c>
      <c r="G4112" s="2">
        <v>223830750</v>
      </c>
      <c r="H4112" s="2">
        <v>451451</v>
      </c>
      <c r="L4112">
        <v>0</v>
      </c>
      <c r="M4112" t="str">
        <f t="shared" si="64"/>
        <v>After 2020</v>
      </c>
    </row>
    <row r="4113" spans="1:13">
      <c r="A4113" t="s">
        <v>5737</v>
      </c>
      <c r="B4113" t="s">
        <v>148</v>
      </c>
      <c r="C4113" s="1">
        <v>44078</v>
      </c>
      <c r="D4113" s="2">
        <v>254979267</v>
      </c>
      <c r="E4113" s="2">
        <v>50550</v>
      </c>
      <c r="F4113">
        <v>63</v>
      </c>
      <c r="G4113" s="2">
        <v>234785367</v>
      </c>
      <c r="H4113" s="2">
        <v>2333652</v>
      </c>
      <c r="I4113" s="2">
        <v>76024269</v>
      </c>
      <c r="J4113">
        <v>86</v>
      </c>
      <c r="K4113">
        <v>19</v>
      </c>
      <c r="L4113">
        <v>1</v>
      </c>
      <c r="M4113" t="str">
        <f t="shared" si="64"/>
        <v>2010-2020</v>
      </c>
    </row>
    <row r="4114" spans="1:13" hidden="1">
      <c r="A4114" t="s">
        <v>5738</v>
      </c>
      <c r="B4114" t="s">
        <v>1260</v>
      </c>
      <c r="C4114" s="1">
        <v>45250</v>
      </c>
      <c r="D4114" s="2">
        <v>37831332</v>
      </c>
      <c r="E4114" s="2">
        <v>2880</v>
      </c>
      <c r="G4114" s="2">
        <v>60890936</v>
      </c>
      <c r="H4114" s="2">
        <v>243887</v>
      </c>
      <c r="I4114" s="2">
        <v>13570678</v>
      </c>
      <c r="J4114">
        <v>9</v>
      </c>
      <c r="K4114">
        <v>3</v>
      </c>
      <c r="L4114">
        <v>0</v>
      </c>
      <c r="M4114" t="str">
        <f t="shared" si="64"/>
        <v>After 2020</v>
      </c>
    </row>
    <row r="4115" spans="1:13" hidden="1">
      <c r="A4115" t="s">
        <v>5739</v>
      </c>
      <c r="B4115" t="s">
        <v>3355</v>
      </c>
      <c r="C4115" s="1">
        <v>44862</v>
      </c>
      <c r="E4115">
        <v>3</v>
      </c>
      <c r="G4115" s="2">
        <v>294039774</v>
      </c>
      <c r="H4115" s="2">
        <v>440593</v>
      </c>
      <c r="I4115" s="2">
        <v>1606012</v>
      </c>
      <c r="L4115">
        <v>0</v>
      </c>
      <c r="M4115" t="str">
        <f t="shared" si="64"/>
        <v>After 2020</v>
      </c>
    </row>
    <row r="4116" spans="1:13" hidden="1">
      <c r="A4116" t="s">
        <v>5740</v>
      </c>
      <c r="B4116" t="s">
        <v>5741</v>
      </c>
      <c r="C4116" s="1">
        <v>44881</v>
      </c>
      <c r="D4116" s="2">
        <v>152564352</v>
      </c>
      <c r="E4116" s="2">
        <v>10841</v>
      </c>
      <c r="F4116">
        <v>65</v>
      </c>
      <c r="G4116" s="2">
        <v>179053648</v>
      </c>
      <c r="H4116" s="2">
        <v>1433419</v>
      </c>
      <c r="I4116" s="2">
        <v>34263765</v>
      </c>
      <c r="J4116">
        <v>10</v>
      </c>
      <c r="L4116">
        <v>0</v>
      </c>
      <c r="M4116" t="str">
        <f t="shared" si="64"/>
        <v>After 2020</v>
      </c>
    </row>
    <row r="4117" spans="1:13">
      <c r="A4117" t="s">
        <v>5742</v>
      </c>
      <c r="B4117" t="s">
        <v>2991</v>
      </c>
      <c r="C4117" s="1">
        <v>45050</v>
      </c>
      <c r="D4117" s="2">
        <v>113402349</v>
      </c>
      <c r="E4117" s="2">
        <v>14752</v>
      </c>
      <c r="F4117">
        <v>66</v>
      </c>
      <c r="G4117" s="2">
        <v>69436829</v>
      </c>
      <c r="H4117" s="2">
        <v>416921</v>
      </c>
      <c r="I4117" s="2">
        <v>32900841</v>
      </c>
      <c r="J4117">
        <v>15</v>
      </c>
      <c r="K4117">
        <v>208</v>
      </c>
      <c r="L4117">
        <v>0</v>
      </c>
      <c r="M4117" t="str">
        <f t="shared" si="64"/>
        <v>After 2020</v>
      </c>
    </row>
    <row r="4118" spans="1:13" hidden="1">
      <c r="A4118" t="s">
        <v>5743</v>
      </c>
      <c r="B4118" t="s">
        <v>5744</v>
      </c>
      <c r="C4118" s="1">
        <v>44316</v>
      </c>
      <c r="D4118" s="2">
        <v>30269</v>
      </c>
      <c r="E4118">
        <v>40</v>
      </c>
      <c r="I4118" s="2">
        <v>1603097724</v>
      </c>
      <c r="L4118">
        <v>0</v>
      </c>
      <c r="M4118" t="str">
        <f t="shared" si="64"/>
        <v>After 2020</v>
      </c>
    </row>
    <row r="4119" spans="1:13">
      <c r="A4119" t="s">
        <v>5745</v>
      </c>
      <c r="B4119" t="s">
        <v>5746</v>
      </c>
      <c r="C4119" s="1">
        <v>39814</v>
      </c>
      <c r="D4119" s="2">
        <v>481414844</v>
      </c>
      <c r="E4119" s="2">
        <v>93752</v>
      </c>
      <c r="F4119">
        <v>65</v>
      </c>
      <c r="G4119" s="2">
        <v>324947792</v>
      </c>
      <c r="H4119" s="2">
        <v>2954295</v>
      </c>
      <c r="I4119" s="2">
        <v>258300</v>
      </c>
      <c r="J4119">
        <v>36</v>
      </c>
      <c r="K4119">
        <v>8</v>
      </c>
      <c r="L4119">
        <v>0</v>
      </c>
      <c r="M4119" t="str">
        <f t="shared" si="64"/>
        <v>Before 2010</v>
      </c>
    </row>
    <row r="4120" spans="1:13" hidden="1">
      <c r="A4120" t="s">
        <v>4132</v>
      </c>
      <c r="B4120" t="s">
        <v>5747</v>
      </c>
      <c r="C4120" s="1">
        <v>45093</v>
      </c>
      <c r="D4120" s="2">
        <v>31823450</v>
      </c>
      <c r="E4120" s="2">
        <v>7077</v>
      </c>
      <c r="F4120">
        <v>60</v>
      </c>
      <c r="G4120" s="2">
        <v>3419656</v>
      </c>
      <c r="H4120" s="2">
        <v>26067</v>
      </c>
      <c r="J4120">
        <v>23</v>
      </c>
      <c r="L4120">
        <v>0</v>
      </c>
      <c r="M4120" t="str">
        <f t="shared" si="64"/>
        <v>After 2020</v>
      </c>
    </row>
    <row r="4121" spans="1:13" hidden="1">
      <c r="A4121" t="s">
        <v>5748</v>
      </c>
      <c r="B4121" t="s">
        <v>831</v>
      </c>
      <c r="C4121" s="1">
        <v>40288</v>
      </c>
      <c r="D4121" s="2">
        <v>3415634</v>
      </c>
      <c r="E4121">
        <v>316</v>
      </c>
      <c r="F4121">
        <v>34</v>
      </c>
      <c r="G4121" s="2">
        <v>2160514390</v>
      </c>
      <c r="H4121" s="2">
        <v>2891961</v>
      </c>
      <c r="I4121" s="2">
        <v>501700</v>
      </c>
      <c r="L4121">
        <v>0</v>
      </c>
      <c r="M4121" t="str">
        <f t="shared" si="64"/>
        <v>2010-2020</v>
      </c>
    </row>
    <row r="4122" spans="1:13" hidden="1">
      <c r="A4122" t="s">
        <v>5749</v>
      </c>
      <c r="B4122" t="s">
        <v>3175</v>
      </c>
      <c r="C4122" s="1">
        <v>43634</v>
      </c>
      <c r="D4122" s="2">
        <v>305231016</v>
      </c>
      <c r="E4122" s="2">
        <v>27465</v>
      </c>
      <c r="F4122">
        <v>66</v>
      </c>
      <c r="G4122" s="2">
        <v>647042101</v>
      </c>
      <c r="H4122" s="2">
        <v>3851962</v>
      </c>
      <c r="I4122" s="2">
        <v>130611371</v>
      </c>
      <c r="J4122">
        <v>10</v>
      </c>
      <c r="L4122">
        <v>0</v>
      </c>
      <c r="M4122" t="str">
        <f t="shared" si="64"/>
        <v>2010-2020</v>
      </c>
    </row>
    <row r="4123" spans="1:13">
      <c r="A4123" t="s">
        <v>5750</v>
      </c>
      <c r="B4123" t="s">
        <v>1555</v>
      </c>
      <c r="C4123" s="1">
        <v>45365</v>
      </c>
      <c r="D4123" s="2">
        <v>11328011</v>
      </c>
      <c r="E4123" s="2">
        <v>1389</v>
      </c>
      <c r="F4123">
        <v>64</v>
      </c>
      <c r="G4123" s="2">
        <v>30326697</v>
      </c>
      <c r="H4123" s="2">
        <v>282371</v>
      </c>
      <c r="I4123" s="2">
        <v>165220930</v>
      </c>
      <c r="J4123">
        <v>8</v>
      </c>
      <c r="K4123">
        <v>588</v>
      </c>
      <c r="L4123">
        <v>1</v>
      </c>
      <c r="M4123" t="str">
        <f t="shared" si="64"/>
        <v>After 2020</v>
      </c>
    </row>
    <row r="4124" spans="1:13" hidden="1">
      <c r="A4124" t="s">
        <v>5751</v>
      </c>
      <c r="B4124" t="s">
        <v>5752</v>
      </c>
      <c r="C4124" s="1">
        <v>45198</v>
      </c>
      <c r="D4124" s="2">
        <v>69041864</v>
      </c>
      <c r="E4124" s="2">
        <v>10118</v>
      </c>
      <c r="G4124" s="2">
        <v>27951941</v>
      </c>
      <c r="H4124" s="2">
        <v>273780</v>
      </c>
      <c r="I4124" s="2">
        <v>57013361</v>
      </c>
      <c r="J4124">
        <v>31</v>
      </c>
      <c r="K4124">
        <v>19</v>
      </c>
      <c r="L4124">
        <v>0</v>
      </c>
      <c r="M4124" t="str">
        <f t="shared" si="64"/>
        <v>After 2020</v>
      </c>
    </row>
    <row r="4125" spans="1:13" hidden="1">
      <c r="A4125" t="s">
        <v>5753</v>
      </c>
      <c r="B4125" t="s">
        <v>1011</v>
      </c>
      <c r="C4125" s="1">
        <v>45316</v>
      </c>
      <c r="D4125" s="2">
        <v>37640497</v>
      </c>
      <c r="E4125" s="2">
        <v>4937</v>
      </c>
      <c r="F4125">
        <v>4</v>
      </c>
      <c r="G4125" s="2">
        <v>8782557</v>
      </c>
      <c r="H4125" s="2">
        <v>173663</v>
      </c>
      <c r="I4125" s="2">
        <v>11800000</v>
      </c>
      <c r="J4125">
        <v>10</v>
      </c>
      <c r="L4125">
        <v>0</v>
      </c>
      <c r="M4125" t="str">
        <f t="shared" si="64"/>
        <v>After 2020</v>
      </c>
    </row>
    <row r="4126" spans="1:13" hidden="1">
      <c r="A4126" t="s">
        <v>2391</v>
      </c>
      <c r="B4126" t="s">
        <v>2432</v>
      </c>
      <c r="C4126" s="1">
        <v>43763</v>
      </c>
      <c r="D4126" s="2">
        <v>499764238</v>
      </c>
      <c r="E4126" s="2">
        <v>79594</v>
      </c>
      <c r="F4126">
        <v>78</v>
      </c>
      <c r="G4126" s="2">
        <v>100443510</v>
      </c>
      <c r="H4126" s="2">
        <v>1071510</v>
      </c>
      <c r="I4126" s="2">
        <v>438475493</v>
      </c>
      <c r="J4126">
        <v>3</v>
      </c>
      <c r="L4126">
        <v>0</v>
      </c>
      <c r="M4126" t="str">
        <f t="shared" si="64"/>
        <v>2010-2020</v>
      </c>
    </row>
    <row r="4127" spans="1:13">
      <c r="A4127" t="s">
        <v>5754</v>
      </c>
      <c r="B4127" t="s">
        <v>4596</v>
      </c>
      <c r="C4127" s="1">
        <v>43110</v>
      </c>
      <c r="D4127" s="2">
        <v>601987422</v>
      </c>
      <c r="E4127" s="2">
        <v>52580</v>
      </c>
      <c r="F4127">
        <v>65</v>
      </c>
      <c r="G4127" s="2">
        <v>54165764</v>
      </c>
      <c r="H4127" s="2">
        <v>456799</v>
      </c>
      <c r="I4127" s="2">
        <v>43174144</v>
      </c>
      <c r="J4127">
        <v>3</v>
      </c>
      <c r="K4127">
        <v>138</v>
      </c>
      <c r="L4127">
        <v>0</v>
      </c>
      <c r="M4127" t="str">
        <f t="shared" si="64"/>
        <v>2010-2020</v>
      </c>
    </row>
    <row r="4128" spans="1:13">
      <c r="A4128" t="s">
        <v>5755</v>
      </c>
      <c r="B4128" t="s">
        <v>5756</v>
      </c>
      <c r="C4128" s="1">
        <v>44994</v>
      </c>
      <c r="D4128" s="2">
        <v>43078993</v>
      </c>
      <c r="E4128" s="2">
        <v>31275</v>
      </c>
      <c r="F4128">
        <v>52</v>
      </c>
      <c r="G4128" s="2">
        <v>10699230</v>
      </c>
      <c r="H4128" s="2">
        <v>123634</v>
      </c>
      <c r="I4128" s="2">
        <v>306310318</v>
      </c>
      <c r="J4128">
        <v>9</v>
      </c>
      <c r="K4128">
        <v>103</v>
      </c>
      <c r="L4128">
        <v>1</v>
      </c>
      <c r="M4128" t="str">
        <f t="shared" si="64"/>
        <v>After 2020</v>
      </c>
    </row>
    <row r="4129" spans="1:13" hidden="1">
      <c r="A4129" t="s">
        <v>5757</v>
      </c>
      <c r="B4129" t="s">
        <v>5158</v>
      </c>
      <c r="C4129" s="1">
        <v>44106</v>
      </c>
      <c r="D4129" s="2">
        <v>537623170</v>
      </c>
      <c r="E4129" s="2">
        <v>4310</v>
      </c>
      <c r="F4129">
        <v>66</v>
      </c>
      <c r="J4129">
        <v>29</v>
      </c>
      <c r="L4129">
        <v>0</v>
      </c>
      <c r="M4129" t="str">
        <f t="shared" si="64"/>
        <v>2010-2020</v>
      </c>
    </row>
    <row r="4130" spans="1:13" hidden="1">
      <c r="A4130" t="s">
        <v>5758</v>
      </c>
      <c r="B4130" t="s">
        <v>141</v>
      </c>
      <c r="C4130" s="1">
        <v>43146</v>
      </c>
      <c r="D4130" s="2">
        <v>3397421</v>
      </c>
      <c r="E4130" s="2">
        <v>1410</v>
      </c>
      <c r="G4130" s="2">
        <v>1134960177</v>
      </c>
      <c r="H4130" s="2">
        <v>8754011</v>
      </c>
      <c r="L4130">
        <v>0</v>
      </c>
      <c r="M4130" t="str">
        <f t="shared" si="64"/>
        <v>2010-2020</v>
      </c>
    </row>
    <row r="4131" spans="1:13" hidden="1">
      <c r="A4131" t="s">
        <v>597</v>
      </c>
      <c r="B4131" t="s">
        <v>5759</v>
      </c>
      <c r="C4131" s="1">
        <v>45315</v>
      </c>
      <c r="D4131" s="2">
        <v>46082088</v>
      </c>
      <c r="E4131" s="2">
        <v>1755</v>
      </c>
      <c r="F4131">
        <v>72</v>
      </c>
      <c r="G4131" s="2">
        <v>45934211</v>
      </c>
      <c r="H4131" s="2">
        <v>265825</v>
      </c>
      <c r="J4131">
        <v>36</v>
      </c>
      <c r="L4131">
        <v>0</v>
      </c>
      <c r="M4131" t="str">
        <f t="shared" si="64"/>
        <v>After 2020</v>
      </c>
    </row>
    <row r="4132" spans="1:13">
      <c r="A4132" t="s">
        <v>5760</v>
      </c>
      <c r="B4132" t="s">
        <v>2553</v>
      </c>
      <c r="C4132" s="1">
        <v>44571</v>
      </c>
      <c r="D4132" s="2">
        <v>283455095</v>
      </c>
      <c r="E4132" s="2">
        <v>30103</v>
      </c>
      <c r="F4132">
        <v>68</v>
      </c>
      <c r="G4132" s="2">
        <v>153119745</v>
      </c>
      <c r="H4132" s="2">
        <v>2763024</v>
      </c>
      <c r="I4132" s="2">
        <v>2468865989</v>
      </c>
      <c r="J4132">
        <v>9</v>
      </c>
      <c r="K4132">
        <v>21</v>
      </c>
      <c r="L4132">
        <v>0</v>
      </c>
      <c r="M4132" t="str">
        <f t="shared" si="64"/>
        <v>After 2020</v>
      </c>
    </row>
    <row r="4133" spans="1:13" hidden="1">
      <c r="A4133" t="s">
        <v>5761</v>
      </c>
      <c r="B4133" t="s">
        <v>688</v>
      </c>
      <c r="C4133" s="1">
        <v>44946</v>
      </c>
      <c r="D4133" s="2">
        <v>119853822</v>
      </c>
      <c r="E4133" s="2">
        <v>19565</v>
      </c>
      <c r="G4133" s="2">
        <v>37691895</v>
      </c>
      <c r="H4133" s="2">
        <v>577863</v>
      </c>
      <c r="I4133" s="2">
        <v>47259081</v>
      </c>
      <c r="J4133">
        <v>41</v>
      </c>
      <c r="K4133">
        <v>158</v>
      </c>
      <c r="L4133">
        <v>0</v>
      </c>
      <c r="M4133" t="str">
        <f t="shared" si="64"/>
        <v>After 2020</v>
      </c>
    </row>
    <row r="4134" spans="1:13">
      <c r="A4134" t="s">
        <v>5762</v>
      </c>
      <c r="B4134" t="s">
        <v>1235</v>
      </c>
      <c r="C4134" s="1">
        <v>43847</v>
      </c>
      <c r="D4134" s="2">
        <v>505295731</v>
      </c>
      <c r="E4134" s="2">
        <v>47908</v>
      </c>
      <c r="F4134">
        <v>64</v>
      </c>
      <c r="G4134" s="2">
        <v>151335556</v>
      </c>
      <c r="H4134" s="2">
        <v>1772300</v>
      </c>
      <c r="I4134" s="2">
        <v>48126470</v>
      </c>
      <c r="J4134">
        <v>76</v>
      </c>
      <c r="K4134">
        <v>222</v>
      </c>
      <c r="L4134">
        <v>0</v>
      </c>
      <c r="M4134" t="str">
        <f t="shared" si="64"/>
        <v>2010-2020</v>
      </c>
    </row>
    <row r="4135" spans="1:13" hidden="1">
      <c r="A4135" t="s">
        <v>5763</v>
      </c>
      <c r="B4135" t="s">
        <v>5764</v>
      </c>
      <c r="C4135" s="1">
        <v>44911</v>
      </c>
      <c r="D4135" s="2">
        <v>36044532</v>
      </c>
      <c r="E4135" s="2">
        <v>9007</v>
      </c>
      <c r="F4135">
        <v>51</v>
      </c>
      <c r="I4135" s="2">
        <v>3580517630</v>
      </c>
      <c r="J4135">
        <v>1</v>
      </c>
      <c r="L4135">
        <v>0</v>
      </c>
      <c r="M4135" t="str">
        <f t="shared" si="64"/>
        <v>After 2020</v>
      </c>
    </row>
    <row r="4136" spans="1:13" hidden="1">
      <c r="A4136" t="s">
        <v>5765</v>
      </c>
      <c r="B4136" t="s">
        <v>5766</v>
      </c>
      <c r="C4136" s="1">
        <v>42128</v>
      </c>
      <c r="D4136" s="2">
        <v>520407542</v>
      </c>
      <c r="E4136" s="2">
        <v>64298</v>
      </c>
      <c r="F4136">
        <v>66</v>
      </c>
      <c r="G4136" s="2">
        <v>648838091</v>
      </c>
      <c r="H4136" s="2">
        <v>2919414</v>
      </c>
      <c r="I4136" s="2">
        <v>523812670</v>
      </c>
      <c r="J4136">
        <v>24</v>
      </c>
      <c r="L4136">
        <v>1</v>
      </c>
      <c r="M4136" t="str">
        <f t="shared" si="64"/>
        <v>2010-2020</v>
      </c>
    </row>
    <row r="4137" spans="1:13" hidden="1">
      <c r="A4137" t="s">
        <v>5767</v>
      </c>
      <c r="B4137" t="s">
        <v>5768</v>
      </c>
      <c r="C4137" s="1">
        <v>45296</v>
      </c>
      <c r="D4137" s="2">
        <v>7506086</v>
      </c>
      <c r="E4137" s="2">
        <v>2054</v>
      </c>
      <c r="G4137" s="2">
        <v>63598076</v>
      </c>
      <c r="H4137" s="2">
        <v>407070</v>
      </c>
      <c r="J4137">
        <v>1</v>
      </c>
      <c r="L4137">
        <v>0</v>
      </c>
      <c r="M4137" t="str">
        <f t="shared" si="64"/>
        <v>After 2020</v>
      </c>
    </row>
    <row r="4138" spans="1:13" hidden="1">
      <c r="A4138" t="s">
        <v>5769</v>
      </c>
      <c r="B4138" t="s">
        <v>2225</v>
      </c>
      <c r="C4138" s="1">
        <v>43173</v>
      </c>
      <c r="D4138" s="2">
        <v>194955459</v>
      </c>
      <c r="E4138" s="2">
        <v>27767</v>
      </c>
      <c r="F4138">
        <v>63</v>
      </c>
      <c r="G4138" s="2">
        <v>918297076</v>
      </c>
      <c r="H4138" s="2">
        <v>3387075</v>
      </c>
      <c r="I4138" s="2">
        <v>19949350</v>
      </c>
      <c r="J4138">
        <v>39</v>
      </c>
      <c r="L4138">
        <v>0</v>
      </c>
      <c r="M4138" t="str">
        <f t="shared" si="64"/>
        <v>2010-2020</v>
      </c>
    </row>
    <row r="4139" spans="1:13" hidden="1">
      <c r="A4139" t="s">
        <v>5770</v>
      </c>
      <c r="B4139" t="s">
        <v>5771</v>
      </c>
      <c r="C4139" s="1">
        <v>45225</v>
      </c>
      <c r="D4139" s="2">
        <v>66553836</v>
      </c>
      <c r="E4139" s="2">
        <v>11570</v>
      </c>
      <c r="G4139" s="2">
        <v>33759085</v>
      </c>
      <c r="H4139" s="2">
        <v>174360</v>
      </c>
      <c r="I4139" s="2">
        <v>101413456</v>
      </c>
      <c r="J4139">
        <v>5</v>
      </c>
      <c r="L4139">
        <v>1</v>
      </c>
      <c r="M4139" t="str">
        <f t="shared" si="64"/>
        <v>After 2020</v>
      </c>
    </row>
    <row r="4140" spans="1:13" hidden="1">
      <c r="A4140" t="s">
        <v>5772</v>
      </c>
      <c r="B4140" t="s">
        <v>5773</v>
      </c>
      <c r="C4140" s="1">
        <v>43658</v>
      </c>
      <c r="D4140" s="2">
        <v>111894875</v>
      </c>
      <c r="E4140" s="2">
        <v>36302</v>
      </c>
      <c r="F4140">
        <v>59</v>
      </c>
      <c r="G4140" s="2">
        <v>113044166</v>
      </c>
      <c r="H4140" s="2">
        <v>1165613</v>
      </c>
      <c r="I4140" s="2">
        <v>505795992</v>
      </c>
      <c r="J4140">
        <v>1</v>
      </c>
      <c r="L4140">
        <v>1</v>
      </c>
      <c r="M4140" t="str">
        <f t="shared" si="64"/>
        <v>2010-2020</v>
      </c>
    </row>
    <row r="4141" spans="1:13">
      <c r="A4141" t="s">
        <v>5774</v>
      </c>
      <c r="B4141" t="s">
        <v>1680</v>
      </c>
      <c r="C4141" s="1">
        <v>40544</v>
      </c>
      <c r="D4141" s="2">
        <v>302419750</v>
      </c>
      <c r="E4141" s="2">
        <v>54906</v>
      </c>
      <c r="F4141">
        <v>61</v>
      </c>
      <c r="G4141" s="2">
        <v>369321004</v>
      </c>
      <c r="H4141" s="2">
        <v>2498223</v>
      </c>
      <c r="I4141" s="2">
        <v>64070340</v>
      </c>
      <c r="J4141">
        <v>25</v>
      </c>
      <c r="K4141">
        <v>7</v>
      </c>
      <c r="L4141">
        <v>0</v>
      </c>
      <c r="M4141" t="str">
        <f t="shared" si="64"/>
        <v>2010-2020</v>
      </c>
    </row>
    <row r="4142" spans="1:13" hidden="1">
      <c r="A4142" t="s">
        <v>5775</v>
      </c>
      <c r="B4142" t="s">
        <v>1102</v>
      </c>
      <c r="C4142" s="1">
        <v>45338</v>
      </c>
      <c r="D4142" s="2">
        <v>60248282</v>
      </c>
      <c r="E4142" s="2">
        <v>3109</v>
      </c>
      <c r="G4142" s="2">
        <v>28873716</v>
      </c>
      <c r="H4142" s="2">
        <v>428928</v>
      </c>
      <c r="J4142">
        <v>5</v>
      </c>
      <c r="L4142">
        <v>0</v>
      </c>
      <c r="M4142" t="str">
        <f t="shared" si="64"/>
        <v>After 2020</v>
      </c>
    </row>
    <row r="4143" spans="1:13">
      <c r="A4143" t="s">
        <v>5776</v>
      </c>
      <c r="B4143" t="s">
        <v>4067</v>
      </c>
      <c r="C4143" s="1">
        <v>44757</v>
      </c>
      <c r="D4143" s="2">
        <v>95952617</v>
      </c>
      <c r="E4143" s="2">
        <v>10516</v>
      </c>
      <c r="F4143">
        <v>56</v>
      </c>
      <c r="G4143" s="2">
        <v>259567120</v>
      </c>
      <c r="H4143" s="2">
        <v>4792675</v>
      </c>
      <c r="I4143" s="2">
        <v>745339618</v>
      </c>
      <c r="J4143">
        <v>7</v>
      </c>
      <c r="K4143">
        <v>54</v>
      </c>
      <c r="L4143">
        <v>0</v>
      </c>
      <c r="M4143" t="str">
        <f t="shared" si="64"/>
        <v>After 2020</v>
      </c>
    </row>
    <row r="4144" spans="1:13" hidden="1">
      <c r="A4144" t="s">
        <v>5777</v>
      </c>
      <c r="B4144" t="s">
        <v>5778</v>
      </c>
      <c r="C4144" s="1">
        <v>45175</v>
      </c>
      <c r="D4144" s="2">
        <v>116625807</v>
      </c>
      <c r="E4144" s="2">
        <v>13718</v>
      </c>
      <c r="F4144">
        <v>72</v>
      </c>
      <c r="G4144" s="2">
        <v>53669961</v>
      </c>
      <c r="H4144" s="2">
        <v>300699</v>
      </c>
      <c r="I4144">
        <v>305</v>
      </c>
      <c r="L4144">
        <v>0</v>
      </c>
      <c r="M4144" t="str">
        <f t="shared" si="64"/>
        <v>After 2020</v>
      </c>
    </row>
    <row r="4145" spans="1:13" hidden="1">
      <c r="A4145" t="s">
        <v>5779</v>
      </c>
      <c r="B4145" t="s">
        <v>5780</v>
      </c>
      <c r="C4145" s="1">
        <v>45359</v>
      </c>
      <c r="D4145" s="2">
        <v>35384383</v>
      </c>
      <c r="E4145" s="2">
        <v>3522</v>
      </c>
      <c r="F4145">
        <v>74</v>
      </c>
      <c r="G4145" s="2">
        <v>9732061</v>
      </c>
      <c r="H4145" s="2">
        <v>192816</v>
      </c>
      <c r="J4145">
        <v>4</v>
      </c>
      <c r="L4145">
        <v>1</v>
      </c>
      <c r="M4145" t="str">
        <f t="shared" si="64"/>
        <v>After 2020</v>
      </c>
    </row>
    <row r="4146" spans="1:13" hidden="1">
      <c r="A4146" t="s">
        <v>5781</v>
      </c>
      <c r="B4146" t="s">
        <v>2394</v>
      </c>
      <c r="C4146" s="1">
        <v>43111</v>
      </c>
      <c r="D4146" s="2">
        <v>99037719</v>
      </c>
      <c r="E4146" s="2">
        <v>22065</v>
      </c>
      <c r="F4146">
        <v>55</v>
      </c>
      <c r="G4146" s="2">
        <v>183585531</v>
      </c>
      <c r="H4146" s="2">
        <v>1079875</v>
      </c>
      <c r="I4146" s="2">
        <v>21367061</v>
      </c>
      <c r="J4146">
        <v>7</v>
      </c>
      <c r="L4146">
        <v>1</v>
      </c>
      <c r="M4146" t="str">
        <f t="shared" si="64"/>
        <v>2010-2020</v>
      </c>
    </row>
    <row r="4147" spans="1:13" hidden="1">
      <c r="A4147" t="s">
        <v>5782</v>
      </c>
      <c r="B4147" t="s">
        <v>256</v>
      </c>
      <c r="C4147" s="1">
        <v>43854</v>
      </c>
      <c r="D4147" s="2">
        <v>52223414</v>
      </c>
      <c r="E4147" s="2">
        <v>4281</v>
      </c>
      <c r="F4147">
        <v>55</v>
      </c>
      <c r="I4147" s="2">
        <v>13055824</v>
      </c>
      <c r="J4147">
        <v>6</v>
      </c>
      <c r="L4147">
        <v>0</v>
      </c>
      <c r="M4147" t="str">
        <f t="shared" si="64"/>
        <v>2010-2020</v>
      </c>
    </row>
    <row r="4148" spans="1:13">
      <c r="A4148" t="s">
        <v>5783</v>
      </c>
      <c r="B4148" t="s">
        <v>411</v>
      </c>
      <c r="C4148" s="1">
        <v>45128</v>
      </c>
      <c r="D4148" s="2">
        <v>112730335</v>
      </c>
      <c r="E4148" s="2">
        <v>14089</v>
      </c>
      <c r="F4148">
        <v>67</v>
      </c>
      <c r="G4148" s="2">
        <v>60693447</v>
      </c>
      <c r="H4148" s="2">
        <v>1433258</v>
      </c>
      <c r="I4148" s="2">
        <v>205967218</v>
      </c>
      <c r="J4148">
        <v>5</v>
      </c>
      <c r="K4148">
        <v>2</v>
      </c>
      <c r="L4148">
        <v>0</v>
      </c>
      <c r="M4148" t="str">
        <f t="shared" si="64"/>
        <v>After 2020</v>
      </c>
    </row>
    <row r="4149" spans="1:13" hidden="1">
      <c r="A4149" t="s">
        <v>5784</v>
      </c>
      <c r="B4149" t="s">
        <v>2394</v>
      </c>
      <c r="C4149" s="1">
        <v>44582</v>
      </c>
      <c r="D4149" s="2">
        <v>53849840</v>
      </c>
      <c r="E4149" s="2">
        <v>27244</v>
      </c>
      <c r="F4149">
        <v>60</v>
      </c>
      <c r="G4149" s="2">
        <v>60416082</v>
      </c>
      <c r="H4149" s="2">
        <v>619963</v>
      </c>
      <c r="I4149" s="2">
        <v>40727724</v>
      </c>
      <c r="K4149">
        <v>4</v>
      </c>
      <c r="L4149">
        <v>1</v>
      </c>
      <c r="M4149" t="str">
        <f t="shared" si="64"/>
        <v>After 2020</v>
      </c>
    </row>
    <row r="4150" spans="1:13" hidden="1">
      <c r="A4150" t="s">
        <v>5785</v>
      </c>
      <c r="B4150" t="s">
        <v>61</v>
      </c>
      <c r="C4150" s="1">
        <v>45401</v>
      </c>
      <c r="D4150" s="2">
        <v>72634553</v>
      </c>
      <c r="E4150" s="2">
        <v>2185</v>
      </c>
      <c r="G4150" s="2">
        <v>6010840</v>
      </c>
      <c r="H4150" s="2">
        <v>84048</v>
      </c>
      <c r="J4150">
        <v>6</v>
      </c>
      <c r="L4150">
        <v>0</v>
      </c>
      <c r="M4150" t="str">
        <f t="shared" si="64"/>
        <v>After 2020</v>
      </c>
    </row>
    <row r="4151" spans="1:13" hidden="1">
      <c r="A4151" t="s">
        <v>5786</v>
      </c>
      <c r="B4151" t="s">
        <v>5787</v>
      </c>
      <c r="C4151" s="1">
        <v>45450</v>
      </c>
      <c r="D4151" s="2">
        <v>11495032</v>
      </c>
      <c r="E4151">
        <v>4</v>
      </c>
      <c r="L4151">
        <v>1</v>
      </c>
      <c r="M4151" t="str">
        <f t="shared" si="64"/>
        <v>After 2020</v>
      </c>
    </row>
    <row r="4152" spans="1:13" hidden="1">
      <c r="A4152" t="s">
        <v>5788</v>
      </c>
      <c r="B4152" t="s">
        <v>5789</v>
      </c>
      <c r="C4152" s="1">
        <v>44978</v>
      </c>
      <c r="D4152" s="2">
        <v>121283</v>
      </c>
      <c r="E4152">
        <v>195</v>
      </c>
      <c r="G4152" s="2">
        <v>230828310</v>
      </c>
      <c r="H4152" s="2">
        <v>3555140</v>
      </c>
      <c r="L4152">
        <v>1</v>
      </c>
      <c r="M4152" t="str">
        <f t="shared" si="64"/>
        <v>After 2020</v>
      </c>
    </row>
    <row r="4153" spans="1:13" hidden="1">
      <c r="A4153" t="s">
        <v>5790</v>
      </c>
      <c r="B4153" t="s">
        <v>449</v>
      </c>
      <c r="C4153" s="1">
        <v>43889</v>
      </c>
      <c r="D4153" s="2">
        <v>198573138</v>
      </c>
      <c r="E4153" s="2">
        <v>71523</v>
      </c>
      <c r="F4153">
        <v>61</v>
      </c>
      <c r="G4153" s="2">
        <v>63795996</v>
      </c>
      <c r="H4153" s="2">
        <v>496579</v>
      </c>
      <c r="I4153" s="2">
        <v>279168145</v>
      </c>
      <c r="J4153">
        <v>25</v>
      </c>
      <c r="L4153">
        <v>1</v>
      </c>
      <c r="M4153" t="str">
        <f t="shared" si="64"/>
        <v>2010-2020</v>
      </c>
    </row>
    <row r="4154" spans="1:13" hidden="1">
      <c r="A4154" t="s">
        <v>5791</v>
      </c>
      <c r="B4154" t="s">
        <v>5792</v>
      </c>
      <c r="C4154" s="1">
        <v>44707</v>
      </c>
      <c r="D4154" s="2">
        <v>127742133</v>
      </c>
      <c r="E4154" s="2">
        <v>48520</v>
      </c>
      <c r="F4154">
        <v>58</v>
      </c>
      <c r="I4154" s="2">
        <v>45573722</v>
      </c>
      <c r="J4154">
        <v>20</v>
      </c>
      <c r="K4154">
        <v>133</v>
      </c>
      <c r="L4154">
        <v>1</v>
      </c>
      <c r="M4154" t="str">
        <f t="shared" si="64"/>
        <v>After 2020</v>
      </c>
    </row>
    <row r="4155" spans="1:13" hidden="1">
      <c r="A4155" t="s">
        <v>5793</v>
      </c>
      <c r="B4155" t="s">
        <v>252</v>
      </c>
      <c r="C4155" s="1">
        <v>44722</v>
      </c>
      <c r="D4155" s="2">
        <v>439395056</v>
      </c>
      <c r="E4155" s="2">
        <v>23010</v>
      </c>
      <c r="F4155">
        <v>71</v>
      </c>
      <c r="I4155" s="2">
        <v>2849048545</v>
      </c>
      <c r="J4155">
        <v>6</v>
      </c>
      <c r="L4155">
        <v>0</v>
      </c>
      <c r="M4155" t="str">
        <f t="shared" si="64"/>
        <v>After 2020</v>
      </c>
    </row>
    <row r="4156" spans="1:13">
      <c r="A4156" t="s">
        <v>5794</v>
      </c>
      <c r="B4156" t="s">
        <v>5795</v>
      </c>
      <c r="C4156" s="1">
        <v>44771</v>
      </c>
      <c r="D4156" s="2">
        <v>130902100</v>
      </c>
      <c r="E4156" s="2">
        <v>56267</v>
      </c>
      <c r="F4156">
        <v>56</v>
      </c>
      <c r="G4156" s="2">
        <v>24521973</v>
      </c>
      <c r="H4156" s="2">
        <v>347778</v>
      </c>
      <c r="I4156" s="2">
        <v>505539</v>
      </c>
      <c r="J4156">
        <v>29</v>
      </c>
      <c r="K4156">
        <v>165</v>
      </c>
      <c r="L4156">
        <v>1</v>
      </c>
      <c r="M4156" t="str">
        <f t="shared" si="64"/>
        <v>After 2020</v>
      </c>
    </row>
    <row r="4157" spans="1:13">
      <c r="A4157" t="s">
        <v>5796</v>
      </c>
      <c r="B4157" t="s">
        <v>5797</v>
      </c>
      <c r="C4157" s="1">
        <v>45128</v>
      </c>
      <c r="D4157" s="2">
        <v>126219979</v>
      </c>
      <c r="E4157" s="2">
        <v>18525</v>
      </c>
      <c r="F4157">
        <v>60</v>
      </c>
      <c r="G4157" s="2">
        <v>28725678</v>
      </c>
      <c r="H4157" s="2">
        <v>608921</v>
      </c>
      <c r="I4157" s="2">
        <v>560299833</v>
      </c>
      <c r="J4157">
        <v>22</v>
      </c>
      <c r="K4157">
        <v>18</v>
      </c>
      <c r="L4157">
        <v>0</v>
      </c>
      <c r="M4157" t="str">
        <f t="shared" si="64"/>
        <v>After 2020</v>
      </c>
    </row>
    <row r="4158" spans="1:13" hidden="1">
      <c r="A4158" t="s">
        <v>5798</v>
      </c>
      <c r="B4158" t="s">
        <v>5799</v>
      </c>
      <c r="C4158" s="1">
        <v>45386</v>
      </c>
      <c r="D4158" s="2">
        <v>33677357</v>
      </c>
      <c r="E4158" s="2">
        <v>4771</v>
      </c>
      <c r="F4158">
        <v>73</v>
      </c>
      <c r="G4158" s="2">
        <v>2034940</v>
      </c>
      <c r="H4158" s="2">
        <v>16504</v>
      </c>
      <c r="J4158">
        <v>8</v>
      </c>
      <c r="L4158">
        <v>0</v>
      </c>
      <c r="M4158" t="str">
        <f t="shared" si="64"/>
        <v>After 2020</v>
      </c>
    </row>
    <row r="4159" spans="1:13" hidden="1">
      <c r="A4159" t="s">
        <v>5800</v>
      </c>
      <c r="B4159" t="s">
        <v>1913</v>
      </c>
      <c r="C4159" s="1">
        <v>43098</v>
      </c>
      <c r="G4159" s="2">
        <v>1189768676</v>
      </c>
      <c r="H4159" s="2">
        <v>6332571</v>
      </c>
      <c r="L4159">
        <v>0</v>
      </c>
      <c r="M4159" t="str">
        <f t="shared" si="64"/>
        <v>2010-2020</v>
      </c>
    </row>
    <row r="4160" spans="1:13" hidden="1">
      <c r="A4160" t="s">
        <v>5801</v>
      </c>
      <c r="B4160" t="s">
        <v>4003</v>
      </c>
      <c r="C4160" s="1">
        <v>43840</v>
      </c>
      <c r="D4160" s="2">
        <v>335496248</v>
      </c>
      <c r="E4160" s="2">
        <v>59904</v>
      </c>
      <c r="F4160">
        <v>56</v>
      </c>
      <c r="G4160" s="2">
        <v>152789030</v>
      </c>
      <c r="H4160" s="2">
        <v>979615</v>
      </c>
      <c r="I4160" s="2">
        <v>213316577</v>
      </c>
      <c r="J4160">
        <v>60</v>
      </c>
      <c r="L4160">
        <v>0</v>
      </c>
      <c r="M4160" t="str">
        <f t="shared" si="64"/>
        <v>2010-2020</v>
      </c>
    </row>
    <row r="4161" spans="1:13" hidden="1">
      <c r="A4161" t="s">
        <v>2899</v>
      </c>
      <c r="B4161" t="s">
        <v>867</v>
      </c>
      <c r="C4161" s="1">
        <v>45057</v>
      </c>
      <c r="D4161" s="2">
        <v>95946720</v>
      </c>
      <c r="E4161" s="2">
        <v>13156</v>
      </c>
      <c r="F4161">
        <v>6</v>
      </c>
      <c r="L4161">
        <v>0</v>
      </c>
      <c r="M4161" t="str">
        <f t="shared" si="64"/>
        <v>After 2020</v>
      </c>
    </row>
    <row r="4162" spans="1:13" hidden="1">
      <c r="A4162" t="s">
        <v>5802</v>
      </c>
      <c r="B4162" t="s">
        <v>5803</v>
      </c>
      <c r="C4162" s="1">
        <v>44049</v>
      </c>
      <c r="D4162" s="2">
        <v>153213678</v>
      </c>
      <c r="E4162" s="2">
        <v>70131</v>
      </c>
      <c r="F4162">
        <v>53</v>
      </c>
      <c r="G4162" s="2">
        <v>66414830</v>
      </c>
      <c r="H4162" s="2">
        <v>840510</v>
      </c>
      <c r="I4162" s="2">
        <v>648833938</v>
      </c>
      <c r="J4162">
        <v>8</v>
      </c>
      <c r="L4162">
        <v>1</v>
      </c>
      <c r="M4162" t="str">
        <f t="shared" si="64"/>
        <v>2010-2020</v>
      </c>
    </row>
    <row r="4163" spans="1:13" hidden="1">
      <c r="A4163" t="s">
        <v>5804</v>
      </c>
      <c r="B4163" t="s">
        <v>77</v>
      </c>
      <c r="C4163" s="1">
        <v>43994</v>
      </c>
      <c r="D4163" s="2">
        <v>488253341</v>
      </c>
      <c r="E4163" s="2">
        <v>108963</v>
      </c>
      <c r="F4163">
        <v>63</v>
      </c>
      <c r="G4163" s="2">
        <v>100109974</v>
      </c>
      <c r="H4163" s="2">
        <v>1553178</v>
      </c>
      <c r="I4163" s="2">
        <v>89767528</v>
      </c>
      <c r="J4163">
        <v>44</v>
      </c>
      <c r="L4163">
        <v>1</v>
      </c>
      <c r="M4163" t="str">
        <f t="shared" ref="M4163:M4226" si="65">IF(YEAR(C4163)&lt;2010,"Before 2010",IF(YEAR(C4163)&lt;=2020,"2010-2020","After 2020"))</f>
        <v>2010-2020</v>
      </c>
    </row>
    <row r="4164" spans="1:13">
      <c r="A4164" t="s">
        <v>5805</v>
      </c>
      <c r="B4164" t="s">
        <v>5806</v>
      </c>
      <c r="C4164" s="1">
        <v>44057</v>
      </c>
      <c r="D4164" s="2">
        <v>271235105</v>
      </c>
      <c r="E4164" s="2">
        <v>63488</v>
      </c>
      <c r="F4164">
        <v>60</v>
      </c>
      <c r="G4164" s="2">
        <v>89752088</v>
      </c>
      <c r="H4164" s="2">
        <v>1466031</v>
      </c>
      <c r="I4164" s="2">
        <v>2633643813</v>
      </c>
      <c r="J4164">
        <v>29</v>
      </c>
      <c r="K4164">
        <v>526</v>
      </c>
      <c r="L4164">
        <v>0</v>
      </c>
      <c r="M4164" t="str">
        <f t="shared" si="65"/>
        <v>2010-2020</v>
      </c>
    </row>
    <row r="4165" spans="1:13" hidden="1">
      <c r="A4165" t="s">
        <v>5807</v>
      </c>
      <c r="B4165" t="s">
        <v>5808</v>
      </c>
      <c r="C4165" s="1">
        <v>40133</v>
      </c>
      <c r="D4165" s="2">
        <v>2486908570</v>
      </c>
      <c r="E4165">
        <v>264</v>
      </c>
      <c r="G4165" s="2">
        <v>2036268766</v>
      </c>
      <c r="H4165" s="2">
        <v>14592615</v>
      </c>
      <c r="L4165">
        <v>0</v>
      </c>
      <c r="M4165" t="str">
        <f t="shared" si="65"/>
        <v>Before 2010</v>
      </c>
    </row>
    <row r="4166" spans="1:13">
      <c r="A4166" t="s">
        <v>5809</v>
      </c>
      <c r="B4166" t="s">
        <v>5810</v>
      </c>
      <c r="C4166" s="1">
        <v>41464</v>
      </c>
      <c r="D4166" s="2">
        <v>10019831</v>
      </c>
      <c r="E4166" s="2">
        <v>3056</v>
      </c>
      <c r="F4166">
        <v>55</v>
      </c>
      <c r="G4166" s="2">
        <v>2990740</v>
      </c>
      <c r="H4166" s="2">
        <v>46453</v>
      </c>
      <c r="I4166" s="2">
        <v>1685552133</v>
      </c>
      <c r="J4166">
        <v>1</v>
      </c>
      <c r="K4166">
        <v>79</v>
      </c>
      <c r="L4166">
        <v>0</v>
      </c>
      <c r="M4166" t="str">
        <f t="shared" si="65"/>
        <v>2010-2020</v>
      </c>
    </row>
    <row r="4167" spans="1:13" hidden="1">
      <c r="A4167" t="s">
        <v>5811</v>
      </c>
      <c r="B4167" t="s">
        <v>5812</v>
      </c>
      <c r="C4167" s="1">
        <v>45359</v>
      </c>
      <c r="D4167" s="2">
        <v>58823260</v>
      </c>
      <c r="E4167" s="2">
        <v>1070</v>
      </c>
      <c r="F4167">
        <v>78</v>
      </c>
      <c r="G4167" s="2">
        <v>30355534</v>
      </c>
      <c r="H4167" s="2">
        <v>290040</v>
      </c>
      <c r="I4167" s="2">
        <v>25814718</v>
      </c>
      <c r="J4167">
        <v>5</v>
      </c>
      <c r="L4167">
        <v>0</v>
      </c>
      <c r="M4167" t="str">
        <f t="shared" si="65"/>
        <v>After 2020</v>
      </c>
    </row>
    <row r="4168" spans="1:13" hidden="1">
      <c r="A4168" t="s">
        <v>5813</v>
      </c>
      <c r="B4168" t="s">
        <v>184</v>
      </c>
      <c r="C4168" s="1">
        <v>41186</v>
      </c>
      <c r="D4168" s="2">
        <v>694094195</v>
      </c>
      <c r="E4168" s="2">
        <v>116469</v>
      </c>
      <c r="F4168">
        <v>78</v>
      </c>
      <c r="G4168" s="2">
        <v>619905722</v>
      </c>
      <c r="H4168" s="2">
        <v>4186117</v>
      </c>
      <c r="I4168" s="2">
        <v>510915665</v>
      </c>
      <c r="J4168">
        <v>60</v>
      </c>
      <c r="L4168">
        <v>0</v>
      </c>
      <c r="M4168" t="str">
        <f t="shared" si="65"/>
        <v>2010-2020</v>
      </c>
    </row>
    <row r="4169" spans="1:13">
      <c r="A4169" t="s">
        <v>5814</v>
      </c>
      <c r="B4169" t="s">
        <v>5815</v>
      </c>
      <c r="C4169" s="1">
        <v>35888</v>
      </c>
      <c r="D4169" s="2">
        <v>178339925</v>
      </c>
      <c r="E4169" s="2">
        <v>189706</v>
      </c>
      <c r="F4169">
        <v>72</v>
      </c>
      <c r="G4169" s="2">
        <v>1499385808</v>
      </c>
      <c r="H4169" s="2">
        <v>12220360</v>
      </c>
      <c r="I4169" s="2">
        <v>803719645</v>
      </c>
      <c r="J4169">
        <v>100</v>
      </c>
      <c r="K4169">
        <v>89</v>
      </c>
      <c r="L4169">
        <v>0</v>
      </c>
      <c r="M4169" t="str">
        <f t="shared" si="65"/>
        <v>Before 2010</v>
      </c>
    </row>
    <row r="4170" spans="1:13" hidden="1">
      <c r="A4170" t="s">
        <v>5816</v>
      </c>
      <c r="B4170" t="s">
        <v>5817</v>
      </c>
      <c r="C4170" s="1">
        <v>44477</v>
      </c>
      <c r="D4170" s="2">
        <v>28805237</v>
      </c>
      <c r="E4170" s="2">
        <v>1873</v>
      </c>
      <c r="F4170">
        <v>45</v>
      </c>
      <c r="G4170" s="2">
        <v>153101388</v>
      </c>
      <c r="H4170" s="2">
        <v>1717781</v>
      </c>
      <c r="I4170" s="2">
        <v>212490319</v>
      </c>
      <c r="J4170">
        <v>1</v>
      </c>
      <c r="L4170">
        <v>0</v>
      </c>
      <c r="M4170" t="str">
        <f t="shared" si="65"/>
        <v>After 2020</v>
      </c>
    </row>
    <row r="4171" spans="1:13" hidden="1">
      <c r="A4171" t="s">
        <v>5818</v>
      </c>
      <c r="B4171" t="s">
        <v>5819</v>
      </c>
      <c r="C4171" s="1">
        <v>45238</v>
      </c>
      <c r="D4171" s="2">
        <v>53969524</v>
      </c>
      <c r="E4171" s="2">
        <v>4597</v>
      </c>
      <c r="F4171">
        <v>63</v>
      </c>
      <c r="G4171" s="2">
        <v>33219103</v>
      </c>
      <c r="H4171" s="2">
        <v>317942</v>
      </c>
      <c r="I4171" s="2">
        <v>4711140</v>
      </c>
      <c r="J4171">
        <v>30</v>
      </c>
      <c r="L4171">
        <v>0</v>
      </c>
      <c r="M4171" t="str">
        <f t="shared" si="65"/>
        <v>After 2020</v>
      </c>
    </row>
    <row r="4172" spans="1:13" hidden="1">
      <c r="A4172" t="s">
        <v>5820</v>
      </c>
      <c r="B4172" t="s">
        <v>5821</v>
      </c>
      <c r="C4172" s="1">
        <v>44216</v>
      </c>
      <c r="D4172" s="2">
        <v>21970517</v>
      </c>
      <c r="E4172" s="2">
        <v>11053</v>
      </c>
      <c r="F4172">
        <v>45</v>
      </c>
      <c r="G4172" s="2">
        <v>455300901</v>
      </c>
      <c r="H4172" s="2">
        <v>1789364</v>
      </c>
      <c r="I4172" s="2">
        <v>433329532</v>
      </c>
      <c r="J4172">
        <v>17</v>
      </c>
      <c r="L4172">
        <v>0</v>
      </c>
      <c r="M4172" t="str">
        <f t="shared" si="65"/>
        <v>After 2020</v>
      </c>
    </row>
    <row r="4173" spans="1:13" hidden="1">
      <c r="A4173" t="s">
        <v>5822</v>
      </c>
      <c r="B4173" t="s">
        <v>5823</v>
      </c>
      <c r="C4173" s="1">
        <v>45079</v>
      </c>
      <c r="D4173" s="2">
        <v>7375613</v>
      </c>
      <c r="E4173" s="2">
        <v>3903</v>
      </c>
      <c r="F4173">
        <v>54</v>
      </c>
      <c r="G4173" s="2">
        <v>136297891</v>
      </c>
      <c r="H4173" s="2">
        <v>653910</v>
      </c>
      <c r="I4173" s="2">
        <v>130470945</v>
      </c>
      <c r="J4173">
        <v>4</v>
      </c>
      <c r="L4173">
        <v>0</v>
      </c>
      <c r="M4173" t="str">
        <f t="shared" si="65"/>
        <v>After 2020</v>
      </c>
    </row>
    <row r="4174" spans="1:13" hidden="1">
      <c r="A4174" t="s">
        <v>5824</v>
      </c>
      <c r="B4174" t="s">
        <v>5825</v>
      </c>
      <c r="C4174" s="1">
        <v>44816</v>
      </c>
      <c r="D4174" s="2">
        <v>752826</v>
      </c>
      <c r="E4174">
        <v>6</v>
      </c>
      <c r="F4174">
        <v>13</v>
      </c>
      <c r="L4174">
        <v>1</v>
      </c>
      <c r="M4174" t="str">
        <f t="shared" si="65"/>
        <v>After 2020</v>
      </c>
    </row>
    <row r="4175" spans="1:13">
      <c r="A4175" t="s">
        <v>5826</v>
      </c>
      <c r="B4175" t="s">
        <v>5827</v>
      </c>
      <c r="C4175" s="1">
        <v>44610</v>
      </c>
      <c r="D4175" s="2">
        <v>164856432</v>
      </c>
      <c r="E4175" s="2">
        <v>76735</v>
      </c>
      <c r="F4175">
        <v>70</v>
      </c>
      <c r="G4175" s="2">
        <v>13263610</v>
      </c>
      <c r="H4175" s="2">
        <v>131789</v>
      </c>
      <c r="I4175" s="2">
        <v>1806528</v>
      </c>
      <c r="J4175">
        <v>10</v>
      </c>
      <c r="K4175">
        <v>51</v>
      </c>
      <c r="L4175">
        <v>0</v>
      </c>
      <c r="M4175" t="str">
        <f t="shared" si="65"/>
        <v>After 2020</v>
      </c>
    </row>
    <row r="4176" spans="1:13" hidden="1">
      <c r="A4176" t="s">
        <v>5828</v>
      </c>
      <c r="B4176" t="s">
        <v>2362</v>
      </c>
      <c r="C4176" s="1">
        <v>44953</v>
      </c>
      <c r="D4176" s="2">
        <v>199953495</v>
      </c>
      <c r="E4176" s="2">
        <v>13323</v>
      </c>
      <c r="F4176">
        <v>70</v>
      </c>
      <c r="G4176" s="2">
        <v>107763494</v>
      </c>
      <c r="H4176" s="2">
        <v>557859</v>
      </c>
      <c r="J4176">
        <v>17</v>
      </c>
      <c r="K4176">
        <v>24</v>
      </c>
      <c r="L4176">
        <v>0</v>
      </c>
      <c r="M4176" t="str">
        <f t="shared" si="65"/>
        <v>After 2020</v>
      </c>
    </row>
    <row r="4177" spans="1:13" hidden="1">
      <c r="A4177" t="s">
        <v>5829</v>
      </c>
      <c r="B4177" t="s">
        <v>3383</v>
      </c>
      <c r="C4177" s="1">
        <v>43573</v>
      </c>
      <c r="D4177" s="2">
        <v>211158013</v>
      </c>
      <c r="E4177" s="2">
        <v>32331</v>
      </c>
      <c r="F4177">
        <v>54</v>
      </c>
      <c r="G4177" s="2">
        <v>522628926</v>
      </c>
      <c r="H4177" s="2">
        <v>13614101</v>
      </c>
      <c r="I4177" s="2">
        <v>512503154</v>
      </c>
      <c r="J4177">
        <v>5</v>
      </c>
      <c r="L4177">
        <v>1</v>
      </c>
      <c r="M4177" t="str">
        <f t="shared" si="65"/>
        <v>2010-2020</v>
      </c>
    </row>
    <row r="4178" spans="1:13" hidden="1">
      <c r="A4178" t="s">
        <v>5830</v>
      </c>
      <c r="B4178" t="s">
        <v>633</v>
      </c>
      <c r="C4178" s="1">
        <v>44431</v>
      </c>
      <c r="D4178" s="2">
        <v>154250706</v>
      </c>
      <c r="E4178" s="2">
        <v>31969</v>
      </c>
      <c r="F4178">
        <v>66</v>
      </c>
      <c r="G4178" s="2">
        <v>284578688</v>
      </c>
      <c r="H4178" s="2">
        <v>1844499</v>
      </c>
      <c r="I4178" s="2">
        <v>57372493</v>
      </c>
      <c r="J4178">
        <v>20</v>
      </c>
      <c r="L4178">
        <v>1</v>
      </c>
      <c r="M4178" t="str">
        <f t="shared" si="65"/>
        <v>After 2020</v>
      </c>
    </row>
    <row r="4179" spans="1:13" hidden="1">
      <c r="A4179" t="s">
        <v>5831</v>
      </c>
      <c r="B4179" t="s">
        <v>5832</v>
      </c>
      <c r="C4179" s="1">
        <v>45418</v>
      </c>
      <c r="D4179" s="2">
        <v>1477559</v>
      </c>
      <c r="E4179">
        <v>107</v>
      </c>
      <c r="G4179" s="2">
        <v>17185672</v>
      </c>
      <c r="H4179" s="2">
        <v>182233</v>
      </c>
      <c r="J4179">
        <v>2</v>
      </c>
      <c r="L4179">
        <v>1</v>
      </c>
      <c r="M4179" t="str">
        <f t="shared" si="65"/>
        <v>After 2020</v>
      </c>
    </row>
    <row r="4180" spans="1:13" hidden="1">
      <c r="A4180" t="s">
        <v>5833</v>
      </c>
      <c r="B4180" t="s">
        <v>4547</v>
      </c>
      <c r="C4180" s="1">
        <v>44511</v>
      </c>
      <c r="D4180" s="2">
        <v>141747648</v>
      </c>
      <c r="E4180" s="2">
        <v>34061</v>
      </c>
      <c r="F4180">
        <v>57</v>
      </c>
      <c r="G4180" s="2">
        <v>66264480</v>
      </c>
      <c r="H4180" s="2">
        <v>524414</v>
      </c>
      <c r="I4180" s="2">
        <v>2053061623</v>
      </c>
      <c r="J4180">
        <v>6</v>
      </c>
      <c r="L4180">
        <v>0</v>
      </c>
      <c r="M4180" t="str">
        <f t="shared" si="65"/>
        <v>After 2020</v>
      </c>
    </row>
    <row r="4181" spans="1:13">
      <c r="A4181" t="s">
        <v>5834</v>
      </c>
      <c r="B4181" t="s">
        <v>173</v>
      </c>
      <c r="C4181" s="1">
        <v>42300</v>
      </c>
      <c r="D4181" s="2">
        <v>366268077</v>
      </c>
      <c r="E4181" s="2">
        <v>40643</v>
      </c>
      <c r="F4181">
        <v>63</v>
      </c>
      <c r="G4181" s="2">
        <v>1013772791</v>
      </c>
      <c r="H4181" s="2">
        <v>3053038</v>
      </c>
      <c r="I4181" s="2">
        <v>600274227</v>
      </c>
      <c r="J4181">
        <v>28</v>
      </c>
      <c r="K4181">
        <v>28</v>
      </c>
      <c r="L4181">
        <v>0</v>
      </c>
      <c r="M4181" t="str">
        <f t="shared" si="65"/>
        <v>2010-2020</v>
      </c>
    </row>
    <row r="4182" spans="1:13" hidden="1">
      <c r="A4182" t="s">
        <v>5835</v>
      </c>
      <c r="B4182" t="s">
        <v>5836</v>
      </c>
      <c r="C4182" s="1">
        <v>45253</v>
      </c>
      <c r="D4182" s="2">
        <v>64143264</v>
      </c>
      <c r="E4182" s="2">
        <v>8734</v>
      </c>
      <c r="F4182">
        <v>68</v>
      </c>
      <c r="G4182" s="2">
        <v>47157935</v>
      </c>
      <c r="H4182" s="2">
        <v>211960</v>
      </c>
      <c r="L4182">
        <v>0</v>
      </c>
      <c r="M4182" t="str">
        <f t="shared" si="65"/>
        <v>After 2020</v>
      </c>
    </row>
    <row r="4183" spans="1:13" hidden="1">
      <c r="A4183" t="s">
        <v>5837</v>
      </c>
      <c r="B4183" t="s">
        <v>5838</v>
      </c>
      <c r="C4183" s="1">
        <v>44386</v>
      </c>
      <c r="D4183" s="2">
        <v>146709792</v>
      </c>
      <c r="E4183" s="2">
        <v>28310</v>
      </c>
      <c r="F4183">
        <v>41</v>
      </c>
      <c r="G4183" s="2">
        <v>321931791</v>
      </c>
      <c r="H4183" s="2">
        <v>1362201</v>
      </c>
      <c r="I4183" s="2">
        <v>539098923</v>
      </c>
      <c r="J4183">
        <v>14</v>
      </c>
      <c r="L4183">
        <v>0</v>
      </c>
      <c r="M4183" t="str">
        <f t="shared" si="65"/>
        <v>After 2020</v>
      </c>
    </row>
    <row r="4184" spans="1:13" hidden="1">
      <c r="A4184" t="s">
        <v>5839</v>
      </c>
      <c r="B4184" t="s">
        <v>444</v>
      </c>
      <c r="C4184" s="1">
        <v>44021</v>
      </c>
      <c r="D4184" s="2">
        <v>623875921</v>
      </c>
      <c r="E4184" s="2">
        <v>59902</v>
      </c>
      <c r="F4184">
        <v>66</v>
      </c>
      <c r="G4184" s="2">
        <v>22048904</v>
      </c>
      <c r="H4184" s="2">
        <v>303027</v>
      </c>
      <c r="I4184" s="2">
        <v>550568367</v>
      </c>
      <c r="J4184">
        <v>133</v>
      </c>
      <c r="L4184">
        <v>0</v>
      </c>
      <c r="M4184" t="str">
        <f t="shared" si="65"/>
        <v>2010-2020</v>
      </c>
    </row>
    <row r="4185" spans="1:13" hidden="1">
      <c r="A4185" t="s">
        <v>5840</v>
      </c>
      <c r="B4185" t="s">
        <v>391</v>
      </c>
      <c r="C4185" s="1">
        <v>44820</v>
      </c>
      <c r="D4185" s="2">
        <v>115237552</v>
      </c>
      <c r="E4185" s="2">
        <v>9312</v>
      </c>
      <c r="F4185">
        <v>55</v>
      </c>
      <c r="G4185" s="2">
        <v>243509528</v>
      </c>
      <c r="H4185" s="2">
        <v>5870222</v>
      </c>
      <c r="I4185" s="2">
        <v>51526563</v>
      </c>
      <c r="J4185">
        <v>2</v>
      </c>
      <c r="L4185">
        <v>0</v>
      </c>
      <c r="M4185" t="str">
        <f t="shared" si="65"/>
        <v>After 2020</v>
      </c>
    </row>
    <row r="4186" spans="1:13">
      <c r="A4186" t="s">
        <v>5841</v>
      </c>
      <c r="B4186" t="s">
        <v>1534</v>
      </c>
      <c r="C4186" s="1">
        <v>44279</v>
      </c>
      <c r="D4186" s="2">
        <v>137924605</v>
      </c>
      <c r="E4186" s="2">
        <v>30692</v>
      </c>
      <c r="F4186">
        <v>62</v>
      </c>
      <c r="G4186" s="2">
        <v>192748584</v>
      </c>
      <c r="H4186" s="2">
        <v>1699888</v>
      </c>
      <c r="I4186" s="2">
        <v>142222723</v>
      </c>
      <c r="J4186">
        <v>26</v>
      </c>
      <c r="K4186">
        <v>91</v>
      </c>
      <c r="L4186">
        <v>1</v>
      </c>
      <c r="M4186" t="str">
        <f t="shared" si="65"/>
        <v>After 2020</v>
      </c>
    </row>
    <row r="4187" spans="1:13" hidden="1">
      <c r="A4187" t="s">
        <v>5842</v>
      </c>
      <c r="B4187" t="s">
        <v>5843</v>
      </c>
      <c r="C4187" s="1">
        <v>45240</v>
      </c>
      <c r="D4187" s="2">
        <v>55080421</v>
      </c>
      <c r="E4187" s="2">
        <v>11926</v>
      </c>
      <c r="F4187">
        <v>71</v>
      </c>
      <c r="G4187" s="2">
        <v>23281919</v>
      </c>
      <c r="H4187" s="2">
        <v>434199</v>
      </c>
      <c r="I4187" s="2">
        <v>7597358</v>
      </c>
      <c r="L4187">
        <v>0</v>
      </c>
      <c r="M4187" t="str">
        <f t="shared" si="65"/>
        <v>After 2020</v>
      </c>
    </row>
    <row r="4188" spans="1:13" hidden="1">
      <c r="A4188" t="s">
        <v>5844</v>
      </c>
      <c r="B4188" t="s">
        <v>5845</v>
      </c>
      <c r="C4188" s="1">
        <v>45337</v>
      </c>
      <c r="D4188" s="2">
        <v>38079739</v>
      </c>
      <c r="E4188" s="2">
        <v>4948</v>
      </c>
      <c r="F4188">
        <v>66</v>
      </c>
      <c r="G4188" s="2">
        <v>19594813</v>
      </c>
      <c r="H4188" s="2">
        <v>135889</v>
      </c>
      <c r="J4188">
        <v>20</v>
      </c>
      <c r="L4188">
        <v>1</v>
      </c>
      <c r="M4188" t="str">
        <f t="shared" si="65"/>
        <v>After 2020</v>
      </c>
    </row>
    <row r="4189" spans="1:13" hidden="1">
      <c r="A4189" t="s">
        <v>5846</v>
      </c>
      <c r="B4189" t="s">
        <v>5847</v>
      </c>
      <c r="C4189" s="1">
        <v>44335</v>
      </c>
      <c r="D4189" s="2">
        <v>25149668</v>
      </c>
      <c r="E4189" s="2">
        <v>13174</v>
      </c>
      <c r="F4189">
        <v>48</v>
      </c>
      <c r="G4189" s="2">
        <v>406717108</v>
      </c>
      <c r="H4189" s="2">
        <v>1567948</v>
      </c>
      <c r="I4189" s="2">
        <v>987819837</v>
      </c>
      <c r="J4189">
        <v>17</v>
      </c>
      <c r="L4189">
        <v>0</v>
      </c>
      <c r="M4189" t="str">
        <f t="shared" si="65"/>
        <v>After 2020</v>
      </c>
    </row>
    <row r="4190" spans="1:13" hidden="1">
      <c r="A4190" t="s">
        <v>5848</v>
      </c>
      <c r="B4190" t="s">
        <v>5849</v>
      </c>
      <c r="C4190" s="1">
        <v>44967</v>
      </c>
      <c r="D4190" s="2">
        <v>145707423</v>
      </c>
      <c r="E4190" s="2">
        <v>11288</v>
      </c>
      <c r="F4190">
        <v>67</v>
      </c>
      <c r="G4190" s="2">
        <v>100716156</v>
      </c>
      <c r="H4190" s="2">
        <v>595346</v>
      </c>
      <c r="L4190">
        <v>0</v>
      </c>
      <c r="M4190" t="str">
        <f t="shared" si="65"/>
        <v>After 2020</v>
      </c>
    </row>
    <row r="4191" spans="1:13" hidden="1">
      <c r="A4191" t="s">
        <v>5850</v>
      </c>
      <c r="B4191" t="s">
        <v>3187</v>
      </c>
      <c r="C4191" s="1">
        <v>45282</v>
      </c>
      <c r="D4191" s="2">
        <v>100634965</v>
      </c>
      <c r="E4191" s="2">
        <v>8790</v>
      </c>
      <c r="G4191" s="2">
        <v>19367095</v>
      </c>
      <c r="H4191" s="2">
        <v>200936</v>
      </c>
      <c r="J4191">
        <v>5</v>
      </c>
      <c r="L4191">
        <v>1</v>
      </c>
      <c r="M4191" t="str">
        <f t="shared" si="65"/>
        <v>After 2020</v>
      </c>
    </row>
    <row r="4192" spans="1:13">
      <c r="A4192" t="s">
        <v>5851</v>
      </c>
      <c r="B4192" t="s">
        <v>371</v>
      </c>
      <c r="C4192" s="1">
        <v>42649</v>
      </c>
      <c r="D4192" s="2">
        <v>825465124</v>
      </c>
      <c r="E4192" s="2">
        <v>71034</v>
      </c>
      <c r="F4192">
        <v>69</v>
      </c>
      <c r="G4192" s="2">
        <v>567425578</v>
      </c>
      <c r="H4192" s="2">
        <v>4410512</v>
      </c>
      <c r="I4192" s="2">
        <v>38088467</v>
      </c>
      <c r="J4192">
        <v>106</v>
      </c>
      <c r="K4192">
        <v>59</v>
      </c>
      <c r="L4192">
        <v>0</v>
      </c>
      <c r="M4192" t="str">
        <f t="shared" si="65"/>
        <v>2010-2020</v>
      </c>
    </row>
    <row r="4193" spans="1:13">
      <c r="A4193" t="s">
        <v>5852</v>
      </c>
      <c r="B4193" t="s">
        <v>4455</v>
      </c>
      <c r="C4193" s="1">
        <v>44610</v>
      </c>
      <c r="D4193" s="2">
        <v>98538888</v>
      </c>
      <c r="E4193" s="2">
        <v>14642</v>
      </c>
      <c r="F4193">
        <v>60</v>
      </c>
      <c r="G4193" s="2">
        <v>16119088</v>
      </c>
      <c r="H4193" s="2">
        <v>140631</v>
      </c>
      <c r="I4193" s="2">
        <v>66770114</v>
      </c>
      <c r="J4193">
        <v>15</v>
      </c>
      <c r="K4193">
        <v>41</v>
      </c>
      <c r="L4193">
        <v>0</v>
      </c>
      <c r="M4193" t="str">
        <f t="shared" si="65"/>
        <v>After 2020</v>
      </c>
    </row>
    <row r="4194" spans="1:13" hidden="1">
      <c r="A4194" t="s">
        <v>5853</v>
      </c>
      <c r="B4194" t="s">
        <v>586</v>
      </c>
      <c r="C4194" s="1">
        <v>45149</v>
      </c>
      <c r="D4194" s="2">
        <v>63642484</v>
      </c>
      <c r="E4194" s="2">
        <v>15618</v>
      </c>
      <c r="F4194">
        <v>65</v>
      </c>
      <c r="G4194" s="2">
        <v>15786520</v>
      </c>
      <c r="H4194" s="2">
        <v>508672</v>
      </c>
      <c r="I4194" s="2">
        <v>833809283</v>
      </c>
      <c r="J4194">
        <v>1</v>
      </c>
      <c r="L4194">
        <v>0</v>
      </c>
      <c r="M4194" t="str">
        <f t="shared" si="65"/>
        <v>After 2020</v>
      </c>
    </row>
    <row r="4195" spans="1:13" hidden="1">
      <c r="A4195" t="s">
        <v>5854</v>
      </c>
      <c r="B4195" t="s">
        <v>5855</v>
      </c>
      <c r="C4195" s="1">
        <v>44519</v>
      </c>
      <c r="D4195" s="2">
        <v>186607065</v>
      </c>
      <c r="E4195" s="2">
        <v>18815</v>
      </c>
      <c r="F4195">
        <v>62</v>
      </c>
      <c r="G4195" s="2">
        <v>278576205</v>
      </c>
      <c r="H4195" s="2">
        <v>1476391</v>
      </c>
      <c r="I4195" s="2">
        <v>371511075</v>
      </c>
      <c r="J4195">
        <v>14</v>
      </c>
      <c r="L4195">
        <v>0</v>
      </c>
      <c r="M4195" t="str">
        <f t="shared" si="65"/>
        <v>After 2020</v>
      </c>
    </row>
    <row r="4196" spans="1:13" hidden="1">
      <c r="A4196" t="s">
        <v>5856</v>
      </c>
      <c r="B4196" t="s">
        <v>1046</v>
      </c>
      <c r="C4196" s="1">
        <v>45267</v>
      </c>
      <c r="D4196" s="2">
        <v>9129729</v>
      </c>
      <c r="E4196" s="2">
        <v>1422</v>
      </c>
      <c r="G4196" s="2">
        <v>78290967</v>
      </c>
      <c r="H4196" s="2">
        <v>103564</v>
      </c>
      <c r="J4196">
        <v>4</v>
      </c>
      <c r="K4196">
        <v>5</v>
      </c>
      <c r="L4196">
        <v>0</v>
      </c>
      <c r="M4196" t="str">
        <f t="shared" si="65"/>
        <v>After 2020</v>
      </c>
    </row>
    <row r="4197" spans="1:13">
      <c r="A4197" t="s">
        <v>5857</v>
      </c>
      <c r="B4197" t="s">
        <v>441</v>
      </c>
      <c r="C4197" s="1">
        <v>45093</v>
      </c>
      <c r="D4197" s="2">
        <v>126879048</v>
      </c>
      <c r="E4197" s="2">
        <v>19994</v>
      </c>
      <c r="F4197">
        <v>63</v>
      </c>
      <c r="G4197" s="2">
        <v>26943448</v>
      </c>
      <c r="H4197" s="2">
        <v>151763</v>
      </c>
      <c r="I4197" s="2">
        <v>389534</v>
      </c>
      <c r="J4197">
        <v>25</v>
      </c>
      <c r="K4197">
        <v>5</v>
      </c>
      <c r="L4197">
        <v>1</v>
      </c>
      <c r="M4197" t="str">
        <f t="shared" si="65"/>
        <v>After 2020</v>
      </c>
    </row>
    <row r="4198" spans="1:13" hidden="1">
      <c r="A4198" t="s">
        <v>5858</v>
      </c>
      <c r="B4198" t="s">
        <v>3123</v>
      </c>
      <c r="C4198" s="1">
        <v>43392</v>
      </c>
      <c r="D4198" s="2">
        <v>296469547</v>
      </c>
      <c r="E4198" s="2">
        <v>71250</v>
      </c>
      <c r="F4198">
        <v>62</v>
      </c>
      <c r="G4198" s="2">
        <v>39687605</v>
      </c>
      <c r="H4198" s="2">
        <v>346501</v>
      </c>
      <c r="I4198" s="2">
        <v>2575024</v>
      </c>
      <c r="J4198">
        <v>10</v>
      </c>
      <c r="L4198">
        <v>1</v>
      </c>
      <c r="M4198" t="str">
        <f t="shared" si="65"/>
        <v>2010-2020</v>
      </c>
    </row>
    <row r="4199" spans="1:13">
      <c r="A4199" t="s">
        <v>5859</v>
      </c>
      <c r="B4199" t="s">
        <v>479</v>
      </c>
      <c r="C4199" s="1">
        <v>40179</v>
      </c>
      <c r="D4199" s="2">
        <v>921351898</v>
      </c>
      <c r="E4199" s="2">
        <v>110426</v>
      </c>
      <c r="F4199">
        <v>67</v>
      </c>
      <c r="G4199" s="2">
        <v>1126799119</v>
      </c>
      <c r="H4199" s="2">
        <v>5603400</v>
      </c>
      <c r="I4199" s="2">
        <v>397746382</v>
      </c>
      <c r="J4199">
        <v>40</v>
      </c>
      <c r="K4199">
        <v>16</v>
      </c>
      <c r="L4199">
        <v>0</v>
      </c>
      <c r="M4199" t="str">
        <f t="shared" si="65"/>
        <v>2010-2020</v>
      </c>
    </row>
    <row r="4200" spans="1:13">
      <c r="A4200" t="s">
        <v>5860</v>
      </c>
      <c r="B4200" t="s">
        <v>141</v>
      </c>
      <c r="C4200" s="1">
        <v>43457</v>
      </c>
      <c r="D4200" s="2">
        <v>410897040</v>
      </c>
      <c r="E4200" s="2">
        <v>71655</v>
      </c>
      <c r="F4200">
        <v>68</v>
      </c>
      <c r="G4200" s="2">
        <v>428412819</v>
      </c>
      <c r="H4200" s="2">
        <v>3256737</v>
      </c>
      <c r="I4200" s="2">
        <v>79348588</v>
      </c>
      <c r="J4200">
        <v>37</v>
      </c>
      <c r="K4200">
        <v>19</v>
      </c>
      <c r="L4200">
        <v>1</v>
      </c>
      <c r="M4200" t="str">
        <f t="shared" si="65"/>
        <v>2010-2020</v>
      </c>
    </row>
    <row r="4201" spans="1:13" hidden="1">
      <c r="A4201" t="s">
        <v>5861</v>
      </c>
      <c r="B4201" t="s">
        <v>3957</v>
      </c>
      <c r="C4201" s="1">
        <v>43595</v>
      </c>
      <c r="D4201" s="2">
        <v>960753774</v>
      </c>
      <c r="E4201" s="2">
        <v>96971</v>
      </c>
      <c r="F4201">
        <v>67</v>
      </c>
      <c r="I4201" s="2">
        <v>68313797</v>
      </c>
      <c r="J4201">
        <v>95</v>
      </c>
      <c r="K4201">
        <v>10</v>
      </c>
      <c r="L4201">
        <v>0</v>
      </c>
      <c r="M4201" t="str">
        <f t="shared" si="65"/>
        <v>2010-2020</v>
      </c>
    </row>
    <row r="4202" spans="1:13">
      <c r="A4202" t="s">
        <v>5862</v>
      </c>
      <c r="B4202" t="s">
        <v>4480</v>
      </c>
      <c r="C4202" s="1">
        <v>45114</v>
      </c>
      <c r="D4202" s="2">
        <v>50471076</v>
      </c>
      <c r="E4202" s="2">
        <v>29417</v>
      </c>
      <c r="F4202">
        <v>65</v>
      </c>
      <c r="G4202" s="2">
        <v>6874694</v>
      </c>
      <c r="H4202" s="2">
        <v>138715</v>
      </c>
      <c r="I4202" s="2">
        <v>2893271</v>
      </c>
      <c r="J4202">
        <v>19</v>
      </c>
      <c r="K4202">
        <v>165</v>
      </c>
      <c r="L4202">
        <v>0</v>
      </c>
      <c r="M4202" t="str">
        <f t="shared" si="65"/>
        <v>After 2020</v>
      </c>
    </row>
    <row r="4203" spans="1:13" hidden="1">
      <c r="A4203" t="s">
        <v>5863</v>
      </c>
      <c r="B4203" t="s">
        <v>5864</v>
      </c>
      <c r="C4203" s="1">
        <v>44910</v>
      </c>
      <c r="D4203" s="2">
        <v>4671066</v>
      </c>
      <c r="E4203">
        <v>357</v>
      </c>
      <c r="F4203">
        <v>39</v>
      </c>
      <c r="I4203" s="2">
        <v>257457879</v>
      </c>
      <c r="L4203">
        <v>0</v>
      </c>
      <c r="M4203" t="str">
        <f t="shared" si="65"/>
        <v>After 2020</v>
      </c>
    </row>
    <row r="4204" spans="1:13" hidden="1">
      <c r="A4204" t="s">
        <v>5865</v>
      </c>
      <c r="B4204" t="s">
        <v>5866</v>
      </c>
      <c r="C4204" s="1">
        <v>44904</v>
      </c>
      <c r="D4204" s="2">
        <v>104493081</v>
      </c>
      <c r="E4204" s="2">
        <v>40264</v>
      </c>
      <c r="F4204">
        <v>64</v>
      </c>
      <c r="G4204" s="2">
        <v>4214887</v>
      </c>
      <c r="H4204" s="2">
        <v>50258</v>
      </c>
      <c r="I4204" s="2">
        <v>33784807</v>
      </c>
      <c r="J4204">
        <v>14</v>
      </c>
      <c r="L4204">
        <v>1</v>
      </c>
      <c r="M4204" t="str">
        <f t="shared" si="65"/>
        <v>After 2020</v>
      </c>
    </row>
    <row r="4205" spans="1:13">
      <c r="A4205" t="s">
        <v>5867</v>
      </c>
      <c r="B4205" t="s">
        <v>4654</v>
      </c>
      <c r="C4205" s="1">
        <v>45223</v>
      </c>
      <c r="D4205" s="2">
        <v>15336055</v>
      </c>
      <c r="E4205" s="2">
        <v>4793</v>
      </c>
      <c r="F4205">
        <v>1</v>
      </c>
      <c r="G4205" s="2">
        <v>3725312</v>
      </c>
      <c r="H4205" s="2">
        <v>104259</v>
      </c>
      <c r="I4205" s="2">
        <v>13261497</v>
      </c>
      <c r="J4205">
        <v>18</v>
      </c>
      <c r="K4205">
        <v>192</v>
      </c>
      <c r="L4205">
        <v>1</v>
      </c>
      <c r="M4205" t="str">
        <f t="shared" si="65"/>
        <v>After 2020</v>
      </c>
    </row>
    <row r="4206" spans="1:13" hidden="1">
      <c r="A4206" t="s">
        <v>5868</v>
      </c>
      <c r="B4206" t="s">
        <v>318</v>
      </c>
      <c r="C4206" s="1">
        <v>45190</v>
      </c>
      <c r="D4206" s="2">
        <v>125267352</v>
      </c>
      <c r="E4206" s="2">
        <v>19156</v>
      </c>
      <c r="G4206" s="2">
        <v>1895430</v>
      </c>
      <c r="H4206" s="2">
        <v>9640</v>
      </c>
      <c r="I4206" s="2">
        <v>1436305</v>
      </c>
      <c r="J4206">
        <v>7</v>
      </c>
      <c r="K4206">
        <v>4</v>
      </c>
      <c r="L4206">
        <v>0</v>
      </c>
      <c r="M4206" t="str">
        <f t="shared" si="65"/>
        <v>After 2020</v>
      </c>
    </row>
    <row r="4207" spans="1:13" hidden="1">
      <c r="A4207" t="s">
        <v>5869</v>
      </c>
      <c r="B4207" t="s">
        <v>739</v>
      </c>
      <c r="C4207" s="1">
        <v>45197</v>
      </c>
      <c r="D4207" s="2">
        <v>80886056</v>
      </c>
      <c r="E4207" s="2">
        <v>4145</v>
      </c>
      <c r="G4207" s="2">
        <v>94460422</v>
      </c>
      <c r="H4207" s="2">
        <v>1977999</v>
      </c>
      <c r="I4207" s="2">
        <v>1917705</v>
      </c>
      <c r="J4207">
        <v>2</v>
      </c>
      <c r="L4207">
        <v>0</v>
      </c>
      <c r="M4207" t="str">
        <f t="shared" si="65"/>
        <v>After 2020</v>
      </c>
    </row>
    <row r="4208" spans="1:13">
      <c r="A4208" t="s">
        <v>5870</v>
      </c>
      <c r="B4208" t="s">
        <v>5871</v>
      </c>
      <c r="C4208" s="1">
        <v>44512</v>
      </c>
      <c r="D4208" s="2">
        <v>274559147</v>
      </c>
      <c r="E4208" s="2">
        <v>28733</v>
      </c>
      <c r="F4208">
        <v>66</v>
      </c>
      <c r="G4208" s="2">
        <v>225016104</v>
      </c>
      <c r="H4208" s="2">
        <v>1056037</v>
      </c>
      <c r="I4208" s="2">
        <v>98720581</v>
      </c>
      <c r="J4208">
        <v>7</v>
      </c>
      <c r="K4208">
        <v>4</v>
      </c>
      <c r="L4208">
        <v>1</v>
      </c>
      <c r="M4208" t="str">
        <f t="shared" si="65"/>
        <v>After 2020</v>
      </c>
    </row>
    <row r="4209" spans="1:13" hidden="1">
      <c r="A4209" t="s">
        <v>5872</v>
      </c>
      <c r="B4209" t="s">
        <v>5873</v>
      </c>
      <c r="C4209" s="1">
        <v>44536</v>
      </c>
      <c r="D4209" s="2">
        <v>261275106</v>
      </c>
      <c r="E4209" s="2">
        <v>28281</v>
      </c>
      <c r="F4209">
        <v>64</v>
      </c>
      <c r="G4209" s="2">
        <v>212525130</v>
      </c>
      <c r="H4209" s="2">
        <v>1350970</v>
      </c>
      <c r="I4209" s="2">
        <v>582712801</v>
      </c>
      <c r="J4209">
        <v>13</v>
      </c>
      <c r="L4209">
        <v>0</v>
      </c>
      <c r="M4209" t="str">
        <f t="shared" si="65"/>
        <v>After 2020</v>
      </c>
    </row>
    <row r="4210" spans="1:13" hidden="1">
      <c r="A4210" t="s">
        <v>5874</v>
      </c>
      <c r="B4210" t="s">
        <v>295</v>
      </c>
      <c r="C4210" s="1">
        <v>45205</v>
      </c>
      <c r="D4210" s="2">
        <v>48556312</v>
      </c>
      <c r="E4210" s="2">
        <v>18674</v>
      </c>
      <c r="G4210" s="2">
        <v>3006021</v>
      </c>
      <c r="H4210" s="2">
        <v>43340</v>
      </c>
      <c r="I4210" s="2">
        <v>4098401</v>
      </c>
      <c r="J4210">
        <v>5</v>
      </c>
      <c r="K4210">
        <v>5</v>
      </c>
      <c r="L4210">
        <v>1</v>
      </c>
      <c r="M4210" t="str">
        <f t="shared" si="65"/>
        <v>After 2020</v>
      </c>
    </row>
    <row r="4211" spans="1:13">
      <c r="A4211" t="s">
        <v>5875</v>
      </c>
      <c r="B4211" t="s">
        <v>305</v>
      </c>
      <c r="C4211" s="1">
        <v>41250</v>
      </c>
      <c r="D4211" s="2">
        <v>2106040891</v>
      </c>
      <c r="E4211" s="2">
        <v>231184</v>
      </c>
      <c r="F4211">
        <v>81</v>
      </c>
      <c r="G4211" s="2">
        <v>275768987</v>
      </c>
      <c r="H4211" s="2">
        <v>2172034</v>
      </c>
      <c r="I4211" s="2">
        <v>624816222</v>
      </c>
      <c r="J4211">
        <v>104</v>
      </c>
      <c r="K4211">
        <v>228</v>
      </c>
      <c r="L4211">
        <v>0</v>
      </c>
      <c r="M4211" t="str">
        <f t="shared" si="65"/>
        <v>2010-2020</v>
      </c>
    </row>
    <row r="4212" spans="1:13">
      <c r="A4212" t="s">
        <v>5876</v>
      </c>
      <c r="B4212" t="s">
        <v>5877</v>
      </c>
      <c r="C4212" s="1">
        <v>40909</v>
      </c>
      <c r="D4212" s="2">
        <v>455780340</v>
      </c>
      <c r="E4212" s="2">
        <v>62047</v>
      </c>
      <c r="F4212">
        <v>67</v>
      </c>
      <c r="G4212" s="2">
        <v>2801769</v>
      </c>
      <c r="H4212" s="2">
        <v>34063</v>
      </c>
      <c r="I4212" s="2">
        <v>11785941</v>
      </c>
      <c r="J4212">
        <v>69</v>
      </c>
      <c r="K4212">
        <v>281</v>
      </c>
      <c r="L4212">
        <v>0</v>
      </c>
      <c r="M4212" t="str">
        <f t="shared" si="65"/>
        <v>2010-2020</v>
      </c>
    </row>
    <row r="4213" spans="1:13" hidden="1">
      <c r="A4213" t="s">
        <v>5878</v>
      </c>
      <c r="B4213" t="s">
        <v>252</v>
      </c>
      <c r="C4213" s="1">
        <v>42779</v>
      </c>
      <c r="D4213" s="2">
        <v>563366391</v>
      </c>
      <c r="E4213" s="2">
        <v>4227</v>
      </c>
      <c r="F4213">
        <v>43</v>
      </c>
      <c r="G4213" s="2">
        <v>1138081643</v>
      </c>
      <c r="H4213" s="2">
        <v>19259795</v>
      </c>
      <c r="I4213" s="2">
        <v>247725561</v>
      </c>
      <c r="J4213">
        <v>3</v>
      </c>
      <c r="L4213">
        <v>0</v>
      </c>
      <c r="M4213" t="str">
        <f t="shared" si="65"/>
        <v>2010-2020</v>
      </c>
    </row>
    <row r="4214" spans="1:13" hidden="1">
      <c r="A4214" t="s">
        <v>1381</v>
      </c>
      <c r="B4214" t="s">
        <v>43</v>
      </c>
      <c r="C4214" s="1">
        <v>45435</v>
      </c>
      <c r="D4214" s="2">
        <v>86144467</v>
      </c>
      <c r="E4214">
        <v>50</v>
      </c>
      <c r="F4214">
        <v>7</v>
      </c>
      <c r="J4214">
        <v>152</v>
      </c>
      <c r="L4214">
        <v>0</v>
      </c>
      <c r="M4214" t="str">
        <f t="shared" si="65"/>
        <v>After 2020</v>
      </c>
    </row>
    <row r="4215" spans="1:13" hidden="1">
      <c r="A4215" t="s">
        <v>5879</v>
      </c>
      <c r="B4215" t="s">
        <v>4003</v>
      </c>
      <c r="C4215" s="1">
        <v>44120</v>
      </c>
      <c r="D4215" s="2">
        <v>267459903</v>
      </c>
      <c r="E4215" s="2">
        <v>56613</v>
      </c>
      <c r="F4215">
        <v>53</v>
      </c>
      <c r="G4215" s="2">
        <v>67857878</v>
      </c>
      <c r="H4215" s="2">
        <v>594378</v>
      </c>
      <c r="I4215" s="2">
        <v>369606102</v>
      </c>
      <c r="J4215">
        <v>63</v>
      </c>
      <c r="L4215">
        <v>1</v>
      </c>
      <c r="M4215" t="str">
        <f t="shared" si="65"/>
        <v>2010-2020</v>
      </c>
    </row>
    <row r="4216" spans="1:13" hidden="1">
      <c r="A4216" t="s">
        <v>5880</v>
      </c>
      <c r="B4216" t="s">
        <v>3620</v>
      </c>
      <c r="C4216" s="1">
        <v>45198</v>
      </c>
      <c r="D4216" s="2">
        <v>67967157</v>
      </c>
      <c r="E4216" s="2">
        <v>3843</v>
      </c>
      <c r="F4216">
        <v>62</v>
      </c>
      <c r="G4216" s="2">
        <v>64206693</v>
      </c>
      <c r="H4216" s="2">
        <v>380795</v>
      </c>
      <c r="J4216">
        <v>25</v>
      </c>
      <c r="L4216">
        <v>0</v>
      </c>
      <c r="M4216" t="str">
        <f t="shared" si="65"/>
        <v>After 2020</v>
      </c>
    </row>
    <row r="4217" spans="1:13" hidden="1">
      <c r="A4217" t="s">
        <v>5881</v>
      </c>
      <c r="B4217" t="s">
        <v>5882</v>
      </c>
      <c r="C4217" s="1">
        <v>45433</v>
      </c>
      <c r="D4217" s="2">
        <v>4906976</v>
      </c>
      <c r="E4217">
        <v>182</v>
      </c>
      <c r="F4217">
        <v>62</v>
      </c>
      <c r="G4217" s="2">
        <v>11083107</v>
      </c>
      <c r="H4217" s="2">
        <v>171439</v>
      </c>
      <c r="J4217">
        <v>2</v>
      </c>
      <c r="L4217">
        <v>0</v>
      </c>
      <c r="M4217" t="str">
        <f t="shared" si="65"/>
        <v>After 2020</v>
      </c>
    </row>
    <row r="4218" spans="1:13" hidden="1">
      <c r="A4218" t="s">
        <v>5883</v>
      </c>
      <c r="B4218" t="s">
        <v>1613</v>
      </c>
      <c r="C4218" s="1">
        <v>43014</v>
      </c>
      <c r="D4218" s="2">
        <v>582549538</v>
      </c>
      <c r="E4218" s="2">
        <v>89956</v>
      </c>
      <c r="F4218">
        <v>69</v>
      </c>
      <c r="G4218" s="2">
        <v>231140951</v>
      </c>
      <c r="H4218" s="2">
        <v>2179847</v>
      </c>
      <c r="I4218" s="2">
        <v>93392003</v>
      </c>
      <c r="J4218">
        <v>10</v>
      </c>
      <c r="L4218">
        <v>0</v>
      </c>
      <c r="M4218" t="str">
        <f t="shared" si="65"/>
        <v>2010-2020</v>
      </c>
    </row>
    <row r="4219" spans="1:13">
      <c r="A4219" t="s">
        <v>5884</v>
      </c>
      <c r="B4219" t="s">
        <v>5885</v>
      </c>
      <c r="C4219" s="1">
        <v>43447</v>
      </c>
      <c r="D4219" s="2">
        <v>358620184</v>
      </c>
      <c r="E4219" s="2">
        <v>30692</v>
      </c>
      <c r="F4219">
        <v>65</v>
      </c>
      <c r="G4219" s="2">
        <v>710463080</v>
      </c>
      <c r="H4219" s="2">
        <v>9902612</v>
      </c>
      <c r="I4219" s="2">
        <v>456814795</v>
      </c>
      <c r="J4219">
        <v>8</v>
      </c>
      <c r="K4219">
        <v>13</v>
      </c>
      <c r="L4219">
        <v>0</v>
      </c>
      <c r="M4219" t="str">
        <f t="shared" si="65"/>
        <v>2010-2020</v>
      </c>
    </row>
    <row r="4220" spans="1:13" hidden="1">
      <c r="A4220" t="s">
        <v>5886</v>
      </c>
      <c r="B4220" t="s">
        <v>5887</v>
      </c>
      <c r="C4220" s="1">
        <v>45107</v>
      </c>
      <c r="L4220">
        <v>0</v>
      </c>
      <c r="M4220" t="str">
        <f t="shared" si="65"/>
        <v>After 2020</v>
      </c>
    </row>
    <row r="4221" spans="1:13">
      <c r="A4221" t="s">
        <v>5888</v>
      </c>
      <c r="B4221" t="s">
        <v>787</v>
      </c>
      <c r="C4221" s="1">
        <v>44883</v>
      </c>
      <c r="D4221" s="2">
        <v>92424493</v>
      </c>
      <c r="E4221" s="2">
        <v>45053</v>
      </c>
      <c r="F4221">
        <v>58</v>
      </c>
      <c r="G4221" s="2">
        <v>9282240</v>
      </c>
      <c r="H4221" s="2">
        <v>161536</v>
      </c>
      <c r="I4221" s="2">
        <v>120998374</v>
      </c>
      <c r="J4221">
        <v>22</v>
      </c>
      <c r="K4221">
        <v>83</v>
      </c>
      <c r="L4221">
        <v>1</v>
      </c>
      <c r="M4221" t="str">
        <f t="shared" si="65"/>
        <v>After 2020</v>
      </c>
    </row>
    <row r="4222" spans="1:13">
      <c r="A4222" t="s">
        <v>5889</v>
      </c>
      <c r="B4222" t="s">
        <v>59</v>
      </c>
      <c r="C4222" s="1">
        <v>44462</v>
      </c>
      <c r="D4222" s="2">
        <v>228003109</v>
      </c>
      <c r="E4222" s="2">
        <v>58288</v>
      </c>
      <c r="F4222">
        <v>63</v>
      </c>
      <c r="G4222" s="2">
        <v>106513804</v>
      </c>
      <c r="H4222" s="2">
        <v>755609</v>
      </c>
      <c r="I4222" s="2">
        <v>548393169</v>
      </c>
      <c r="J4222">
        <v>29</v>
      </c>
      <c r="K4222">
        <v>10</v>
      </c>
      <c r="L4222">
        <v>0</v>
      </c>
      <c r="M4222" t="str">
        <f t="shared" si="65"/>
        <v>After 2020</v>
      </c>
    </row>
    <row r="4223" spans="1:13" hidden="1">
      <c r="A4223" t="s">
        <v>5890</v>
      </c>
      <c r="B4223" t="s">
        <v>772</v>
      </c>
      <c r="C4223" s="1">
        <v>41940</v>
      </c>
      <c r="D4223" s="2">
        <v>557775679</v>
      </c>
      <c r="E4223" s="2">
        <v>78471</v>
      </c>
      <c r="F4223">
        <v>60</v>
      </c>
      <c r="G4223" s="2">
        <v>174422564</v>
      </c>
      <c r="H4223" s="2">
        <v>1250134</v>
      </c>
      <c r="I4223" s="2">
        <v>184569148</v>
      </c>
      <c r="J4223">
        <v>35</v>
      </c>
      <c r="L4223">
        <v>1</v>
      </c>
      <c r="M4223" t="str">
        <f t="shared" si="65"/>
        <v>2010-2020</v>
      </c>
    </row>
    <row r="4224" spans="1:13">
      <c r="A4224" t="s">
        <v>5891</v>
      </c>
      <c r="B4224" t="s">
        <v>5892</v>
      </c>
      <c r="C4224" s="1">
        <v>41275</v>
      </c>
      <c r="D4224" s="2">
        <v>276992369</v>
      </c>
      <c r="E4224" s="2">
        <v>105690</v>
      </c>
      <c r="F4224">
        <v>64</v>
      </c>
      <c r="G4224" s="2">
        <v>126116178</v>
      </c>
      <c r="H4224" s="2">
        <v>2585938</v>
      </c>
      <c r="I4224" s="2">
        <v>17759263793</v>
      </c>
      <c r="J4224">
        <v>10</v>
      </c>
      <c r="K4224">
        <v>423</v>
      </c>
      <c r="L4224">
        <v>1</v>
      </c>
      <c r="M4224" t="str">
        <f t="shared" si="65"/>
        <v>2010-2020</v>
      </c>
    </row>
    <row r="4225" spans="1:13" hidden="1">
      <c r="A4225" t="s">
        <v>5893</v>
      </c>
      <c r="B4225" t="s">
        <v>961</v>
      </c>
      <c r="C4225" s="1">
        <v>45216</v>
      </c>
      <c r="D4225" s="2">
        <v>81632951</v>
      </c>
      <c r="E4225" s="2">
        <v>14438</v>
      </c>
      <c r="G4225" s="2">
        <v>10815357</v>
      </c>
      <c r="H4225" s="2">
        <v>155660</v>
      </c>
      <c r="I4225" s="2">
        <v>42031379</v>
      </c>
      <c r="J4225">
        <v>6</v>
      </c>
      <c r="L4225">
        <v>0</v>
      </c>
      <c r="M4225" t="str">
        <f t="shared" si="65"/>
        <v>After 2020</v>
      </c>
    </row>
    <row r="4226" spans="1:13">
      <c r="A4226" t="s">
        <v>5894</v>
      </c>
      <c r="B4226" t="s">
        <v>4021</v>
      </c>
      <c r="C4226" s="1">
        <v>42080</v>
      </c>
      <c r="D4226" s="2">
        <v>1069960318</v>
      </c>
      <c r="E4226" s="2">
        <v>164242</v>
      </c>
      <c r="F4226">
        <v>71</v>
      </c>
      <c r="G4226" s="2">
        <v>475719992</v>
      </c>
      <c r="H4226" s="2">
        <v>3512318</v>
      </c>
      <c r="I4226" s="2">
        <v>1824623443</v>
      </c>
      <c r="J4226">
        <v>81</v>
      </c>
      <c r="K4226">
        <v>405</v>
      </c>
      <c r="L4226">
        <v>0</v>
      </c>
      <c r="M4226" t="str">
        <f t="shared" si="65"/>
        <v>2010-2020</v>
      </c>
    </row>
    <row r="4227" spans="1:13">
      <c r="A4227" t="s">
        <v>5895</v>
      </c>
      <c r="B4227" t="s">
        <v>318</v>
      </c>
      <c r="C4227" s="1">
        <v>44701</v>
      </c>
      <c r="D4227" s="2">
        <v>307125680</v>
      </c>
      <c r="E4227" s="2">
        <v>37085</v>
      </c>
      <c r="F4227">
        <v>78</v>
      </c>
      <c r="G4227" s="2">
        <v>23958351</v>
      </c>
      <c r="H4227" s="2">
        <v>115841</v>
      </c>
      <c r="I4227" s="2">
        <v>91548493</v>
      </c>
      <c r="J4227">
        <v>5</v>
      </c>
      <c r="K4227">
        <v>24</v>
      </c>
      <c r="L4227">
        <v>0</v>
      </c>
      <c r="M4227" t="str">
        <f t="shared" ref="M4227:M4290" si="66">IF(YEAR(C4227)&lt;2010,"Before 2010",IF(YEAR(C4227)&lt;=2020,"2010-2020","After 2020"))</f>
        <v>After 2020</v>
      </c>
    </row>
    <row r="4228" spans="1:13" hidden="1">
      <c r="A4228" t="s">
        <v>5896</v>
      </c>
      <c r="B4228" t="s">
        <v>4656</v>
      </c>
      <c r="C4228" s="1">
        <v>45401</v>
      </c>
      <c r="D4228" s="2">
        <v>9034106</v>
      </c>
      <c r="E4228" s="2">
        <v>1760</v>
      </c>
      <c r="G4228" s="2">
        <v>2004196</v>
      </c>
      <c r="H4228" s="2">
        <v>33758</v>
      </c>
      <c r="J4228">
        <v>3</v>
      </c>
      <c r="K4228">
        <v>2</v>
      </c>
      <c r="L4228">
        <v>1</v>
      </c>
      <c r="M4228" t="str">
        <f t="shared" si="66"/>
        <v>After 2020</v>
      </c>
    </row>
    <row r="4229" spans="1:13">
      <c r="A4229" t="s">
        <v>5897</v>
      </c>
      <c r="B4229" t="s">
        <v>295</v>
      </c>
      <c r="C4229" s="1">
        <v>44869</v>
      </c>
      <c r="D4229" s="2">
        <v>147688885</v>
      </c>
      <c r="E4229" s="2">
        <v>45526</v>
      </c>
      <c r="F4229">
        <v>65</v>
      </c>
      <c r="G4229" s="2">
        <v>27720116</v>
      </c>
      <c r="H4229" s="2">
        <v>202844</v>
      </c>
      <c r="I4229" s="2">
        <v>12548958</v>
      </c>
      <c r="J4229">
        <v>11</v>
      </c>
      <c r="K4229">
        <v>2</v>
      </c>
      <c r="L4229">
        <v>1</v>
      </c>
      <c r="M4229" t="str">
        <f t="shared" si="66"/>
        <v>After 2020</v>
      </c>
    </row>
    <row r="4230" spans="1:13">
      <c r="A4230" t="s">
        <v>5898</v>
      </c>
      <c r="B4230" t="s">
        <v>260</v>
      </c>
      <c r="C4230" s="1">
        <v>41891</v>
      </c>
      <c r="D4230" s="2">
        <v>205312051</v>
      </c>
      <c r="E4230" s="2">
        <v>28368</v>
      </c>
      <c r="F4230">
        <v>59</v>
      </c>
      <c r="G4230" s="2">
        <v>140553023</v>
      </c>
      <c r="H4230" s="2">
        <v>1777780</v>
      </c>
      <c r="I4230" s="2">
        <v>11018922699</v>
      </c>
      <c r="J4230">
        <v>15</v>
      </c>
      <c r="K4230">
        <v>72</v>
      </c>
      <c r="L4230">
        <v>1</v>
      </c>
      <c r="M4230" t="str">
        <f t="shared" si="66"/>
        <v>2010-2020</v>
      </c>
    </row>
    <row r="4231" spans="1:13">
      <c r="A4231" t="s">
        <v>5899</v>
      </c>
      <c r="B4231" t="s">
        <v>1414</v>
      </c>
      <c r="C4231" s="1">
        <v>45079</v>
      </c>
      <c r="D4231" s="2">
        <v>118689822</v>
      </c>
      <c r="E4231" s="2">
        <v>21235</v>
      </c>
      <c r="F4231">
        <v>61</v>
      </c>
      <c r="G4231" s="2">
        <v>45565540</v>
      </c>
      <c r="H4231" s="2">
        <v>435913</v>
      </c>
      <c r="I4231" s="2">
        <v>215516634</v>
      </c>
      <c r="J4231">
        <v>17</v>
      </c>
      <c r="K4231">
        <v>22</v>
      </c>
      <c r="L4231">
        <v>1</v>
      </c>
      <c r="M4231" t="str">
        <f t="shared" si="66"/>
        <v>After 2020</v>
      </c>
    </row>
    <row r="4232" spans="1:13">
      <c r="A4232" t="s">
        <v>4031</v>
      </c>
      <c r="B4232" t="s">
        <v>288</v>
      </c>
      <c r="C4232" s="1">
        <v>44862</v>
      </c>
      <c r="D4232" s="2">
        <v>136878823</v>
      </c>
      <c r="E4232" s="2">
        <v>44098</v>
      </c>
      <c r="F4232">
        <v>62</v>
      </c>
      <c r="G4232" s="2">
        <v>46128261</v>
      </c>
      <c r="H4232" s="2">
        <v>705084</v>
      </c>
      <c r="I4232" s="2">
        <v>17208694</v>
      </c>
      <c r="J4232">
        <v>10</v>
      </c>
      <c r="K4232">
        <v>1</v>
      </c>
      <c r="L4232">
        <v>1</v>
      </c>
      <c r="M4232" t="str">
        <f t="shared" si="66"/>
        <v>After 2020</v>
      </c>
    </row>
    <row r="4233" spans="1:13" hidden="1">
      <c r="A4233" t="s">
        <v>5900</v>
      </c>
      <c r="B4233" t="s">
        <v>1243</v>
      </c>
      <c r="C4233" s="1">
        <v>45016</v>
      </c>
      <c r="D4233" s="2">
        <v>15856627</v>
      </c>
      <c r="E4233" s="2">
        <v>4695</v>
      </c>
      <c r="G4233" s="2">
        <v>93467042</v>
      </c>
      <c r="H4233" s="2">
        <v>1598098</v>
      </c>
      <c r="I4233" s="2">
        <v>830680479</v>
      </c>
      <c r="L4233">
        <v>0</v>
      </c>
      <c r="M4233" t="str">
        <f t="shared" si="66"/>
        <v>After 2020</v>
      </c>
    </row>
    <row r="4234" spans="1:13" hidden="1">
      <c r="A4234" t="s">
        <v>5901</v>
      </c>
      <c r="B4234" t="s">
        <v>336</v>
      </c>
      <c r="C4234" s="1">
        <v>42723</v>
      </c>
      <c r="D4234" s="2">
        <v>783995</v>
      </c>
      <c r="E4234">
        <v>108</v>
      </c>
      <c r="G4234" s="2">
        <v>1311271229</v>
      </c>
      <c r="H4234" s="2">
        <v>3481101</v>
      </c>
      <c r="L4234">
        <v>0</v>
      </c>
      <c r="M4234" t="str">
        <f t="shared" si="66"/>
        <v>2010-2020</v>
      </c>
    </row>
    <row r="4235" spans="1:13" hidden="1">
      <c r="A4235" t="s">
        <v>5902</v>
      </c>
      <c r="B4235" t="s">
        <v>934</v>
      </c>
      <c r="C4235" s="1">
        <v>44813</v>
      </c>
      <c r="D4235" s="2">
        <v>261975922</v>
      </c>
      <c r="E4235" s="2">
        <v>21887</v>
      </c>
      <c r="F4235">
        <v>66</v>
      </c>
      <c r="G4235" s="2">
        <v>134202748</v>
      </c>
      <c r="H4235" s="2">
        <v>1512168</v>
      </c>
      <c r="I4235" s="2">
        <v>146849902</v>
      </c>
      <c r="J4235">
        <v>14</v>
      </c>
      <c r="L4235">
        <v>0</v>
      </c>
      <c r="M4235" t="str">
        <f t="shared" si="66"/>
        <v>After 2020</v>
      </c>
    </row>
    <row r="4236" spans="1:13">
      <c r="A4236" t="s">
        <v>5903</v>
      </c>
      <c r="B4236" t="s">
        <v>5904</v>
      </c>
      <c r="C4236" s="1">
        <v>44141</v>
      </c>
      <c r="D4236" s="2">
        <v>363510259</v>
      </c>
      <c r="E4236" s="2">
        <v>62841</v>
      </c>
      <c r="F4236">
        <v>68</v>
      </c>
      <c r="G4236" s="2">
        <v>45636634</v>
      </c>
      <c r="H4236" s="2">
        <v>615650</v>
      </c>
      <c r="I4236" s="2">
        <v>907351760</v>
      </c>
      <c r="J4236">
        <v>51</v>
      </c>
      <c r="K4236">
        <v>17</v>
      </c>
      <c r="L4236">
        <v>0</v>
      </c>
      <c r="M4236" t="str">
        <f t="shared" si="66"/>
        <v>2010-2020</v>
      </c>
    </row>
    <row r="4237" spans="1:13" hidden="1">
      <c r="A4237" t="s">
        <v>5905</v>
      </c>
      <c r="B4237" t="s">
        <v>129</v>
      </c>
      <c r="C4237" s="1">
        <v>45079</v>
      </c>
      <c r="D4237" s="2">
        <v>88524099</v>
      </c>
      <c r="E4237" s="2">
        <v>26884</v>
      </c>
      <c r="F4237">
        <v>63</v>
      </c>
      <c r="G4237" s="2">
        <v>25881919</v>
      </c>
      <c r="H4237" s="2">
        <v>309105</v>
      </c>
      <c r="I4237" s="2">
        <v>15122285</v>
      </c>
      <c r="J4237">
        <v>14</v>
      </c>
      <c r="L4237">
        <v>0</v>
      </c>
      <c r="M4237" t="str">
        <f t="shared" si="66"/>
        <v>After 2020</v>
      </c>
    </row>
    <row r="4238" spans="1:13" hidden="1">
      <c r="A4238" t="s">
        <v>5906</v>
      </c>
      <c r="B4238" t="s">
        <v>5907</v>
      </c>
      <c r="C4238" s="1">
        <v>44701</v>
      </c>
      <c r="D4238" s="2">
        <v>97902676</v>
      </c>
      <c r="E4238" s="2">
        <v>29131</v>
      </c>
      <c r="F4238">
        <v>58</v>
      </c>
      <c r="G4238" s="2">
        <v>201368546</v>
      </c>
      <c r="H4238" s="2">
        <v>3657987</v>
      </c>
      <c r="I4238" s="2">
        <v>334079</v>
      </c>
      <c r="J4238">
        <v>7</v>
      </c>
      <c r="L4238">
        <v>0</v>
      </c>
      <c r="M4238" t="str">
        <f t="shared" si="66"/>
        <v>After 2020</v>
      </c>
    </row>
    <row r="4239" spans="1:13" hidden="1">
      <c r="A4239" t="s">
        <v>5908</v>
      </c>
      <c r="B4239" t="s">
        <v>838</v>
      </c>
      <c r="C4239" s="1">
        <v>45371</v>
      </c>
      <c r="D4239" s="2">
        <v>37218252</v>
      </c>
      <c r="E4239" s="2">
        <v>3393</v>
      </c>
      <c r="G4239" s="2">
        <v>19919550</v>
      </c>
      <c r="H4239" s="2">
        <v>196089</v>
      </c>
      <c r="L4239">
        <v>1</v>
      </c>
      <c r="M4239" t="str">
        <f t="shared" si="66"/>
        <v>After 2020</v>
      </c>
    </row>
    <row r="4240" spans="1:13">
      <c r="A4240" t="s">
        <v>5909</v>
      </c>
      <c r="B4240" t="s">
        <v>2307</v>
      </c>
      <c r="C4240" s="1">
        <v>42937</v>
      </c>
      <c r="D4240" s="2">
        <v>433074753</v>
      </c>
      <c r="E4240" s="2">
        <v>46083</v>
      </c>
      <c r="F4240">
        <v>69</v>
      </c>
      <c r="G4240" s="2">
        <v>733383572</v>
      </c>
      <c r="H4240" s="2">
        <v>3063277</v>
      </c>
      <c r="I4240" s="2">
        <v>271273148</v>
      </c>
      <c r="J4240">
        <v>20</v>
      </c>
      <c r="K4240">
        <v>39</v>
      </c>
      <c r="L4240">
        <v>0</v>
      </c>
      <c r="M4240" t="str">
        <f t="shared" si="66"/>
        <v>2010-2020</v>
      </c>
    </row>
    <row r="4241" spans="1:13">
      <c r="A4241" t="s">
        <v>5910</v>
      </c>
      <c r="B4241" t="s">
        <v>1857</v>
      </c>
      <c r="C4241" s="1">
        <v>41275</v>
      </c>
      <c r="D4241" s="2">
        <v>948562412</v>
      </c>
      <c r="E4241" s="2">
        <v>227652</v>
      </c>
      <c r="F4241">
        <v>76</v>
      </c>
      <c r="G4241" s="2">
        <v>179763989</v>
      </c>
      <c r="H4241" s="2">
        <v>1952137</v>
      </c>
      <c r="I4241" s="2">
        <v>509550794</v>
      </c>
      <c r="J4241">
        <v>52</v>
      </c>
      <c r="K4241">
        <v>23</v>
      </c>
      <c r="L4241">
        <v>1</v>
      </c>
      <c r="M4241" t="str">
        <f t="shared" si="66"/>
        <v>2010-2020</v>
      </c>
    </row>
    <row r="4242" spans="1:13" hidden="1">
      <c r="A4242" t="s">
        <v>5911</v>
      </c>
      <c r="B4242" t="s">
        <v>5912</v>
      </c>
      <c r="C4242" s="1">
        <v>44379</v>
      </c>
      <c r="D4242" s="2">
        <v>102703448</v>
      </c>
      <c r="E4242" s="2">
        <v>10682</v>
      </c>
      <c r="F4242">
        <v>58</v>
      </c>
      <c r="G4242" s="2">
        <v>390456652</v>
      </c>
      <c r="H4242" s="2">
        <v>2179957</v>
      </c>
      <c r="I4242" s="2">
        <v>46539050</v>
      </c>
      <c r="J4242">
        <v>3</v>
      </c>
      <c r="L4242">
        <v>0</v>
      </c>
      <c r="M4242" t="str">
        <f t="shared" si="66"/>
        <v>After 2020</v>
      </c>
    </row>
    <row r="4243" spans="1:13" hidden="1">
      <c r="A4243" t="s">
        <v>5913</v>
      </c>
      <c r="B4243" t="s">
        <v>5914</v>
      </c>
      <c r="C4243" s="1">
        <v>45043</v>
      </c>
      <c r="D4243" s="2">
        <v>36593527</v>
      </c>
      <c r="E4243" s="2">
        <v>4601</v>
      </c>
      <c r="F4243">
        <v>55</v>
      </c>
      <c r="G4243" s="2">
        <v>94498808</v>
      </c>
      <c r="H4243" s="2">
        <v>630206</v>
      </c>
      <c r="I4243" s="2">
        <v>1517249875</v>
      </c>
      <c r="J4243">
        <v>1</v>
      </c>
      <c r="L4243">
        <v>0</v>
      </c>
      <c r="M4243" t="str">
        <f t="shared" si="66"/>
        <v>After 2020</v>
      </c>
    </row>
    <row r="4244" spans="1:13">
      <c r="A4244" t="s">
        <v>5915</v>
      </c>
      <c r="B4244" t="s">
        <v>5916</v>
      </c>
      <c r="C4244" s="1">
        <v>44897</v>
      </c>
      <c r="D4244" s="2">
        <v>56645454</v>
      </c>
      <c r="E4244" s="2">
        <v>39890</v>
      </c>
      <c r="F4244">
        <v>67</v>
      </c>
      <c r="G4244" s="2">
        <v>9185128</v>
      </c>
      <c r="H4244" s="2">
        <v>133475</v>
      </c>
      <c r="I4244" s="2">
        <v>75363545</v>
      </c>
      <c r="J4244">
        <v>4</v>
      </c>
      <c r="K4244">
        <v>18</v>
      </c>
      <c r="L4244">
        <v>0</v>
      </c>
      <c r="M4244" t="str">
        <f t="shared" si="66"/>
        <v>After 2020</v>
      </c>
    </row>
    <row r="4245" spans="1:13" hidden="1">
      <c r="A4245" t="s">
        <v>5917</v>
      </c>
      <c r="B4245" t="s">
        <v>5918</v>
      </c>
      <c r="C4245" s="1">
        <v>44623</v>
      </c>
      <c r="D4245" s="2">
        <v>148855365</v>
      </c>
      <c r="E4245" s="2">
        <v>68961</v>
      </c>
      <c r="F4245">
        <v>57</v>
      </c>
      <c r="G4245" s="2">
        <v>21320423</v>
      </c>
      <c r="H4245" s="2">
        <v>302697</v>
      </c>
      <c r="I4245" s="2">
        <v>164949728</v>
      </c>
      <c r="J4245">
        <v>9</v>
      </c>
      <c r="L4245">
        <v>1</v>
      </c>
      <c r="M4245" t="str">
        <f t="shared" si="66"/>
        <v>After 2020</v>
      </c>
    </row>
    <row r="4246" spans="1:13" hidden="1">
      <c r="A4246" t="s">
        <v>5919</v>
      </c>
      <c r="B4246" t="s">
        <v>83</v>
      </c>
      <c r="C4246" s="1">
        <v>40064</v>
      </c>
      <c r="D4246" s="2">
        <v>1021647566</v>
      </c>
      <c r="E4246" s="2">
        <v>253182</v>
      </c>
      <c r="F4246">
        <v>77</v>
      </c>
      <c r="G4246" s="2">
        <v>608425147</v>
      </c>
      <c r="H4246" s="2">
        <v>4576133</v>
      </c>
      <c r="I4246" s="2">
        <v>179539671</v>
      </c>
      <c r="J4246">
        <v>139</v>
      </c>
      <c r="L4246">
        <v>1</v>
      </c>
      <c r="M4246" t="str">
        <f t="shared" si="66"/>
        <v>Before 2010</v>
      </c>
    </row>
    <row r="4247" spans="1:13" hidden="1">
      <c r="A4247" t="s">
        <v>5920</v>
      </c>
      <c r="B4247" t="s">
        <v>1109</v>
      </c>
      <c r="C4247" s="1">
        <v>40903</v>
      </c>
      <c r="D4247" s="2">
        <v>1287292679</v>
      </c>
      <c r="E4247">
        <v>143</v>
      </c>
      <c r="G4247" s="2">
        <v>1869323331</v>
      </c>
      <c r="H4247" s="2">
        <v>9256071</v>
      </c>
      <c r="L4247">
        <v>0</v>
      </c>
      <c r="M4247" t="str">
        <f t="shared" si="66"/>
        <v>2010-2020</v>
      </c>
    </row>
    <row r="4248" spans="1:13">
      <c r="A4248" t="s">
        <v>5921</v>
      </c>
      <c r="B4248" t="s">
        <v>2031</v>
      </c>
      <c r="C4248" s="1">
        <v>42182</v>
      </c>
      <c r="D4248" s="2">
        <v>369947896</v>
      </c>
      <c r="E4248" s="2">
        <v>53156</v>
      </c>
      <c r="F4248">
        <v>62</v>
      </c>
      <c r="G4248" s="2">
        <v>1180773743</v>
      </c>
      <c r="H4248" s="2">
        <v>5461869</v>
      </c>
      <c r="I4248" s="2">
        <v>22026802</v>
      </c>
      <c r="J4248">
        <v>26</v>
      </c>
      <c r="K4248">
        <v>48</v>
      </c>
      <c r="L4248">
        <v>1</v>
      </c>
      <c r="M4248" t="str">
        <f t="shared" si="66"/>
        <v>2010-2020</v>
      </c>
    </row>
    <row r="4249" spans="1:13" hidden="1">
      <c r="A4249" t="s">
        <v>5922</v>
      </c>
      <c r="B4249" t="s">
        <v>127</v>
      </c>
      <c r="C4249" s="1">
        <v>44988</v>
      </c>
      <c r="D4249" s="2">
        <v>6231986</v>
      </c>
      <c r="E4249">
        <v>602</v>
      </c>
      <c r="F4249">
        <v>43</v>
      </c>
      <c r="G4249" s="2">
        <v>219872306</v>
      </c>
      <c r="H4249" s="2">
        <v>1538709</v>
      </c>
      <c r="I4249" s="2">
        <v>676012</v>
      </c>
      <c r="L4249">
        <v>1</v>
      </c>
      <c r="M4249" t="str">
        <f t="shared" si="66"/>
        <v>After 2020</v>
      </c>
    </row>
    <row r="4250" spans="1:13" hidden="1">
      <c r="A4250" t="s">
        <v>5923</v>
      </c>
      <c r="B4250" t="s">
        <v>576</v>
      </c>
      <c r="C4250" s="1">
        <v>43410</v>
      </c>
      <c r="D4250" s="2">
        <v>392308500</v>
      </c>
      <c r="E4250" s="2">
        <v>47157</v>
      </c>
      <c r="F4250">
        <v>64</v>
      </c>
      <c r="G4250" s="2">
        <v>559183696</v>
      </c>
      <c r="H4250" s="2">
        <v>3199782</v>
      </c>
      <c r="I4250" s="2">
        <v>93606502</v>
      </c>
      <c r="J4250">
        <v>21</v>
      </c>
      <c r="L4250">
        <v>0</v>
      </c>
      <c r="M4250" t="str">
        <f t="shared" si="66"/>
        <v>2010-2020</v>
      </c>
    </row>
    <row r="4251" spans="1:13">
      <c r="A4251" t="s">
        <v>5924</v>
      </c>
      <c r="B4251" t="s">
        <v>236</v>
      </c>
      <c r="C4251" s="1">
        <v>44505</v>
      </c>
      <c r="D4251" s="2">
        <v>200895335</v>
      </c>
      <c r="E4251" s="2">
        <v>76844</v>
      </c>
      <c r="F4251">
        <v>63</v>
      </c>
      <c r="G4251" s="2">
        <v>35120030</v>
      </c>
      <c r="H4251" s="2">
        <v>692065</v>
      </c>
      <c r="I4251" s="2">
        <v>113665392</v>
      </c>
      <c r="J4251">
        <v>28</v>
      </c>
      <c r="K4251">
        <v>52</v>
      </c>
      <c r="L4251">
        <v>1</v>
      </c>
      <c r="M4251" t="str">
        <f t="shared" si="66"/>
        <v>After 2020</v>
      </c>
    </row>
    <row r="4252" spans="1:13">
      <c r="A4252" t="s">
        <v>5925</v>
      </c>
      <c r="B4252" t="s">
        <v>5926</v>
      </c>
      <c r="C4252" s="1">
        <v>40032</v>
      </c>
      <c r="D4252" s="2">
        <v>1204914998</v>
      </c>
      <c r="E4252" s="2">
        <v>198352</v>
      </c>
      <c r="F4252">
        <v>80</v>
      </c>
      <c r="G4252" s="2">
        <v>206057670</v>
      </c>
      <c r="H4252" s="2">
        <v>1772119</v>
      </c>
      <c r="I4252" s="2">
        <v>1322923785</v>
      </c>
      <c r="J4252">
        <v>194</v>
      </c>
      <c r="K4252">
        <v>130</v>
      </c>
      <c r="L4252">
        <v>0</v>
      </c>
      <c r="M4252" t="str">
        <f t="shared" si="66"/>
        <v>Before 2010</v>
      </c>
    </row>
    <row r="4253" spans="1:13" hidden="1">
      <c r="A4253" t="s">
        <v>5927</v>
      </c>
      <c r="B4253" t="s">
        <v>4061</v>
      </c>
      <c r="C4253" s="1">
        <v>44064</v>
      </c>
      <c r="D4253" s="2">
        <v>34096694</v>
      </c>
      <c r="E4253" s="2">
        <v>12150</v>
      </c>
      <c r="F4253">
        <v>46</v>
      </c>
      <c r="G4253" s="2">
        <v>2821703</v>
      </c>
      <c r="H4253" s="2">
        <v>78992</v>
      </c>
      <c r="I4253" s="2">
        <v>6811158348</v>
      </c>
      <c r="J4253">
        <v>1</v>
      </c>
      <c r="L4253">
        <v>0</v>
      </c>
      <c r="M4253" t="str">
        <f t="shared" si="66"/>
        <v>2010-2020</v>
      </c>
    </row>
    <row r="4254" spans="1:13" hidden="1">
      <c r="A4254" t="s">
        <v>5928</v>
      </c>
      <c r="B4254" t="s">
        <v>2553</v>
      </c>
      <c r="C4254" s="1">
        <v>45247</v>
      </c>
      <c r="D4254" s="2">
        <v>88814008</v>
      </c>
      <c r="E4254" s="2">
        <v>6254</v>
      </c>
      <c r="G4254" s="2">
        <v>51139042</v>
      </c>
      <c r="H4254" s="2">
        <v>1197944</v>
      </c>
      <c r="I4254" s="2">
        <v>34200</v>
      </c>
      <c r="J4254">
        <v>6</v>
      </c>
      <c r="K4254">
        <v>73</v>
      </c>
      <c r="L4254">
        <v>0</v>
      </c>
      <c r="M4254" t="str">
        <f t="shared" si="66"/>
        <v>After 2020</v>
      </c>
    </row>
    <row r="4255" spans="1:13" hidden="1">
      <c r="A4255" t="s">
        <v>235</v>
      </c>
      <c r="B4255" t="s">
        <v>236</v>
      </c>
      <c r="C4255" s="1">
        <v>45314</v>
      </c>
      <c r="D4255" s="2">
        <v>531292995</v>
      </c>
      <c r="E4255">
        <v>1</v>
      </c>
      <c r="L4255">
        <v>1</v>
      </c>
      <c r="M4255" t="str">
        <f t="shared" si="66"/>
        <v>After 2020</v>
      </c>
    </row>
    <row r="4256" spans="1:13" hidden="1">
      <c r="A4256" t="s">
        <v>126</v>
      </c>
      <c r="B4256" t="s">
        <v>2433</v>
      </c>
      <c r="C4256" s="1">
        <v>44268</v>
      </c>
      <c r="D4256" s="2">
        <v>4261328190</v>
      </c>
      <c r="L4256">
        <v>0</v>
      </c>
      <c r="M4256" t="str">
        <f t="shared" si="66"/>
        <v>After 2020</v>
      </c>
    </row>
    <row r="4257" spans="1:13">
      <c r="A4257" t="s">
        <v>5929</v>
      </c>
      <c r="B4257" t="s">
        <v>2745</v>
      </c>
      <c r="C4257" s="1">
        <v>39814</v>
      </c>
      <c r="D4257" s="2">
        <v>687212492</v>
      </c>
      <c r="E4257" s="2">
        <v>158127</v>
      </c>
      <c r="F4257">
        <v>74</v>
      </c>
      <c r="G4257" s="2">
        <v>830074389</v>
      </c>
      <c r="H4257" s="2">
        <v>3735861</v>
      </c>
      <c r="I4257" s="2">
        <v>388454078</v>
      </c>
      <c r="J4257">
        <v>49</v>
      </c>
      <c r="K4257">
        <v>199</v>
      </c>
      <c r="L4257">
        <v>0</v>
      </c>
      <c r="M4257" t="str">
        <f t="shared" si="66"/>
        <v>Before 2010</v>
      </c>
    </row>
    <row r="4258" spans="1:13">
      <c r="A4258" t="s">
        <v>5930</v>
      </c>
      <c r="B4258" t="s">
        <v>5931</v>
      </c>
      <c r="C4258" s="1">
        <v>42216</v>
      </c>
      <c r="D4258" s="2">
        <v>624262344</v>
      </c>
      <c r="E4258" s="2">
        <v>152117</v>
      </c>
      <c r="F4258">
        <v>68</v>
      </c>
      <c r="G4258" s="2">
        <v>139990813</v>
      </c>
      <c r="H4258" s="2">
        <v>953527</v>
      </c>
      <c r="I4258" s="2">
        <v>61873397</v>
      </c>
      <c r="J4258">
        <v>180</v>
      </c>
      <c r="K4258">
        <v>34</v>
      </c>
      <c r="L4258">
        <v>0</v>
      </c>
      <c r="M4258" t="str">
        <f t="shared" si="66"/>
        <v>2010-2020</v>
      </c>
    </row>
    <row r="4259" spans="1:13" hidden="1">
      <c r="A4259" t="s">
        <v>5932</v>
      </c>
      <c r="B4259" t="s">
        <v>5933</v>
      </c>
      <c r="C4259" s="1">
        <v>44096</v>
      </c>
      <c r="D4259" s="2">
        <v>18566967</v>
      </c>
      <c r="E4259" s="2">
        <v>7400</v>
      </c>
      <c r="F4259">
        <v>40</v>
      </c>
      <c r="G4259" s="2">
        <v>1349513</v>
      </c>
      <c r="H4259" s="2">
        <v>12007</v>
      </c>
      <c r="I4259" s="2">
        <v>4579547361</v>
      </c>
      <c r="J4259">
        <v>3</v>
      </c>
      <c r="L4259">
        <v>0</v>
      </c>
      <c r="M4259" t="str">
        <f t="shared" si="66"/>
        <v>2010-2020</v>
      </c>
    </row>
    <row r="4260" spans="1:13">
      <c r="A4260" t="s">
        <v>5934</v>
      </c>
      <c r="B4260" t="s">
        <v>2047</v>
      </c>
      <c r="C4260" s="1">
        <v>43731</v>
      </c>
      <c r="D4260" s="2">
        <v>361382812</v>
      </c>
      <c r="E4260" s="2">
        <v>27358</v>
      </c>
      <c r="F4260">
        <v>64</v>
      </c>
      <c r="G4260" s="2">
        <v>607728749</v>
      </c>
      <c r="H4260" s="2">
        <v>5763424</v>
      </c>
      <c r="I4260" s="2">
        <v>277620586</v>
      </c>
      <c r="J4260">
        <v>32</v>
      </c>
      <c r="K4260">
        <v>8</v>
      </c>
      <c r="L4260">
        <v>0</v>
      </c>
      <c r="M4260" t="str">
        <f t="shared" si="66"/>
        <v>2010-2020</v>
      </c>
    </row>
    <row r="4261" spans="1:13" hidden="1">
      <c r="A4261" t="s">
        <v>5935</v>
      </c>
      <c r="B4261" t="s">
        <v>5936</v>
      </c>
      <c r="C4261" s="1">
        <v>44854</v>
      </c>
      <c r="E4261">
        <v>10</v>
      </c>
      <c r="F4261">
        <v>7</v>
      </c>
      <c r="L4261">
        <v>0</v>
      </c>
      <c r="M4261" t="str">
        <f t="shared" si="66"/>
        <v>After 2020</v>
      </c>
    </row>
    <row r="4262" spans="1:13" hidden="1">
      <c r="A4262" t="s">
        <v>5937</v>
      </c>
      <c r="B4262" t="s">
        <v>315</v>
      </c>
      <c r="C4262" s="1">
        <v>43525</v>
      </c>
      <c r="D4262" s="2">
        <v>225260644</v>
      </c>
      <c r="E4262" s="2">
        <v>51066</v>
      </c>
      <c r="F4262">
        <v>53</v>
      </c>
      <c r="G4262" s="2">
        <v>75234764</v>
      </c>
      <c r="H4262" s="2">
        <v>918947</v>
      </c>
      <c r="I4262" s="2">
        <v>55987733</v>
      </c>
      <c r="J4262">
        <v>11</v>
      </c>
      <c r="L4262">
        <v>1</v>
      </c>
      <c r="M4262" t="str">
        <f t="shared" si="66"/>
        <v>2010-2020</v>
      </c>
    </row>
    <row r="4263" spans="1:13">
      <c r="A4263" t="s">
        <v>3152</v>
      </c>
      <c r="B4263" t="s">
        <v>631</v>
      </c>
      <c r="C4263" s="1">
        <v>44757</v>
      </c>
      <c r="D4263" s="2">
        <v>142927322</v>
      </c>
      <c r="E4263" s="2">
        <v>32810</v>
      </c>
      <c r="F4263">
        <v>56</v>
      </c>
      <c r="G4263" s="2">
        <v>11242174</v>
      </c>
      <c r="H4263" s="2">
        <v>91853</v>
      </c>
      <c r="I4263" s="2">
        <v>4614852</v>
      </c>
      <c r="J4263">
        <v>42</v>
      </c>
      <c r="K4263">
        <v>57</v>
      </c>
      <c r="L4263">
        <v>0</v>
      </c>
      <c r="M4263" t="str">
        <f t="shared" si="66"/>
        <v>After 2020</v>
      </c>
    </row>
    <row r="4264" spans="1:13">
      <c r="A4264" t="s">
        <v>5938</v>
      </c>
      <c r="B4264" t="s">
        <v>5939</v>
      </c>
      <c r="C4264" s="1">
        <v>44155</v>
      </c>
      <c r="D4264" s="2">
        <v>177734775</v>
      </c>
      <c r="E4264" s="2">
        <v>25580</v>
      </c>
      <c r="F4264">
        <v>60</v>
      </c>
      <c r="G4264" s="2">
        <v>37838695</v>
      </c>
      <c r="H4264" s="2">
        <v>220814</v>
      </c>
      <c r="I4264" s="2">
        <v>62353303</v>
      </c>
      <c r="J4264">
        <v>36</v>
      </c>
      <c r="K4264">
        <v>180</v>
      </c>
      <c r="L4264">
        <v>0</v>
      </c>
      <c r="M4264" t="str">
        <f t="shared" si="66"/>
        <v>2010-2020</v>
      </c>
    </row>
    <row r="4265" spans="1:13" hidden="1">
      <c r="A4265" t="s">
        <v>5940</v>
      </c>
      <c r="B4265" t="s">
        <v>5941</v>
      </c>
      <c r="C4265" s="1">
        <v>43630</v>
      </c>
      <c r="D4265" s="2">
        <v>442614126</v>
      </c>
      <c r="E4265" s="2">
        <v>39861</v>
      </c>
      <c r="F4265">
        <v>72</v>
      </c>
      <c r="G4265" s="2">
        <v>461577619</v>
      </c>
      <c r="H4265" s="2">
        <v>2914234</v>
      </c>
      <c r="I4265" s="2">
        <v>1424731067</v>
      </c>
      <c r="J4265">
        <v>10</v>
      </c>
      <c r="L4265">
        <v>0</v>
      </c>
      <c r="M4265" t="str">
        <f t="shared" si="66"/>
        <v>2010-2020</v>
      </c>
    </row>
    <row r="4266" spans="1:13">
      <c r="A4266" t="s">
        <v>5942</v>
      </c>
      <c r="B4266" t="s">
        <v>936</v>
      </c>
      <c r="C4266" s="1">
        <v>43721</v>
      </c>
      <c r="D4266" s="2">
        <v>399276193</v>
      </c>
      <c r="E4266" s="2">
        <v>102234</v>
      </c>
      <c r="F4266">
        <v>64</v>
      </c>
      <c r="G4266" s="2">
        <v>60323387</v>
      </c>
      <c r="H4266" s="2">
        <v>518058</v>
      </c>
      <c r="I4266" s="2">
        <v>36313288</v>
      </c>
      <c r="J4266">
        <v>114</v>
      </c>
      <c r="K4266">
        <v>25</v>
      </c>
      <c r="L4266">
        <v>0</v>
      </c>
      <c r="M4266" t="str">
        <f t="shared" si="66"/>
        <v>2010-2020</v>
      </c>
    </row>
    <row r="4267" spans="1:13" hidden="1">
      <c r="A4267" t="s">
        <v>5943</v>
      </c>
      <c r="B4267" t="s">
        <v>5944</v>
      </c>
      <c r="C4267" s="1">
        <v>45397</v>
      </c>
      <c r="D4267" s="2">
        <v>1761843</v>
      </c>
      <c r="E4267">
        <v>311</v>
      </c>
      <c r="G4267" s="2">
        <v>26145236</v>
      </c>
      <c r="H4267" s="2">
        <v>114630</v>
      </c>
      <c r="J4267">
        <v>1</v>
      </c>
      <c r="L4267">
        <v>0</v>
      </c>
      <c r="M4267" t="str">
        <f t="shared" si="66"/>
        <v>After 2020</v>
      </c>
    </row>
    <row r="4268" spans="1:13">
      <c r="A4268" t="s">
        <v>5945</v>
      </c>
      <c r="B4268" t="s">
        <v>3867</v>
      </c>
      <c r="C4268" s="1">
        <v>44309</v>
      </c>
      <c r="D4268" s="2">
        <v>172986367</v>
      </c>
      <c r="E4268" s="2">
        <v>40246</v>
      </c>
      <c r="F4268">
        <v>56</v>
      </c>
      <c r="G4268" s="2">
        <v>103030772</v>
      </c>
      <c r="H4268" s="2">
        <v>1128489</v>
      </c>
      <c r="I4268" s="2">
        <v>26458622</v>
      </c>
      <c r="J4268">
        <v>72</v>
      </c>
      <c r="K4268">
        <v>156</v>
      </c>
      <c r="L4268">
        <v>1</v>
      </c>
      <c r="M4268" t="str">
        <f t="shared" si="66"/>
        <v>After 2020</v>
      </c>
    </row>
    <row r="4269" spans="1:13" hidden="1">
      <c r="A4269" t="s">
        <v>5946</v>
      </c>
      <c r="B4269" t="s">
        <v>3333</v>
      </c>
      <c r="C4269" s="1">
        <v>44097</v>
      </c>
      <c r="D4269" s="2">
        <v>400985699</v>
      </c>
      <c r="E4269" s="2">
        <v>62355</v>
      </c>
      <c r="F4269">
        <v>60</v>
      </c>
      <c r="G4269" s="2">
        <v>251851094</v>
      </c>
      <c r="H4269" s="2">
        <v>1816301</v>
      </c>
      <c r="J4269">
        <v>58</v>
      </c>
      <c r="K4269">
        <v>46</v>
      </c>
      <c r="L4269">
        <v>0</v>
      </c>
      <c r="M4269" t="str">
        <f t="shared" si="66"/>
        <v>2010-2020</v>
      </c>
    </row>
    <row r="4270" spans="1:13" hidden="1">
      <c r="A4270" t="s">
        <v>5947</v>
      </c>
      <c r="B4270" t="s">
        <v>5948</v>
      </c>
      <c r="C4270" s="1">
        <v>45365</v>
      </c>
      <c r="D4270" s="2">
        <v>28452972</v>
      </c>
      <c r="E4270" s="2">
        <v>6696</v>
      </c>
      <c r="F4270">
        <v>69</v>
      </c>
      <c r="G4270" s="2">
        <v>3402827</v>
      </c>
      <c r="H4270" s="2">
        <v>17861</v>
      </c>
      <c r="J4270">
        <v>7</v>
      </c>
      <c r="L4270">
        <v>0</v>
      </c>
      <c r="M4270" t="str">
        <f t="shared" si="66"/>
        <v>After 2020</v>
      </c>
    </row>
    <row r="4271" spans="1:13" hidden="1">
      <c r="A4271" t="s">
        <v>5949</v>
      </c>
      <c r="B4271" t="s">
        <v>5950</v>
      </c>
      <c r="C4271" s="1">
        <v>44955</v>
      </c>
      <c r="D4271" s="2">
        <v>138987928</v>
      </c>
      <c r="E4271" s="2">
        <v>27997</v>
      </c>
      <c r="F4271">
        <v>5</v>
      </c>
      <c r="G4271" s="2">
        <v>56123070</v>
      </c>
      <c r="H4271" s="2">
        <v>521760</v>
      </c>
      <c r="I4271" s="2">
        <v>125057113</v>
      </c>
      <c r="J4271">
        <v>1</v>
      </c>
      <c r="L4271">
        <v>0</v>
      </c>
      <c r="M4271" t="str">
        <f t="shared" si="66"/>
        <v>After 2020</v>
      </c>
    </row>
    <row r="4272" spans="1:13" hidden="1">
      <c r="A4272" t="s">
        <v>3112</v>
      </c>
      <c r="B4272" t="s">
        <v>2880</v>
      </c>
      <c r="C4272" s="1">
        <v>41229</v>
      </c>
      <c r="D4272" s="2">
        <v>1666699743</v>
      </c>
      <c r="E4272">
        <v>183</v>
      </c>
      <c r="G4272" s="2">
        <v>1537876575</v>
      </c>
      <c r="H4272" s="2">
        <v>12732846</v>
      </c>
      <c r="L4272">
        <v>0</v>
      </c>
      <c r="M4272" t="str">
        <f t="shared" si="66"/>
        <v>2010-2020</v>
      </c>
    </row>
    <row r="4273" spans="1:13">
      <c r="A4273" t="s">
        <v>5951</v>
      </c>
      <c r="B4273" t="s">
        <v>5952</v>
      </c>
      <c r="C4273" s="1">
        <v>45142</v>
      </c>
      <c r="D4273" s="2">
        <v>15885603</v>
      </c>
      <c r="E4273" s="2">
        <v>5781</v>
      </c>
      <c r="F4273">
        <v>53</v>
      </c>
      <c r="G4273" s="2">
        <v>9303252</v>
      </c>
      <c r="H4273" s="2">
        <v>103569</v>
      </c>
      <c r="I4273" s="2">
        <v>17072834</v>
      </c>
      <c r="J4273">
        <v>4</v>
      </c>
      <c r="K4273">
        <v>111</v>
      </c>
      <c r="L4273">
        <v>1</v>
      </c>
      <c r="M4273" t="str">
        <f t="shared" si="66"/>
        <v>After 2020</v>
      </c>
    </row>
    <row r="4274" spans="1:13" hidden="1">
      <c r="A4274" t="s">
        <v>5953</v>
      </c>
      <c r="B4274" t="s">
        <v>5954</v>
      </c>
      <c r="C4274" s="1">
        <v>45238</v>
      </c>
      <c r="D4274" s="2">
        <v>15085389</v>
      </c>
      <c r="E4274" s="2">
        <v>1102</v>
      </c>
      <c r="G4274" s="2">
        <v>259533</v>
      </c>
      <c r="H4274" s="2">
        <v>2536</v>
      </c>
      <c r="I4274" s="2">
        <v>16745620</v>
      </c>
      <c r="J4274">
        <v>8</v>
      </c>
      <c r="L4274">
        <v>0</v>
      </c>
      <c r="M4274" t="str">
        <f t="shared" si="66"/>
        <v>After 2020</v>
      </c>
    </row>
    <row r="4275" spans="1:13" hidden="1">
      <c r="A4275" t="s">
        <v>1673</v>
      </c>
      <c r="B4275" t="s">
        <v>306</v>
      </c>
      <c r="C4275" s="1">
        <v>45044</v>
      </c>
      <c r="D4275" s="2">
        <v>4943057</v>
      </c>
      <c r="E4275" s="2">
        <v>1054</v>
      </c>
      <c r="F4275">
        <v>46</v>
      </c>
      <c r="G4275" s="2">
        <v>127116431</v>
      </c>
      <c r="H4275" s="2">
        <v>446428</v>
      </c>
      <c r="I4275" s="2">
        <v>140922309</v>
      </c>
      <c r="L4275">
        <v>0</v>
      </c>
      <c r="M4275" t="str">
        <f t="shared" si="66"/>
        <v>After 2020</v>
      </c>
    </row>
    <row r="4276" spans="1:13" hidden="1">
      <c r="A4276" t="s">
        <v>5955</v>
      </c>
      <c r="B4276" t="s">
        <v>1436</v>
      </c>
      <c r="C4276" s="1">
        <v>43424</v>
      </c>
      <c r="D4276" s="2">
        <v>595930584</v>
      </c>
      <c r="E4276" s="2">
        <v>153078</v>
      </c>
      <c r="F4276">
        <v>80</v>
      </c>
      <c r="G4276" s="2">
        <v>47780609</v>
      </c>
      <c r="H4276" s="2">
        <v>656845</v>
      </c>
      <c r="I4276" s="2">
        <v>37094174</v>
      </c>
      <c r="J4276">
        <v>27</v>
      </c>
      <c r="L4276">
        <v>1</v>
      </c>
      <c r="M4276" t="str">
        <f t="shared" si="66"/>
        <v>2010-2020</v>
      </c>
    </row>
    <row r="4277" spans="1:13">
      <c r="A4277" t="s">
        <v>5956</v>
      </c>
      <c r="B4277" t="s">
        <v>5957</v>
      </c>
      <c r="C4277" s="1">
        <v>45051</v>
      </c>
      <c r="D4277" s="2">
        <v>36475819</v>
      </c>
      <c r="E4277" s="2">
        <v>6175</v>
      </c>
      <c r="F4277">
        <v>53</v>
      </c>
      <c r="G4277" s="2">
        <v>1589418</v>
      </c>
      <c r="H4277" s="2">
        <v>14475</v>
      </c>
      <c r="I4277" s="2">
        <v>8897673</v>
      </c>
      <c r="J4277">
        <v>15</v>
      </c>
      <c r="K4277">
        <v>30</v>
      </c>
      <c r="L4277">
        <v>0</v>
      </c>
      <c r="M4277" t="str">
        <f t="shared" si="66"/>
        <v>After 2020</v>
      </c>
    </row>
    <row r="4278" spans="1:13">
      <c r="A4278" t="s">
        <v>5958</v>
      </c>
      <c r="B4278" t="s">
        <v>295</v>
      </c>
      <c r="C4278" s="1">
        <v>44442</v>
      </c>
      <c r="D4278" s="2">
        <v>219008713</v>
      </c>
      <c r="E4278" s="2">
        <v>75763</v>
      </c>
      <c r="F4278">
        <v>62</v>
      </c>
      <c r="G4278" s="2">
        <v>45087615</v>
      </c>
      <c r="H4278" s="2">
        <v>436734</v>
      </c>
      <c r="I4278" s="2">
        <v>99452041</v>
      </c>
      <c r="J4278">
        <v>38</v>
      </c>
      <c r="K4278">
        <v>77</v>
      </c>
      <c r="L4278">
        <v>1</v>
      </c>
      <c r="M4278" t="str">
        <f t="shared" si="66"/>
        <v>After 2020</v>
      </c>
    </row>
    <row r="4279" spans="1:13" hidden="1">
      <c r="A4279" t="s">
        <v>5959</v>
      </c>
      <c r="B4279" t="s">
        <v>5960</v>
      </c>
      <c r="C4279" s="1">
        <v>44682</v>
      </c>
      <c r="D4279" s="2">
        <v>49081</v>
      </c>
      <c r="E4279">
        <v>17</v>
      </c>
      <c r="F4279">
        <v>14</v>
      </c>
      <c r="G4279" s="2">
        <v>3815187</v>
      </c>
      <c r="H4279" s="2">
        <v>25561</v>
      </c>
      <c r="I4279" s="2">
        <v>258152598</v>
      </c>
      <c r="L4279">
        <v>0</v>
      </c>
      <c r="M4279" t="str">
        <f t="shared" si="66"/>
        <v>After 2020</v>
      </c>
    </row>
    <row r="4280" spans="1:13">
      <c r="A4280" t="s">
        <v>5961</v>
      </c>
      <c r="B4280" t="s">
        <v>1890</v>
      </c>
      <c r="C4280" s="1">
        <v>43868</v>
      </c>
      <c r="D4280" s="2">
        <v>556176640</v>
      </c>
      <c r="E4280" s="2">
        <v>86180</v>
      </c>
      <c r="F4280">
        <v>75</v>
      </c>
      <c r="G4280" s="2">
        <v>53515473</v>
      </c>
      <c r="H4280" s="2">
        <v>406554</v>
      </c>
      <c r="I4280" s="2">
        <v>203313460</v>
      </c>
      <c r="J4280">
        <v>21</v>
      </c>
      <c r="K4280">
        <v>6</v>
      </c>
      <c r="L4280">
        <v>1</v>
      </c>
      <c r="M4280" t="str">
        <f t="shared" si="66"/>
        <v>2010-2020</v>
      </c>
    </row>
    <row r="4281" spans="1:13" hidden="1">
      <c r="A4281" t="s">
        <v>2441</v>
      </c>
      <c r="B4281" t="s">
        <v>598</v>
      </c>
      <c r="C4281" s="1">
        <v>44835</v>
      </c>
      <c r="D4281" s="2">
        <v>140194014</v>
      </c>
      <c r="E4281" s="2">
        <v>16841</v>
      </c>
      <c r="F4281">
        <v>58</v>
      </c>
      <c r="G4281" s="2">
        <v>180515322</v>
      </c>
      <c r="H4281" s="2">
        <v>910440</v>
      </c>
      <c r="I4281" s="2">
        <v>80078422</v>
      </c>
      <c r="J4281">
        <v>12</v>
      </c>
      <c r="L4281">
        <v>0</v>
      </c>
      <c r="M4281" t="str">
        <f t="shared" si="66"/>
        <v>After 2020</v>
      </c>
    </row>
    <row r="4282" spans="1:13" hidden="1">
      <c r="A4282" t="s">
        <v>5962</v>
      </c>
      <c r="B4282" t="s">
        <v>5963</v>
      </c>
      <c r="C4282" s="1">
        <v>44227</v>
      </c>
      <c r="D4282" s="2">
        <v>3739</v>
      </c>
      <c r="E4282">
        <v>1</v>
      </c>
      <c r="F4282">
        <v>1</v>
      </c>
      <c r="I4282" s="2">
        <v>504872722</v>
      </c>
      <c r="L4282">
        <v>0</v>
      </c>
      <c r="M4282" t="str">
        <f t="shared" si="66"/>
        <v>After 2020</v>
      </c>
    </row>
    <row r="4283" spans="1:13">
      <c r="A4283" t="s">
        <v>5964</v>
      </c>
      <c r="B4283" t="s">
        <v>5316</v>
      </c>
      <c r="C4283" s="1">
        <v>39814</v>
      </c>
      <c r="D4283" s="2">
        <v>836986096</v>
      </c>
      <c r="E4283" s="2">
        <v>185976</v>
      </c>
      <c r="F4283">
        <v>64</v>
      </c>
      <c r="G4283" s="2">
        <v>348950018</v>
      </c>
      <c r="H4283" s="2">
        <v>2261189</v>
      </c>
      <c r="I4283" s="2">
        <v>87179494</v>
      </c>
      <c r="J4283">
        <v>90</v>
      </c>
      <c r="K4283">
        <v>205</v>
      </c>
      <c r="L4283">
        <v>1</v>
      </c>
      <c r="M4283" t="str">
        <f t="shared" si="66"/>
        <v>Before 2010</v>
      </c>
    </row>
    <row r="4284" spans="1:13" hidden="1">
      <c r="A4284" t="s">
        <v>5965</v>
      </c>
      <c r="B4284" t="s">
        <v>424</v>
      </c>
      <c r="C4284" s="1">
        <v>44855</v>
      </c>
      <c r="D4284" s="2">
        <v>350440369</v>
      </c>
      <c r="E4284" s="2">
        <v>24886</v>
      </c>
      <c r="F4284">
        <v>72</v>
      </c>
      <c r="G4284" s="2">
        <v>92967556</v>
      </c>
      <c r="H4284" s="2">
        <v>709386</v>
      </c>
      <c r="I4284" s="2">
        <v>128910215</v>
      </c>
      <c r="J4284">
        <v>11</v>
      </c>
      <c r="L4284">
        <v>0</v>
      </c>
      <c r="M4284" t="str">
        <f t="shared" si="66"/>
        <v>After 2020</v>
      </c>
    </row>
    <row r="4285" spans="1:13">
      <c r="A4285" t="s">
        <v>5966</v>
      </c>
      <c r="B4285" t="s">
        <v>5967</v>
      </c>
      <c r="C4285" s="1">
        <v>44741</v>
      </c>
      <c r="D4285" s="2">
        <v>130356067</v>
      </c>
      <c r="E4285" s="2">
        <v>36554</v>
      </c>
      <c r="F4285">
        <v>63</v>
      </c>
      <c r="G4285" s="2">
        <v>47933349</v>
      </c>
      <c r="H4285" s="2">
        <v>701867</v>
      </c>
      <c r="I4285" s="2">
        <v>912236577</v>
      </c>
      <c r="J4285">
        <v>12</v>
      </c>
      <c r="K4285">
        <v>3</v>
      </c>
      <c r="L4285">
        <v>0</v>
      </c>
      <c r="M4285" t="str">
        <f t="shared" si="66"/>
        <v>After 2020</v>
      </c>
    </row>
    <row r="4286" spans="1:13" hidden="1">
      <c r="A4286" t="s">
        <v>5968</v>
      </c>
      <c r="B4286" t="s">
        <v>5969</v>
      </c>
      <c r="C4286" s="1">
        <v>44253</v>
      </c>
      <c r="D4286" s="2">
        <v>224163089</v>
      </c>
      <c r="E4286" s="2">
        <v>45837</v>
      </c>
      <c r="F4286">
        <v>60</v>
      </c>
      <c r="G4286" s="2">
        <v>250952705</v>
      </c>
      <c r="H4286" s="2">
        <v>1213244</v>
      </c>
      <c r="I4286" s="2">
        <v>443031452</v>
      </c>
      <c r="J4286">
        <v>43</v>
      </c>
      <c r="L4286">
        <v>1</v>
      </c>
      <c r="M4286" t="str">
        <f t="shared" si="66"/>
        <v>After 2020</v>
      </c>
    </row>
    <row r="4287" spans="1:13" hidden="1">
      <c r="A4287" t="s">
        <v>5970</v>
      </c>
      <c r="B4287" t="s">
        <v>5971</v>
      </c>
      <c r="C4287" s="1">
        <v>44694</v>
      </c>
      <c r="D4287" s="2">
        <v>265767551</v>
      </c>
      <c r="E4287" s="2">
        <v>15498</v>
      </c>
      <c r="F4287">
        <v>63</v>
      </c>
      <c r="G4287" s="2">
        <v>154689466</v>
      </c>
      <c r="H4287" s="2">
        <v>1539974</v>
      </c>
      <c r="I4287" s="2">
        <v>3276084075</v>
      </c>
      <c r="J4287">
        <v>16</v>
      </c>
      <c r="L4287">
        <v>0</v>
      </c>
      <c r="M4287" t="str">
        <f t="shared" si="66"/>
        <v>After 2020</v>
      </c>
    </row>
    <row r="4288" spans="1:13">
      <c r="A4288" t="s">
        <v>1337</v>
      </c>
      <c r="B4288" t="s">
        <v>434</v>
      </c>
      <c r="C4288" s="1">
        <v>43931</v>
      </c>
      <c r="D4288" s="2">
        <v>379518360</v>
      </c>
      <c r="E4288" s="2">
        <v>101883</v>
      </c>
      <c r="F4288">
        <v>21</v>
      </c>
      <c r="G4288" s="2">
        <v>127485188</v>
      </c>
      <c r="H4288" s="2">
        <v>2075278</v>
      </c>
      <c r="I4288" s="2">
        <v>653804560</v>
      </c>
      <c r="J4288">
        <v>26</v>
      </c>
      <c r="K4288">
        <v>18</v>
      </c>
      <c r="L4288">
        <v>0</v>
      </c>
      <c r="M4288" t="str">
        <f t="shared" si="66"/>
        <v>2010-2020</v>
      </c>
    </row>
    <row r="4289" spans="1:13" hidden="1">
      <c r="A4289" t="s">
        <v>5972</v>
      </c>
      <c r="B4289" t="s">
        <v>5973</v>
      </c>
      <c r="C4289" s="1">
        <v>43875</v>
      </c>
      <c r="D4289" s="2">
        <v>93229994</v>
      </c>
      <c r="E4289" s="2">
        <v>24779</v>
      </c>
      <c r="F4289">
        <v>44</v>
      </c>
      <c r="G4289" s="2">
        <v>143927230</v>
      </c>
      <c r="H4289" s="2">
        <v>1205650</v>
      </c>
      <c r="I4289" s="2">
        <v>1572821812</v>
      </c>
      <c r="J4289">
        <v>14</v>
      </c>
      <c r="L4289">
        <v>1</v>
      </c>
      <c r="M4289" t="str">
        <f t="shared" si="66"/>
        <v>2010-2020</v>
      </c>
    </row>
    <row r="4290" spans="1:13" hidden="1">
      <c r="A4290" t="s">
        <v>3030</v>
      </c>
      <c r="B4290" t="s">
        <v>5974</v>
      </c>
      <c r="C4290" s="1">
        <v>44280</v>
      </c>
      <c r="D4290" s="2">
        <v>139377440</v>
      </c>
      <c r="E4290" s="2">
        <v>67820</v>
      </c>
      <c r="F4290">
        <v>55</v>
      </c>
      <c r="G4290" s="2">
        <v>121680881</v>
      </c>
      <c r="H4290" s="2">
        <v>2182395</v>
      </c>
      <c r="I4290" s="2">
        <v>1968763986</v>
      </c>
      <c r="J4290">
        <v>25</v>
      </c>
      <c r="L4290">
        <v>1</v>
      </c>
      <c r="M4290" t="str">
        <f t="shared" si="66"/>
        <v>After 2020</v>
      </c>
    </row>
    <row r="4291" spans="1:13">
      <c r="A4291" t="s">
        <v>5975</v>
      </c>
      <c r="B4291" t="s">
        <v>3432</v>
      </c>
      <c r="C4291" s="1">
        <v>45014</v>
      </c>
      <c r="D4291" s="2">
        <v>121386649</v>
      </c>
      <c r="E4291" s="2">
        <v>17170</v>
      </c>
      <c r="F4291">
        <v>56</v>
      </c>
      <c r="G4291" s="2">
        <v>36712138</v>
      </c>
      <c r="H4291" s="2">
        <v>1221832</v>
      </c>
      <c r="I4291" s="2">
        <v>399701698</v>
      </c>
      <c r="J4291">
        <v>25</v>
      </c>
      <c r="K4291">
        <v>16</v>
      </c>
      <c r="L4291">
        <v>0</v>
      </c>
      <c r="M4291" t="str">
        <f t="shared" ref="M4291:M4354" si="67">IF(YEAR(C4291)&lt;2010,"Before 2010",IF(YEAR(C4291)&lt;=2020,"2010-2020","After 2020"))</f>
        <v>After 2020</v>
      </c>
    </row>
    <row r="4292" spans="1:13">
      <c r="A4292" t="s">
        <v>5976</v>
      </c>
      <c r="B4292" t="s">
        <v>5977</v>
      </c>
      <c r="C4292" s="1">
        <v>44971</v>
      </c>
      <c r="D4292" s="2">
        <v>301362</v>
      </c>
      <c r="E4292">
        <v>311</v>
      </c>
      <c r="F4292">
        <v>18</v>
      </c>
      <c r="G4292" s="2">
        <v>226550416</v>
      </c>
      <c r="H4292" s="2">
        <v>1992781</v>
      </c>
      <c r="I4292" s="2">
        <v>17823</v>
      </c>
      <c r="J4292">
        <v>2</v>
      </c>
      <c r="K4292">
        <v>5</v>
      </c>
      <c r="L4292">
        <v>0</v>
      </c>
      <c r="M4292" t="str">
        <f t="shared" si="67"/>
        <v>After 2020</v>
      </c>
    </row>
    <row r="4293" spans="1:13" hidden="1">
      <c r="A4293" t="s">
        <v>5978</v>
      </c>
      <c r="B4293" t="s">
        <v>5337</v>
      </c>
      <c r="C4293" s="1">
        <v>42983</v>
      </c>
      <c r="D4293" s="2">
        <v>333141510</v>
      </c>
      <c r="E4293" s="2">
        <v>89320</v>
      </c>
      <c r="F4293">
        <v>66</v>
      </c>
      <c r="G4293" s="2">
        <v>598853994</v>
      </c>
      <c r="H4293" s="2">
        <v>8509686</v>
      </c>
      <c r="I4293" s="2">
        <v>95172888</v>
      </c>
      <c r="J4293">
        <v>5</v>
      </c>
      <c r="L4293">
        <v>1</v>
      </c>
      <c r="M4293" t="str">
        <f t="shared" si="67"/>
        <v>2010-2020</v>
      </c>
    </row>
    <row r="4294" spans="1:13" hidden="1">
      <c r="A4294" t="s">
        <v>5979</v>
      </c>
      <c r="B4294" t="s">
        <v>5957</v>
      </c>
      <c r="C4294" s="1">
        <v>45387</v>
      </c>
      <c r="D4294" s="2">
        <v>8943283</v>
      </c>
      <c r="E4294" s="2">
        <v>1202</v>
      </c>
      <c r="J4294">
        <v>15</v>
      </c>
      <c r="K4294">
        <v>4</v>
      </c>
      <c r="L4294">
        <v>0</v>
      </c>
      <c r="M4294" t="str">
        <f t="shared" si="67"/>
        <v>After 2020</v>
      </c>
    </row>
    <row r="4295" spans="1:13">
      <c r="A4295" t="s">
        <v>5980</v>
      </c>
      <c r="B4295" t="s">
        <v>5981</v>
      </c>
      <c r="C4295" s="1">
        <v>44609</v>
      </c>
      <c r="D4295" s="2">
        <v>134725621</v>
      </c>
      <c r="E4295" s="2">
        <v>19072</v>
      </c>
      <c r="F4295">
        <v>65</v>
      </c>
      <c r="G4295" s="2">
        <v>22650713</v>
      </c>
      <c r="H4295" s="2">
        <v>114566</v>
      </c>
      <c r="I4295" s="2">
        <v>14258097</v>
      </c>
      <c r="J4295">
        <v>8</v>
      </c>
      <c r="K4295">
        <v>171</v>
      </c>
      <c r="L4295">
        <v>0</v>
      </c>
      <c r="M4295" t="str">
        <f t="shared" si="67"/>
        <v>After 2020</v>
      </c>
    </row>
    <row r="4296" spans="1:13" hidden="1">
      <c r="A4296" t="s">
        <v>5982</v>
      </c>
      <c r="B4296" t="s">
        <v>1637</v>
      </c>
      <c r="C4296" s="1">
        <v>44946</v>
      </c>
      <c r="D4296" s="2">
        <v>179176296</v>
      </c>
      <c r="E4296" s="2">
        <v>41284</v>
      </c>
      <c r="F4296">
        <v>76</v>
      </c>
      <c r="I4296" s="2">
        <v>156208048</v>
      </c>
      <c r="J4296">
        <v>3</v>
      </c>
      <c r="L4296">
        <v>0</v>
      </c>
      <c r="M4296" t="str">
        <f t="shared" si="67"/>
        <v>After 2020</v>
      </c>
    </row>
    <row r="4297" spans="1:13">
      <c r="A4297" t="s">
        <v>5983</v>
      </c>
      <c r="B4297" t="s">
        <v>81</v>
      </c>
      <c r="C4297" s="1">
        <v>43329</v>
      </c>
      <c r="D4297" s="2">
        <v>633631183</v>
      </c>
      <c r="E4297" s="2">
        <v>43387</v>
      </c>
      <c r="F4297">
        <v>64</v>
      </c>
      <c r="G4297" s="2">
        <v>445027001</v>
      </c>
      <c r="H4297" s="2">
        <v>5513277</v>
      </c>
      <c r="I4297" s="2">
        <v>118002159</v>
      </c>
      <c r="J4297">
        <v>50</v>
      </c>
      <c r="K4297">
        <v>78</v>
      </c>
      <c r="L4297">
        <v>1</v>
      </c>
      <c r="M4297" t="str">
        <f t="shared" si="67"/>
        <v>2010-2020</v>
      </c>
    </row>
    <row r="4298" spans="1:13" hidden="1">
      <c r="A4298" t="s">
        <v>5984</v>
      </c>
      <c r="B4298" t="s">
        <v>1124</v>
      </c>
      <c r="C4298" s="1">
        <v>45149</v>
      </c>
      <c r="D4298" s="2">
        <v>5503365</v>
      </c>
      <c r="E4298" s="2">
        <v>1424</v>
      </c>
      <c r="F4298">
        <v>49</v>
      </c>
      <c r="G4298" s="2">
        <v>139900760</v>
      </c>
      <c r="H4298" s="2">
        <v>1292201</v>
      </c>
      <c r="I4298" s="2">
        <v>2585272</v>
      </c>
      <c r="J4298">
        <v>1</v>
      </c>
      <c r="L4298">
        <v>0</v>
      </c>
      <c r="M4298" t="str">
        <f t="shared" si="67"/>
        <v>After 2020</v>
      </c>
    </row>
    <row r="4299" spans="1:13">
      <c r="A4299" t="s">
        <v>5985</v>
      </c>
      <c r="B4299" t="s">
        <v>3918</v>
      </c>
      <c r="C4299" s="1">
        <v>44734</v>
      </c>
      <c r="D4299" s="2">
        <v>98108741</v>
      </c>
      <c r="E4299" s="2">
        <v>40658</v>
      </c>
      <c r="F4299">
        <v>56</v>
      </c>
      <c r="G4299" s="2">
        <v>67381975</v>
      </c>
      <c r="H4299" s="2">
        <v>1403327</v>
      </c>
      <c r="I4299" s="2">
        <v>140878884</v>
      </c>
      <c r="J4299">
        <v>14</v>
      </c>
      <c r="K4299">
        <v>65</v>
      </c>
      <c r="L4299">
        <v>0</v>
      </c>
      <c r="M4299" t="str">
        <f t="shared" si="67"/>
        <v>After 2020</v>
      </c>
    </row>
    <row r="4300" spans="1:13" hidden="1">
      <c r="A4300" t="s">
        <v>5986</v>
      </c>
      <c r="B4300" t="s">
        <v>5987</v>
      </c>
      <c r="C4300" s="1">
        <v>44913</v>
      </c>
      <c r="D4300" s="2">
        <v>49155460</v>
      </c>
      <c r="E4300" s="2">
        <v>20079</v>
      </c>
      <c r="F4300">
        <v>57</v>
      </c>
      <c r="G4300" s="2">
        <v>55753855</v>
      </c>
      <c r="H4300" s="2">
        <v>819754</v>
      </c>
      <c r="I4300" s="2">
        <v>1079671427</v>
      </c>
      <c r="J4300">
        <v>7</v>
      </c>
      <c r="L4300">
        <v>0</v>
      </c>
      <c r="M4300" t="str">
        <f t="shared" si="67"/>
        <v>After 2020</v>
      </c>
    </row>
    <row r="4301" spans="1:13">
      <c r="A4301" t="s">
        <v>5988</v>
      </c>
      <c r="B4301" t="s">
        <v>1196</v>
      </c>
      <c r="C4301" s="1">
        <v>43489</v>
      </c>
      <c r="D4301" s="2">
        <v>885986482</v>
      </c>
      <c r="E4301" s="2">
        <v>82322</v>
      </c>
      <c r="F4301">
        <v>66</v>
      </c>
      <c r="G4301" s="2">
        <v>221704345</v>
      </c>
      <c r="H4301" s="2">
        <v>2249771</v>
      </c>
      <c r="I4301" s="2">
        <v>39158457</v>
      </c>
      <c r="J4301">
        <v>76</v>
      </c>
      <c r="K4301">
        <v>71</v>
      </c>
      <c r="L4301">
        <v>0</v>
      </c>
      <c r="M4301" t="str">
        <f t="shared" si="67"/>
        <v>2010-2020</v>
      </c>
    </row>
    <row r="4302" spans="1:13" hidden="1">
      <c r="A4302" t="s">
        <v>5989</v>
      </c>
      <c r="B4302" t="s">
        <v>35</v>
      </c>
      <c r="C4302" s="1">
        <v>45450</v>
      </c>
      <c r="D4302" s="2">
        <v>3870862</v>
      </c>
      <c r="E4302">
        <v>683</v>
      </c>
      <c r="F4302">
        <v>67</v>
      </c>
      <c r="J4302">
        <v>13</v>
      </c>
      <c r="L4302">
        <v>1</v>
      </c>
      <c r="M4302" t="str">
        <f t="shared" si="67"/>
        <v>After 2020</v>
      </c>
    </row>
    <row r="4303" spans="1:13" hidden="1">
      <c r="A4303" t="s">
        <v>181</v>
      </c>
      <c r="B4303" t="s">
        <v>182</v>
      </c>
      <c r="C4303" s="1">
        <v>45303</v>
      </c>
      <c r="D4303" s="2">
        <v>428233003</v>
      </c>
      <c r="E4303" s="2">
        <v>2814</v>
      </c>
      <c r="J4303">
        <v>30</v>
      </c>
      <c r="L4303">
        <v>0</v>
      </c>
      <c r="M4303" t="str">
        <f t="shared" si="67"/>
        <v>After 2020</v>
      </c>
    </row>
    <row r="4304" spans="1:13" hidden="1">
      <c r="A4304" t="s">
        <v>5990</v>
      </c>
      <c r="B4304" t="s">
        <v>5991</v>
      </c>
      <c r="C4304" s="1">
        <v>45394</v>
      </c>
      <c r="D4304" s="2">
        <v>106782384</v>
      </c>
      <c r="E4304">
        <v>1</v>
      </c>
      <c r="L4304">
        <v>0</v>
      </c>
      <c r="M4304" t="str">
        <f t="shared" si="67"/>
        <v>After 2020</v>
      </c>
    </row>
    <row r="4305" spans="1:13" hidden="1">
      <c r="A4305" t="s">
        <v>5992</v>
      </c>
      <c r="B4305" t="s">
        <v>266</v>
      </c>
      <c r="C4305" s="1">
        <v>45373</v>
      </c>
      <c r="D4305" s="2">
        <v>76917797</v>
      </c>
      <c r="E4305" s="2">
        <v>4045</v>
      </c>
      <c r="G4305" s="2">
        <v>5848948</v>
      </c>
      <c r="H4305" s="2">
        <v>136847</v>
      </c>
      <c r="J4305">
        <v>8</v>
      </c>
      <c r="K4305">
        <v>81</v>
      </c>
      <c r="L4305">
        <v>1</v>
      </c>
      <c r="M4305" t="str">
        <f t="shared" si="67"/>
        <v>After 2020</v>
      </c>
    </row>
    <row r="4306" spans="1:13" hidden="1">
      <c r="A4306" t="s">
        <v>5993</v>
      </c>
      <c r="B4306" t="s">
        <v>5994</v>
      </c>
      <c r="C4306" s="1">
        <v>44953</v>
      </c>
      <c r="D4306" s="2">
        <v>9897</v>
      </c>
      <c r="E4306">
        <v>38</v>
      </c>
      <c r="F4306">
        <v>1</v>
      </c>
      <c r="G4306" s="2">
        <v>256358241</v>
      </c>
      <c r="H4306" s="2">
        <v>559022</v>
      </c>
      <c r="L4306">
        <v>0</v>
      </c>
      <c r="M4306" t="str">
        <f t="shared" si="67"/>
        <v>After 2020</v>
      </c>
    </row>
    <row r="4307" spans="1:13">
      <c r="A4307" t="s">
        <v>5995</v>
      </c>
      <c r="B4307" t="s">
        <v>148</v>
      </c>
      <c r="C4307" s="1">
        <v>42852</v>
      </c>
      <c r="D4307" s="2">
        <v>817054014</v>
      </c>
      <c r="E4307" s="2">
        <v>105515</v>
      </c>
      <c r="F4307">
        <v>71</v>
      </c>
      <c r="G4307" s="2">
        <v>211546057</v>
      </c>
      <c r="H4307" s="2">
        <v>1832143</v>
      </c>
      <c r="I4307" s="2">
        <v>63600775</v>
      </c>
      <c r="J4307">
        <v>204</v>
      </c>
      <c r="K4307">
        <v>27</v>
      </c>
      <c r="L4307">
        <v>1</v>
      </c>
      <c r="M4307" t="str">
        <f t="shared" si="67"/>
        <v>2010-2020</v>
      </c>
    </row>
    <row r="4308" spans="1:13" hidden="1">
      <c r="A4308" t="s">
        <v>5996</v>
      </c>
      <c r="B4308" t="s">
        <v>324</v>
      </c>
      <c r="C4308" s="1">
        <v>43670</v>
      </c>
      <c r="D4308" s="2">
        <v>630875899</v>
      </c>
      <c r="E4308" s="2">
        <v>83848</v>
      </c>
      <c r="F4308">
        <v>64</v>
      </c>
      <c r="G4308" s="2">
        <v>245967184</v>
      </c>
      <c r="H4308" s="2">
        <v>2535205</v>
      </c>
      <c r="I4308" s="2">
        <v>45789592</v>
      </c>
      <c r="J4308">
        <v>68</v>
      </c>
      <c r="L4308">
        <v>0</v>
      </c>
      <c r="M4308" t="str">
        <f t="shared" si="67"/>
        <v>2010-2020</v>
      </c>
    </row>
    <row r="4309" spans="1:13">
      <c r="A4309" t="s">
        <v>5997</v>
      </c>
      <c r="B4309" t="s">
        <v>912</v>
      </c>
      <c r="C4309" s="1">
        <v>42397</v>
      </c>
      <c r="D4309" s="2">
        <v>1483572312</v>
      </c>
      <c r="E4309" s="2">
        <v>155595</v>
      </c>
      <c r="F4309">
        <v>77</v>
      </c>
      <c r="G4309" s="2">
        <v>308293523</v>
      </c>
      <c r="H4309" s="2">
        <v>2383831</v>
      </c>
      <c r="I4309" s="2">
        <v>148422686</v>
      </c>
      <c r="J4309">
        <v>159</v>
      </c>
      <c r="K4309">
        <v>186</v>
      </c>
      <c r="L4309">
        <v>1</v>
      </c>
      <c r="M4309" t="str">
        <f t="shared" si="67"/>
        <v>2010-2020</v>
      </c>
    </row>
    <row r="4310" spans="1:13" hidden="1">
      <c r="A4310" t="s">
        <v>5998</v>
      </c>
      <c r="B4310" t="s">
        <v>504</v>
      </c>
      <c r="C4310" s="1">
        <v>43175</v>
      </c>
      <c r="D4310" s="2">
        <v>510136819</v>
      </c>
      <c r="E4310" s="2">
        <v>76921</v>
      </c>
      <c r="F4310">
        <v>67</v>
      </c>
      <c r="G4310" s="2">
        <v>201406793</v>
      </c>
      <c r="H4310" s="2">
        <v>2593226</v>
      </c>
      <c r="I4310" s="2">
        <v>202031125</v>
      </c>
      <c r="J4310">
        <v>5</v>
      </c>
      <c r="L4310">
        <v>0</v>
      </c>
      <c r="M4310" t="str">
        <f t="shared" si="67"/>
        <v>2010-2020</v>
      </c>
    </row>
    <row r="4311" spans="1:13">
      <c r="A4311" t="s">
        <v>5999</v>
      </c>
      <c r="B4311" t="s">
        <v>72</v>
      </c>
      <c r="C4311" s="1">
        <v>39448</v>
      </c>
      <c r="D4311" s="2">
        <v>1556326643</v>
      </c>
      <c r="E4311" s="2">
        <v>167145</v>
      </c>
      <c r="F4311">
        <v>68</v>
      </c>
      <c r="G4311" s="2">
        <v>311700550</v>
      </c>
      <c r="H4311" s="2">
        <v>2730131</v>
      </c>
      <c r="I4311" s="2">
        <v>1532183215</v>
      </c>
      <c r="J4311">
        <v>213</v>
      </c>
      <c r="K4311">
        <v>76</v>
      </c>
      <c r="L4311">
        <v>0</v>
      </c>
      <c r="M4311" t="str">
        <f t="shared" si="67"/>
        <v>Before 2010</v>
      </c>
    </row>
    <row r="4312" spans="1:13" hidden="1">
      <c r="A4312" t="s">
        <v>6000</v>
      </c>
      <c r="B4312" t="s">
        <v>6001</v>
      </c>
      <c r="C4312" s="1">
        <v>45100</v>
      </c>
      <c r="D4312" s="2">
        <v>110759507</v>
      </c>
      <c r="E4312" s="2">
        <v>16068</v>
      </c>
      <c r="F4312">
        <v>27</v>
      </c>
      <c r="G4312" s="2">
        <v>4697020</v>
      </c>
      <c r="H4312" s="2">
        <v>13304</v>
      </c>
      <c r="I4312" s="2">
        <v>607056384</v>
      </c>
      <c r="J4312">
        <v>7</v>
      </c>
      <c r="L4312">
        <v>0</v>
      </c>
      <c r="M4312" t="str">
        <f t="shared" si="67"/>
        <v>After 2020</v>
      </c>
    </row>
    <row r="4313" spans="1:13" hidden="1">
      <c r="A4313" t="s">
        <v>6002</v>
      </c>
      <c r="B4313" t="s">
        <v>6003</v>
      </c>
      <c r="C4313" s="1">
        <v>44630</v>
      </c>
      <c r="D4313" s="2">
        <v>7383901</v>
      </c>
      <c r="E4313" s="2">
        <v>4008</v>
      </c>
      <c r="F4313">
        <v>48</v>
      </c>
      <c r="G4313" s="2">
        <v>351810237</v>
      </c>
      <c r="H4313" s="2">
        <v>1815957</v>
      </c>
      <c r="I4313" s="2">
        <v>87012540</v>
      </c>
      <c r="J4313">
        <v>1</v>
      </c>
      <c r="L4313">
        <v>0</v>
      </c>
      <c r="M4313" t="str">
        <f t="shared" si="67"/>
        <v>After 2020</v>
      </c>
    </row>
    <row r="4314" spans="1:13" hidden="1">
      <c r="A4314" t="s">
        <v>6004</v>
      </c>
      <c r="B4314" t="s">
        <v>1440</v>
      </c>
      <c r="C4314" s="1">
        <v>45428</v>
      </c>
      <c r="D4314" s="2">
        <v>5758887</v>
      </c>
      <c r="E4314" s="2">
        <v>1089</v>
      </c>
      <c r="G4314" s="2">
        <v>1641568</v>
      </c>
      <c r="H4314" s="2">
        <v>38579</v>
      </c>
      <c r="J4314">
        <v>14</v>
      </c>
      <c r="K4314">
        <v>6</v>
      </c>
      <c r="L4314">
        <v>1</v>
      </c>
      <c r="M4314" t="str">
        <f t="shared" si="67"/>
        <v>After 2020</v>
      </c>
    </row>
    <row r="4315" spans="1:13" hidden="1">
      <c r="A4315" t="s">
        <v>6005</v>
      </c>
      <c r="B4315" t="s">
        <v>444</v>
      </c>
      <c r="C4315" s="1">
        <v>44372</v>
      </c>
      <c r="D4315" s="2">
        <v>231298627</v>
      </c>
      <c r="E4315" s="2">
        <v>49800</v>
      </c>
      <c r="F4315">
        <v>65</v>
      </c>
      <c r="G4315" s="2">
        <v>109250541</v>
      </c>
      <c r="H4315" s="2">
        <v>862054</v>
      </c>
      <c r="I4315" s="2">
        <v>1133546129</v>
      </c>
      <c r="J4315">
        <v>24</v>
      </c>
      <c r="L4315">
        <v>1</v>
      </c>
      <c r="M4315" t="str">
        <f t="shared" si="67"/>
        <v>After 2020</v>
      </c>
    </row>
    <row r="4316" spans="1:13" hidden="1">
      <c r="A4316" t="s">
        <v>6006</v>
      </c>
      <c r="B4316" t="s">
        <v>6007</v>
      </c>
      <c r="C4316" s="1">
        <v>45366</v>
      </c>
      <c r="D4316" s="2">
        <v>24834118</v>
      </c>
      <c r="E4316" s="2">
        <v>3438</v>
      </c>
      <c r="G4316" s="2">
        <v>12071403</v>
      </c>
      <c r="H4316" s="2">
        <v>97111</v>
      </c>
      <c r="I4316" s="2">
        <v>403343301</v>
      </c>
      <c r="J4316">
        <v>18</v>
      </c>
      <c r="K4316">
        <v>73</v>
      </c>
      <c r="L4316">
        <v>1</v>
      </c>
      <c r="M4316" t="str">
        <f t="shared" si="67"/>
        <v>After 2020</v>
      </c>
    </row>
    <row r="4317" spans="1:13" hidden="1">
      <c r="A4317" t="s">
        <v>6008</v>
      </c>
      <c r="B4317" t="s">
        <v>5170</v>
      </c>
      <c r="C4317" s="1">
        <v>43042</v>
      </c>
      <c r="D4317" s="2">
        <v>584357975</v>
      </c>
      <c r="E4317" s="2">
        <v>45274</v>
      </c>
      <c r="F4317">
        <v>71</v>
      </c>
      <c r="G4317" s="2">
        <v>766215457</v>
      </c>
      <c r="H4317" s="2">
        <v>3618074</v>
      </c>
      <c r="I4317" s="2">
        <v>56940681</v>
      </c>
      <c r="J4317">
        <v>28</v>
      </c>
      <c r="L4317">
        <v>0</v>
      </c>
      <c r="M4317" t="str">
        <f t="shared" si="67"/>
        <v>2010-2020</v>
      </c>
    </row>
    <row r="4318" spans="1:13">
      <c r="A4318" t="s">
        <v>6009</v>
      </c>
      <c r="B4318" t="s">
        <v>2451</v>
      </c>
      <c r="C4318" s="1">
        <v>44974</v>
      </c>
      <c r="D4318" s="2">
        <v>60355607</v>
      </c>
      <c r="E4318" s="2">
        <v>4814</v>
      </c>
      <c r="F4318">
        <v>68</v>
      </c>
      <c r="G4318" s="2">
        <v>4562833</v>
      </c>
      <c r="H4318" s="2">
        <v>30406</v>
      </c>
      <c r="I4318" s="2">
        <v>458426</v>
      </c>
      <c r="J4318">
        <v>9</v>
      </c>
      <c r="K4318">
        <v>125</v>
      </c>
      <c r="L4318">
        <v>0</v>
      </c>
      <c r="M4318" t="str">
        <f t="shared" si="67"/>
        <v>After 2020</v>
      </c>
    </row>
    <row r="4319" spans="1:13" hidden="1">
      <c r="A4319" t="s">
        <v>6010</v>
      </c>
      <c r="B4319" t="s">
        <v>6011</v>
      </c>
      <c r="C4319" s="1">
        <v>44855</v>
      </c>
      <c r="D4319" s="2">
        <v>12383314</v>
      </c>
      <c r="E4319" s="2">
        <v>2946</v>
      </c>
      <c r="F4319">
        <v>42</v>
      </c>
      <c r="G4319" s="2">
        <v>16319964</v>
      </c>
      <c r="H4319" s="2">
        <v>162244</v>
      </c>
      <c r="I4319" s="2">
        <v>1976747330</v>
      </c>
      <c r="J4319">
        <v>4</v>
      </c>
      <c r="L4319">
        <v>0</v>
      </c>
      <c r="M4319" t="str">
        <f t="shared" si="67"/>
        <v>After 2020</v>
      </c>
    </row>
    <row r="4320" spans="1:13">
      <c r="A4320" t="s">
        <v>6012</v>
      </c>
      <c r="B4320" t="s">
        <v>1109</v>
      </c>
      <c r="C4320" s="1">
        <v>37473</v>
      </c>
      <c r="D4320" s="2">
        <v>1903413912</v>
      </c>
      <c r="E4320" s="2">
        <v>239330</v>
      </c>
      <c r="F4320">
        <v>79</v>
      </c>
      <c r="G4320" s="2">
        <v>1864046384</v>
      </c>
      <c r="H4320" s="2">
        <v>10131009</v>
      </c>
      <c r="I4320" s="2">
        <v>481408577</v>
      </c>
      <c r="J4320">
        <v>55</v>
      </c>
      <c r="K4320">
        <v>38</v>
      </c>
      <c r="L4320">
        <v>0</v>
      </c>
      <c r="M4320" t="str">
        <f t="shared" si="67"/>
        <v>Before 2010</v>
      </c>
    </row>
    <row r="4321" spans="1:13" hidden="1">
      <c r="A4321" t="s">
        <v>6013</v>
      </c>
      <c r="B4321" t="s">
        <v>3428</v>
      </c>
      <c r="C4321" s="1">
        <v>44694</v>
      </c>
      <c r="D4321" s="2">
        <v>100491006</v>
      </c>
      <c r="E4321" s="2">
        <v>20334</v>
      </c>
      <c r="F4321">
        <v>59</v>
      </c>
      <c r="G4321" s="2">
        <v>243709</v>
      </c>
      <c r="H4321" s="2">
        <v>3244</v>
      </c>
      <c r="I4321" s="2">
        <v>3650693327</v>
      </c>
      <c r="J4321">
        <v>11</v>
      </c>
      <c r="L4321">
        <v>0</v>
      </c>
      <c r="M4321" t="str">
        <f t="shared" si="67"/>
        <v>After 2020</v>
      </c>
    </row>
    <row r="4322" spans="1:13" hidden="1">
      <c r="A4322" t="s">
        <v>6014</v>
      </c>
      <c r="B4322" t="s">
        <v>983</v>
      </c>
      <c r="C4322" s="1">
        <v>43336</v>
      </c>
      <c r="D4322" s="2">
        <v>101094621</v>
      </c>
      <c r="E4322" s="2">
        <v>22493</v>
      </c>
      <c r="F4322">
        <v>49</v>
      </c>
      <c r="G4322" s="2">
        <v>133295365</v>
      </c>
      <c r="H4322" s="2">
        <v>1087349</v>
      </c>
      <c r="I4322" s="2">
        <v>23580335</v>
      </c>
      <c r="J4322">
        <v>2</v>
      </c>
      <c r="L4322">
        <v>1</v>
      </c>
      <c r="M4322" t="str">
        <f t="shared" si="67"/>
        <v>2010-2020</v>
      </c>
    </row>
    <row r="4323" spans="1:13" hidden="1">
      <c r="A4323" t="s">
        <v>6015</v>
      </c>
      <c r="B4323" t="s">
        <v>6016</v>
      </c>
      <c r="C4323" s="1">
        <v>43858</v>
      </c>
      <c r="D4323" s="2">
        <v>539984</v>
      </c>
      <c r="E4323">
        <v>135</v>
      </c>
      <c r="I4323" s="2">
        <v>344190472</v>
      </c>
      <c r="L4323">
        <v>0</v>
      </c>
      <c r="M4323" t="str">
        <f t="shared" si="67"/>
        <v>2010-2020</v>
      </c>
    </row>
    <row r="4324" spans="1:13" hidden="1">
      <c r="A4324" t="s">
        <v>6017</v>
      </c>
      <c r="B4324" t="s">
        <v>6018</v>
      </c>
      <c r="C4324" s="1">
        <v>42713</v>
      </c>
      <c r="D4324" s="2">
        <v>575093</v>
      </c>
      <c r="E4324">
        <v>42</v>
      </c>
      <c r="F4324">
        <v>4</v>
      </c>
      <c r="G4324" s="2">
        <v>1400964738</v>
      </c>
      <c r="H4324" s="2">
        <v>4498959</v>
      </c>
      <c r="I4324" s="2">
        <v>1188</v>
      </c>
      <c r="L4324">
        <v>0</v>
      </c>
      <c r="M4324" t="str">
        <f t="shared" si="67"/>
        <v>2010-2020</v>
      </c>
    </row>
    <row r="4325" spans="1:13">
      <c r="A4325" t="s">
        <v>6019</v>
      </c>
      <c r="B4325" t="s">
        <v>6020</v>
      </c>
      <c r="C4325" s="1">
        <v>43552</v>
      </c>
      <c r="D4325" s="2">
        <v>460008347</v>
      </c>
      <c r="E4325" s="2">
        <v>82329</v>
      </c>
      <c r="F4325">
        <v>71</v>
      </c>
      <c r="G4325" s="2">
        <v>370078966</v>
      </c>
      <c r="H4325" s="2">
        <v>3950188</v>
      </c>
      <c r="I4325" s="2">
        <v>46078194</v>
      </c>
      <c r="J4325">
        <v>43</v>
      </c>
      <c r="K4325">
        <v>12</v>
      </c>
      <c r="L4325">
        <v>0</v>
      </c>
      <c r="M4325" t="str">
        <f t="shared" si="67"/>
        <v>2010-2020</v>
      </c>
    </row>
    <row r="4326" spans="1:13">
      <c r="A4326" t="s">
        <v>1354</v>
      </c>
      <c r="B4326" t="s">
        <v>3370</v>
      </c>
      <c r="C4326" s="1">
        <v>44974</v>
      </c>
      <c r="D4326" s="2">
        <v>58284482</v>
      </c>
      <c r="E4326" s="2">
        <v>7247</v>
      </c>
      <c r="F4326">
        <v>54</v>
      </c>
      <c r="G4326" s="2">
        <v>79995263</v>
      </c>
      <c r="H4326" s="2">
        <v>436574</v>
      </c>
      <c r="I4326" s="2">
        <v>281657688</v>
      </c>
      <c r="J4326">
        <v>1</v>
      </c>
      <c r="K4326">
        <v>16</v>
      </c>
      <c r="L4326">
        <v>0</v>
      </c>
      <c r="M4326" t="str">
        <f t="shared" si="67"/>
        <v>After 2020</v>
      </c>
    </row>
    <row r="4327" spans="1:13">
      <c r="A4327" t="s">
        <v>6021</v>
      </c>
      <c r="B4327" t="s">
        <v>642</v>
      </c>
      <c r="C4327" s="1">
        <v>44742</v>
      </c>
      <c r="D4327" s="2">
        <v>220250463</v>
      </c>
      <c r="E4327" s="2">
        <v>46098</v>
      </c>
      <c r="F4327">
        <v>65</v>
      </c>
      <c r="G4327" s="2">
        <v>28716329</v>
      </c>
      <c r="H4327" s="2">
        <v>313494</v>
      </c>
      <c r="I4327" s="2">
        <v>36501469</v>
      </c>
      <c r="J4327">
        <v>103</v>
      </c>
      <c r="K4327">
        <v>828</v>
      </c>
      <c r="L4327">
        <v>0</v>
      </c>
      <c r="M4327" t="str">
        <f t="shared" si="67"/>
        <v>After 2020</v>
      </c>
    </row>
    <row r="4328" spans="1:13" hidden="1">
      <c r="A4328" t="s">
        <v>6022</v>
      </c>
      <c r="B4328" t="s">
        <v>6023</v>
      </c>
      <c r="C4328" s="1">
        <v>41919</v>
      </c>
      <c r="D4328" s="2">
        <v>65098757</v>
      </c>
      <c r="E4328" s="2">
        <v>4912</v>
      </c>
      <c r="F4328">
        <v>58</v>
      </c>
      <c r="G4328" s="2">
        <v>1491394872</v>
      </c>
      <c r="H4328" s="2">
        <v>4114023</v>
      </c>
      <c r="I4328" s="2">
        <v>38845573</v>
      </c>
      <c r="J4328">
        <v>7</v>
      </c>
      <c r="L4328">
        <v>0</v>
      </c>
      <c r="M4328" t="str">
        <f t="shared" si="67"/>
        <v>2010-2020</v>
      </c>
    </row>
    <row r="4329" spans="1:13" hidden="1">
      <c r="A4329" t="s">
        <v>6024</v>
      </c>
      <c r="B4329" t="s">
        <v>1384</v>
      </c>
      <c r="C4329" s="1">
        <v>44951</v>
      </c>
      <c r="D4329" s="2">
        <v>125943110</v>
      </c>
      <c r="E4329" s="2">
        <v>14415</v>
      </c>
      <c r="F4329">
        <v>66</v>
      </c>
      <c r="G4329" s="2">
        <v>133114572</v>
      </c>
      <c r="H4329" s="2">
        <v>2137723</v>
      </c>
      <c r="I4329" s="2">
        <v>249544778</v>
      </c>
      <c r="J4329">
        <v>7</v>
      </c>
      <c r="L4329">
        <v>0</v>
      </c>
      <c r="M4329" t="str">
        <f t="shared" si="67"/>
        <v>After 2020</v>
      </c>
    </row>
    <row r="4330" spans="1:13">
      <c r="A4330" t="s">
        <v>658</v>
      </c>
      <c r="B4330" t="s">
        <v>3370</v>
      </c>
      <c r="C4330" s="1">
        <v>44841</v>
      </c>
      <c r="D4330" s="2">
        <v>137113129</v>
      </c>
      <c r="E4330" s="2">
        <v>9970</v>
      </c>
      <c r="F4330">
        <v>59</v>
      </c>
      <c r="G4330" s="2">
        <v>97699857</v>
      </c>
      <c r="H4330" s="2">
        <v>553828</v>
      </c>
      <c r="I4330" s="2">
        <v>687545420</v>
      </c>
      <c r="J4330">
        <v>3</v>
      </c>
      <c r="K4330">
        <v>13</v>
      </c>
      <c r="L4330">
        <v>1</v>
      </c>
      <c r="M4330" t="str">
        <f t="shared" si="67"/>
        <v>After 2020</v>
      </c>
    </row>
    <row r="4331" spans="1:13" hidden="1">
      <c r="A4331" t="s">
        <v>6025</v>
      </c>
      <c r="B4331" t="s">
        <v>6026</v>
      </c>
      <c r="C4331" s="1">
        <v>44684</v>
      </c>
      <c r="D4331" s="2">
        <v>551388</v>
      </c>
      <c r="E4331">
        <v>109</v>
      </c>
      <c r="F4331">
        <v>19</v>
      </c>
      <c r="G4331" s="2">
        <v>233792</v>
      </c>
      <c r="H4331" s="2">
        <v>1334</v>
      </c>
      <c r="I4331" s="2">
        <v>485996018</v>
      </c>
      <c r="L4331">
        <v>0</v>
      </c>
      <c r="M4331" t="str">
        <f t="shared" si="67"/>
        <v>After 2020</v>
      </c>
    </row>
    <row r="4332" spans="1:13">
      <c r="A4332" t="s">
        <v>6027</v>
      </c>
      <c r="B4332" t="s">
        <v>2073</v>
      </c>
      <c r="C4332" s="1">
        <v>44922</v>
      </c>
      <c r="D4332" s="2">
        <v>18611163</v>
      </c>
      <c r="E4332" s="2">
        <v>6073</v>
      </c>
      <c r="F4332">
        <v>45</v>
      </c>
      <c r="G4332" s="2">
        <v>59202833</v>
      </c>
      <c r="H4332" s="2">
        <v>551627</v>
      </c>
      <c r="I4332" s="2">
        <v>1032933643</v>
      </c>
      <c r="J4332">
        <v>1</v>
      </c>
      <c r="K4332">
        <v>19</v>
      </c>
      <c r="L4332">
        <v>0</v>
      </c>
      <c r="M4332" t="str">
        <f t="shared" si="67"/>
        <v>After 2020</v>
      </c>
    </row>
    <row r="4333" spans="1:13" hidden="1">
      <c r="A4333" t="s">
        <v>147</v>
      </c>
      <c r="B4333" t="s">
        <v>148</v>
      </c>
      <c r="C4333" s="1">
        <v>44936</v>
      </c>
      <c r="D4333" s="2">
        <v>1873746537</v>
      </c>
      <c r="E4333">
        <v>1</v>
      </c>
      <c r="L4333">
        <v>0</v>
      </c>
      <c r="M4333" t="str">
        <f t="shared" si="67"/>
        <v>After 2020</v>
      </c>
    </row>
    <row r="4334" spans="1:13">
      <c r="A4334" t="s">
        <v>6028</v>
      </c>
      <c r="B4334" t="s">
        <v>59</v>
      </c>
      <c r="C4334" s="1">
        <v>44399</v>
      </c>
      <c r="D4334" s="2">
        <v>247133830</v>
      </c>
      <c r="E4334" s="2">
        <v>55046</v>
      </c>
      <c r="F4334">
        <v>67</v>
      </c>
      <c r="G4334" s="2">
        <v>159846081</v>
      </c>
      <c r="H4334" s="2">
        <v>855877</v>
      </c>
      <c r="I4334" s="2">
        <v>423731008</v>
      </c>
      <c r="J4334">
        <v>43</v>
      </c>
      <c r="K4334">
        <v>66</v>
      </c>
      <c r="L4334">
        <v>0</v>
      </c>
      <c r="M4334" t="str">
        <f t="shared" si="67"/>
        <v>After 2020</v>
      </c>
    </row>
    <row r="4335" spans="1:13">
      <c r="A4335" t="s">
        <v>6029</v>
      </c>
      <c r="B4335" t="s">
        <v>6030</v>
      </c>
      <c r="C4335" s="1">
        <v>42887</v>
      </c>
      <c r="D4335" s="2">
        <v>495063827</v>
      </c>
      <c r="E4335" s="2">
        <v>39662</v>
      </c>
      <c r="F4335">
        <v>71</v>
      </c>
      <c r="G4335" s="2">
        <v>802589099</v>
      </c>
      <c r="H4335" s="2">
        <v>5029647</v>
      </c>
      <c r="I4335" s="2">
        <v>1106585781</v>
      </c>
      <c r="J4335">
        <v>5</v>
      </c>
      <c r="K4335">
        <v>2</v>
      </c>
      <c r="L4335">
        <v>0</v>
      </c>
      <c r="M4335" t="str">
        <f t="shared" si="67"/>
        <v>2010-2020</v>
      </c>
    </row>
    <row r="4336" spans="1:13" hidden="1">
      <c r="A4336" t="s">
        <v>6031</v>
      </c>
      <c r="B4336" t="s">
        <v>157</v>
      </c>
      <c r="C4336" s="1">
        <v>44676</v>
      </c>
      <c r="D4336" s="2">
        <v>185316307</v>
      </c>
      <c r="E4336" s="2">
        <v>37273</v>
      </c>
      <c r="F4336">
        <v>59</v>
      </c>
      <c r="G4336" s="2">
        <v>168590700</v>
      </c>
      <c r="H4336" s="2">
        <v>5156460</v>
      </c>
      <c r="J4336">
        <v>11</v>
      </c>
      <c r="K4336">
        <v>36</v>
      </c>
      <c r="L4336">
        <v>1</v>
      </c>
      <c r="M4336" t="str">
        <f t="shared" si="67"/>
        <v>After 2020</v>
      </c>
    </row>
    <row r="4337" spans="1:13">
      <c r="A4337" t="s">
        <v>6032</v>
      </c>
      <c r="B4337" t="s">
        <v>504</v>
      </c>
      <c r="C4337" s="1">
        <v>44589</v>
      </c>
      <c r="D4337" s="2">
        <v>111369377</v>
      </c>
      <c r="E4337" s="2">
        <v>60104</v>
      </c>
      <c r="F4337">
        <v>64</v>
      </c>
      <c r="G4337" s="2">
        <v>100696513</v>
      </c>
      <c r="H4337" s="2">
        <v>1725109</v>
      </c>
      <c r="I4337" s="2">
        <v>198631</v>
      </c>
      <c r="J4337">
        <v>4</v>
      </c>
      <c r="K4337">
        <v>2</v>
      </c>
      <c r="L4337">
        <v>1</v>
      </c>
      <c r="M4337" t="str">
        <f t="shared" si="67"/>
        <v>After 2020</v>
      </c>
    </row>
    <row r="4338" spans="1:13">
      <c r="A4338" t="s">
        <v>6033</v>
      </c>
      <c r="B4338" t="s">
        <v>5981</v>
      </c>
      <c r="C4338" s="1">
        <v>44806</v>
      </c>
      <c r="D4338" s="2">
        <v>129531779</v>
      </c>
      <c r="E4338" s="2">
        <v>14019</v>
      </c>
      <c r="F4338">
        <v>69</v>
      </c>
      <c r="G4338" s="2">
        <v>13125721</v>
      </c>
      <c r="H4338" s="2">
        <v>89641</v>
      </c>
      <c r="I4338" s="2">
        <v>12561121</v>
      </c>
      <c r="J4338">
        <v>8</v>
      </c>
      <c r="K4338">
        <v>144</v>
      </c>
      <c r="L4338">
        <v>0</v>
      </c>
      <c r="M4338" t="str">
        <f t="shared" si="67"/>
        <v>After 2020</v>
      </c>
    </row>
    <row r="4339" spans="1:13" hidden="1">
      <c r="A4339" t="s">
        <v>6034</v>
      </c>
      <c r="B4339" t="s">
        <v>6035</v>
      </c>
      <c r="C4339" s="1">
        <v>39814</v>
      </c>
      <c r="D4339" s="2">
        <v>676325288</v>
      </c>
      <c r="E4339" s="2">
        <v>186415</v>
      </c>
      <c r="F4339">
        <v>72</v>
      </c>
      <c r="G4339" s="2">
        <v>852637099</v>
      </c>
      <c r="H4339" s="2">
        <v>6839325</v>
      </c>
      <c r="I4339" s="2">
        <v>3323603337</v>
      </c>
      <c r="J4339">
        <v>101</v>
      </c>
      <c r="L4339">
        <v>0</v>
      </c>
      <c r="M4339" t="str">
        <f t="shared" si="67"/>
        <v>Before 2010</v>
      </c>
    </row>
    <row r="4340" spans="1:13">
      <c r="A4340" t="s">
        <v>6036</v>
      </c>
      <c r="B4340" t="s">
        <v>4619</v>
      </c>
      <c r="C4340" s="1">
        <v>45050</v>
      </c>
      <c r="D4340" s="2">
        <v>96922687</v>
      </c>
      <c r="E4340" s="2">
        <v>25703</v>
      </c>
      <c r="F4340">
        <v>63</v>
      </c>
      <c r="G4340" s="2">
        <v>22161743</v>
      </c>
      <c r="H4340" s="2">
        <v>344869</v>
      </c>
      <c r="I4340" s="2">
        <v>23536012</v>
      </c>
      <c r="J4340">
        <v>19</v>
      </c>
      <c r="K4340">
        <v>19</v>
      </c>
      <c r="L4340">
        <v>1</v>
      </c>
      <c r="M4340" t="str">
        <f t="shared" si="67"/>
        <v>After 2020</v>
      </c>
    </row>
    <row r="4341" spans="1:13" hidden="1">
      <c r="A4341" t="s">
        <v>6037</v>
      </c>
      <c r="B4341" t="s">
        <v>6038</v>
      </c>
      <c r="C4341" s="1">
        <v>45104</v>
      </c>
      <c r="D4341" s="2">
        <v>99237146</v>
      </c>
      <c r="E4341" s="2">
        <v>7075</v>
      </c>
      <c r="F4341">
        <v>67</v>
      </c>
      <c r="G4341" s="2">
        <v>113013875</v>
      </c>
      <c r="H4341" s="2">
        <v>1174863</v>
      </c>
      <c r="I4341" s="2">
        <v>233947</v>
      </c>
      <c r="J4341">
        <v>6</v>
      </c>
      <c r="L4341">
        <v>0</v>
      </c>
      <c r="M4341" t="str">
        <f t="shared" si="67"/>
        <v>After 2020</v>
      </c>
    </row>
    <row r="4342" spans="1:13">
      <c r="A4342" t="s">
        <v>6039</v>
      </c>
      <c r="B4342" t="s">
        <v>1447</v>
      </c>
      <c r="C4342" s="1">
        <v>43416</v>
      </c>
      <c r="D4342" s="2">
        <v>622229689</v>
      </c>
      <c r="E4342" s="2">
        <v>39229</v>
      </c>
      <c r="F4342">
        <v>67</v>
      </c>
      <c r="G4342" s="2">
        <v>449312389</v>
      </c>
      <c r="H4342" s="2">
        <v>7193977</v>
      </c>
      <c r="I4342" s="2">
        <v>1166486496</v>
      </c>
      <c r="J4342">
        <v>21</v>
      </c>
      <c r="K4342">
        <v>14</v>
      </c>
      <c r="L4342">
        <v>0</v>
      </c>
      <c r="M4342" t="str">
        <f t="shared" si="67"/>
        <v>2010-2020</v>
      </c>
    </row>
    <row r="4343" spans="1:13">
      <c r="A4343" t="s">
        <v>6040</v>
      </c>
      <c r="B4343" t="s">
        <v>879</v>
      </c>
      <c r="C4343" s="1">
        <v>42177</v>
      </c>
      <c r="D4343" s="2">
        <v>701552110</v>
      </c>
      <c r="E4343" s="2">
        <v>49025</v>
      </c>
      <c r="F4343">
        <v>60</v>
      </c>
      <c r="G4343" s="2">
        <v>581362473</v>
      </c>
      <c r="H4343" s="2">
        <v>4012591</v>
      </c>
      <c r="I4343" s="2">
        <v>155603416</v>
      </c>
      <c r="J4343">
        <v>120</v>
      </c>
      <c r="K4343">
        <v>130</v>
      </c>
      <c r="L4343">
        <v>0</v>
      </c>
      <c r="M4343" t="str">
        <f t="shared" si="67"/>
        <v>2010-2020</v>
      </c>
    </row>
    <row r="4344" spans="1:13" hidden="1">
      <c r="A4344" t="s">
        <v>6041</v>
      </c>
      <c r="B4344" t="s">
        <v>3401</v>
      </c>
      <c r="C4344" s="1">
        <v>43812</v>
      </c>
      <c r="D4344" s="2">
        <v>582595821</v>
      </c>
      <c r="E4344" s="2">
        <v>71602</v>
      </c>
      <c r="F4344">
        <v>60</v>
      </c>
      <c r="G4344" s="2">
        <v>212809052</v>
      </c>
      <c r="H4344" s="2">
        <v>1189005</v>
      </c>
      <c r="I4344" s="2">
        <v>121455982</v>
      </c>
      <c r="J4344">
        <v>44</v>
      </c>
      <c r="L4344">
        <v>0</v>
      </c>
      <c r="M4344" t="str">
        <f t="shared" si="67"/>
        <v>2010-2020</v>
      </c>
    </row>
    <row r="4345" spans="1:13">
      <c r="A4345" t="s">
        <v>6042</v>
      </c>
      <c r="B4345" t="s">
        <v>343</v>
      </c>
      <c r="C4345" s="1">
        <v>45086</v>
      </c>
      <c r="D4345" s="2">
        <v>68965021</v>
      </c>
      <c r="E4345" s="2">
        <v>11956</v>
      </c>
      <c r="F4345">
        <v>70</v>
      </c>
      <c r="G4345" s="2">
        <v>25701096</v>
      </c>
      <c r="H4345" s="2">
        <v>259974</v>
      </c>
      <c r="I4345" s="2">
        <v>718409133</v>
      </c>
      <c r="J4345">
        <v>5</v>
      </c>
      <c r="K4345">
        <v>2</v>
      </c>
      <c r="L4345">
        <v>1</v>
      </c>
      <c r="M4345" t="str">
        <f t="shared" si="67"/>
        <v>After 2020</v>
      </c>
    </row>
    <row r="4346" spans="1:13" hidden="1">
      <c r="A4346" t="s">
        <v>6043</v>
      </c>
      <c r="B4346" t="s">
        <v>6044</v>
      </c>
      <c r="C4346" s="1">
        <v>44533</v>
      </c>
      <c r="D4346" s="2">
        <v>154120297</v>
      </c>
      <c r="E4346" s="2">
        <v>30813</v>
      </c>
      <c r="F4346">
        <v>61</v>
      </c>
      <c r="G4346" s="2">
        <v>152723183</v>
      </c>
      <c r="H4346" s="2">
        <v>900381</v>
      </c>
      <c r="I4346" s="2">
        <v>204594753</v>
      </c>
      <c r="J4346">
        <v>33</v>
      </c>
      <c r="L4346">
        <v>1</v>
      </c>
      <c r="M4346" t="str">
        <f t="shared" si="67"/>
        <v>After 2020</v>
      </c>
    </row>
    <row r="4347" spans="1:13" hidden="1">
      <c r="A4347" t="s">
        <v>6045</v>
      </c>
      <c r="B4347" t="s">
        <v>1011</v>
      </c>
      <c r="C4347" s="1">
        <v>45338</v>
      </c>
      <c r="L4347">
        <v>0</v>
      </c>
      <c r="M4347" t="str">
        <f t="shared" si="67"/>
        <v>After 2020</v>
      </c>
    </row>
    <row r="4348" spans="1:13" hidden="1">
      <c r="A4348" t="s">
        <v>6046</v>
      </c>
      <c r="B4348" t="s">
        <v>1781</v>
      </c>
      <c r="C4348" s="1">
        <v>44190</v>
      </c>
      <c r="D4348" s="2">
        <v>291244404</v>
      </c>
      <c r="E4348" s="2">
        <v>103342</v>
      </c>
      <c r="F4348">
        <v>69</v>
      </c>
      <c r="G4348" s="2">
        <v>41936586</v>
      </c>
      <c r="H4348" s="2">
        <v>623466</v>
      </c>
      <c r="I4348" s="2">
        <v>181718624</v>
      </c>
      <c r="J4348">
        <v>3</v>
      </c>
      <c r="L4348">
        <v>1</v>
      </c>
      <c r="M4348" t="str">
        <f t="shared" si="67"/>
        <v>2010-2020</v>
      </c>
    </row>
    <row r="4349" spans="1:13" hidden="1">
      <c r="A4349" t="s">
        <v>6047</v>
      </c>
      <c r="B4349" t="s">
        <v>6048</v>
      </c>
      <c r="C4349" s="1">
        <v>42783</v>
      </c>
      <c r="D4349" s="2">
        <v>333982743</v>
      </c>
      <c r="E4349" s="2">
        <v>34123</v>
      </c>
      <c r="F4349">
        <v>61</v>
      </c>
      <c r="G4349" s="2">
        <v>266675091</v>
      </c>
      <c r="H4349" s="2">
        <v>1417694</v>
      </c>
      <c r="I4349" s="2">
        <v>17970098</v>
      </c>
      <c r="K4349">
        <v>22</v>
      </c>
      <c r="L4349">
        <v>0</v>
      </c>
      <c r="M4349" t="str">
        <f t="shared" si="67"/>
        <v>2010-2020</v>
      </c>
    </row>
    <row r="4350" spans="1:13" hidden="1">
      <c r="A4350" t="s">
        <v>6049</v>
      </c>
      <c r="B4350" t="s">
        <v>1064</v>
      </c>
      <c r="C4350" s="1">
        <v>42812</v>
      </c>
      <c r="D4350" s="2">
        <v>619655619</v>
      </c>
      <c r="E4350" s="2">
        <v>78265</v>
      </c>
      <c r="F4350">
        <v>63</v>
      </c>
      <c r="G4350" s="2">
        <v>324660885</v>
      </c>
      <c r="H4350" s="2">
        <v>3726146</v>
      </c>
      <c r="I4350" s="2">
        <v>42240263</v>
      </c>
      <c r="J4350">
        <v>46</v>
      </c>
      <c r="L4350">
        <v>1</v>
      </c>
      <c r="M4350" t="str">
        <f t="shared" si="67"/>
        <v>2010-2020</v>
      </c>
    </row>
    <row r="4351" spans="1:13">
      <c r="A4351" t="s">
        <v>6050</v>
      </c>
      <c r="B4351" t="s">
        <v>6051</v>
      </c>
      <c r="C4351" s="1">
        <v>39611</v>
      </c>
      <c r="D4351" s="2">
        <v>968810827</v>
      </c>
      <c r="E4351" s="2">
        <v>177742</v>
      </c>
      <c r="F4351">
        <v>77</v>
      </c>
      <c r="G4351" s="2">
        <v>336220628</v>
      </c>
      <c r="H4351" s="2">
        <v>2996719</v>
      </c>
      <c r="I4351" s="2">
        <v>47328081</v>
      </c>
      <c r="J4351">
        <v>22</v>
      </c>
      <c r="K4351">
        <v>5</v>
      </c>
      <c r="L4351">
        <v>1</v>
      </c>
      <c r="M4351" t="str">
        <f t="shared" si="67"/>
        <v>Before 2010</v>
      </c>
    </row>
    <row r="4352" spans="1:13">
      <c r="A4352" t="s">
        <v>6052</v>
      </c>
      <c r="B4352" t="s">
        <v>4879</v>
      </c>
      <c r="C4352" s="1">
        <v>43139</v>
      </c>
      <c r="D4352" s="2">
        <v>653490628</v>
      </c>
      <c r="E4352" s="2">
        <v>122994</v>
      </c>
      <c r="F4352">
        <v>62</v>
      </c>
      <c r="G4352" s="2">
        <v>97882796</v>
      </c>
      <c r="H4352" s="2">
        <v>935978</v>
      </c>
      <c r="I4352" s="2">
        <v>314775951</v>
      </c>
      <c r="J4352">
        <v>53</v>
      </c>
      <c r="K4352">
        <v>149</v>
      </c>
      <c r="L4352">
        <v>1</v>
      </c>
      <c r="M4352" t="str">
        <f t="shared" si="67"/>
        <v>2010-2020</v>
      </c>
    </row>
    <row r="4353" spans="1:13">
      <c r="A4353" t="s">
        <v>6053</v>
      </c>
      <c r="B4353" t="s">
        <v>444</v>
      </c>
      <c r="C4353" s="1">
        <v>44876</v>
      </c>
      <c r="D4353" s="2">
        <v>143542362</v>
      </c>
      <c r="E4353" s="2">
        <v>23633</v>
      </c>
      <c r="F4353">
        <v>60</v>
      </c>
      <c r="G4353" s="2">
        <v>13240486</v>
      </c>
      <c r="H4353" s="2">
        <v>121147</v>
      </c>
      <c r="I4353" s="2">
        <v>1543849310</v>
      </c>
      <c r="J4353">
        <v>12</v>
      </c>
      <c r="K4353">
        <v>12</v>
      </c>
      <c r="L4353">
        <v>1</v>
      </c>
      <c r="M4353" t="str">
        <f t="shared" si="67"/>
        <v>After 2020</v>
      </c>
    </row>
    <row r="4354" spans="1:13">
      <c r="A4354" t="s">
        <v>6054</v>
      </c>
      <c r="B4354" t="s">
        <v>6055</v>
      </c>
      <c r="C4354" s="1">
        <v>42116</v>
      </c>
      <c r="D4354" s="2">
        <v>493444344</v>
      </c>
      <c r="E4354" s="2">
        <v>48491</v>
      </c>
      <c r="F4354">
        <v>76</v>
      </c>
      <c r="G4354" s="2">
        <v>110108631</v>
      </c>
      <c r="H4354" s="2">
        <v>979538</v>
      </c>
      <c r="I4354" s="2">
        <v>1951015670</v>
      </c>
      <c r="J4354">
        <v>63</v>
      </c>
      <c r="K4354">
        <v>162</v>
      </c>
      <c r="L4354">
        <v>0</v>
      </c>
      <c r="M4354" t="str">
        <f t="shared" si="67"/>
        <v>2010-2020</v>
      </c>
    </row>
    <row r="4355" spans="1:13">
      <c r="A4355" t="s">
        <v>6056</v>
      </c>
      <c r="B4355" t="s">
        <v>6057</v>
      </c>
      <c r="C4355" s="1">
        <v>41667</v>
      </c>
      <c r="D4355" s="2">
        <v>663939688</v>
      </c>
      <c r="E4355" s="2">
        <v>87146</v>
      </c>
      <c r="F4355">
        <v>67</v>
      </c>
      <c r="G4355" s="2">
        <v>462058635</v>
      </c>
      <c r="H4355" s="2">
        <v>4042516</v>
      </c>
      <c r="I4355" s="2">
        <v>215796397</v>
      </c>
      <c r="J4355">
        <v>47</v>
      </c>
      <c r="K4355">
        <v>114</v>
      </c>
      <c r="L4355">
        <v>0</v>
      </c>
      <c r="M4355" t="str">
        <f t="shared" ref="M4355:M4418" si="68">IF(YEAR(C4355)&lt;2010,"Before 2010",IF(YEAR(C4355)&lt;=2020,"2010-2020","After 2020"))</f>
        <v>2010-2020</v>
      </c>
    </row>
    <row r="4356" spans="1:13" hidden="1">
      <c r="A4356" t="s">
        <v>6058</v>
      </c>
      <c r="B4356" t="s">
        <v>6059</v>
      </c>
      <c r="C4356" s="1">
        <v>44897</v>
      </c>
      <c r="D4356" s="2">
        <v>14566339</v>
      </c>
      <c r="E4356" s="2">
        <v>6708</v>
      </c>
      <c r="F4356">
        <v>48</v>
      </c>
      <c r="G4356" s="2">
        <v>173493536</v>
      </c>
      <c r="H4356" s="2">
        <v>555196</v>
      </c>
      <c r="I4356" s="2">
        <v>166606107</v>
      </c>
      <c r="J4356">
        <v>7</v>
      </c>
      <c r="L4356">
        <v>0</v>
      </c>
      <c r="M4356" t="str">
        <f t="shared" si="68"/>
        <v>After 2020</v>
      </c>
    </row>
    <row r="4357" spans="1:13" hidden="1">
      <c r="A4357" t="s">
        <v>6060</v>
      </c>
      <c r="B4357" t="s">
        <v>3349</v>
      </c>
      <c r="C4357" s="1">
        <v>44505</v>
      </c>
      <c r="D4357" s="2">
        <v>342872540</v>
      </c>
      <c r="E4357" s="2">
        <v>67188</v>
      </c>
      <c r="F4357">
        <v>74</v>
      </c>
      <c r="G4357" s="2">
        <v>27027629</v>
      </c>
      <c r="H4357" s="2">
        <v>793123</v>
      </c>
      <c r="I4357" s="2">
        <v>850439402</v>
      </c>
      <c r="J4357">
        <v>10</v>
      </c>
      <c r="L4357">
        <v>0</v>
      </c>
      <c r="M4357" t="str">
        <f t="shared" si="68"/>
        <v>After 2020</v>
      </c>
    </row>
    <row r="4358" spans="1:13">
      <c r="A4358" t="s">
        <v>6061</v>
      </c>
      <c r="B4358" t="s">
        <v>6062</v>
      </c>
      <c r="C4358" s="1">
        <v>41726</v>
      </c>
      <c r="D4358" s="2">
        <v>728140057</v>
      </c>
      <c r="E4358" s="2">
        <v>201363</v>
      </c>
      <c r="F4358">
        <v>74</v>
      </c>
      <c r="G4358" s="2">
        <v>251014567</v>
      </c>
      <c r="H4358" s="2">
        <v>3365976</v>
      </c>
      <c r="I4358" s="2">
        <v>918538689</v>
      </c>
      <c r="J4358">
        <v>39</v>
      </c>
      <c r="K4358">
        <v>4</v>
      </c>
      <c r="L4358">
        <v>0</v>
      </c>
      <c r="M4358" t="str">
        <f t="shared" si="68"/>
        <v>2010-2020</v>
      </c>
    </row>
    <row r="4359" spans="1:13" hidden="1">
      <c r="A4359" t="s">
        <v>6063</v>
      </c>
      <c r="B4359" t="s">
        <v>2828</v>
      </c>
      <c r="C4359" s="1">
        <v>44785</v>
      </c>
      <c r="D4359" s="2">
        <v>129635815</v>
      </c>
      <c r="E4359" s="2">
        <v>17482</v>
      </c>
      <c r="F4359">
        <v>70</v>
      </c>
      <c r="G4359" s="2">
        <v>33423008</v>
      </c>
      <c r="H4359" s="2">
        <v>161494</v>
      </c>
      <c r="I4359" s="2">
        <v>60524288</v>
      </c>
      <c r="K4359">
        <v>20</v>
      </c>
      <c r="L4359">
        <v>0</v>
      </c>
      <c r="M4359" t="str">
        <f t="shared" si="68"/>
        <v>After 2020</v>
      </c>
    </row>
    <row r="4360" spans="1:13" hidden="1">
      <c r="A4360" t="s">
        <v>6064</v>
      </c>
      <c r="B4360" t="s">
        <v>5507</v>
      </c>
      <c r="C4360" s="1">
        <v>44183</v>
      </c>
      <c r="D4360" s="2">
        <v>248857241</v>
      </c>
      <c r="E4360" s="2">
        <v>6774</v>
      </c>
      <c r="F4360">
        <v>56</v>
      </c>
      <c r="J4360">
        <v>60</v>
      </c>
      <c r="L4360">
        <v>0</v>
      </c>
      <c r="M4360" t="str">
        <f t="shared" si="68"/>
        <v>2010-2020</v>
      </c>
    </row>
    <row r="4361" spans="1:13" hidden="1">
      <c r="A4361" t="s">
        <v>140</v>
      </c>
      <c r="B4361" t="s">
        <v>6065</v>
      </c>
      <c r="C4361" s="1">
        <v>44813</v>
      </c>
      <c r="D4361" s="2">
        <v>1797039538</v>
      </c>
      <c r="E4361">
        <v>2</v>
      </c>
      <c r="F4361">
        <v>7</v>
      </c>
      <c r="L4361">
        <v>0</v>
      </c>
      <c r="M4361" t="str">
        <f t="shared" si="68"/>
        <v>After 2020</v>
      </c>
    </row>
    <row r="4362" spans="1:13" hidden="1">
      <c r="A4362" t="s">
        <v>6066</v>
      </c>
      <c r="B4362" t="s">
        <v>236</v>
      </c>
      <c r="C4362" s="1">
        <v>43315</v>
      </c>
      <c r="D4362" s="2">
        <v>601202311</v>
      </c>
      <c r="E4362" s="2">
        <v>140105</v>
      </c>
      <c r="F4362">
        <v>72</v>
      </c>
      <c r="G4362" s="2">
        <v>183455907</v>
      </c>
      <c r="H4362" s="2">
        <v>1802273</v>
      </c>
      <c r="I4362" s="2">
        <v>75889595</v>
      </c>
      <c r="J4362">
        <v>16</v>
      </c>
      <c r="L4362">
        <v>1</v>
      </c>
      <c r="M4362" t="str">
        <f t="shared" si="68"/>
        <v>2010-2020</v>
      </c>
    </row>
    <row r="4363" spans="1:13" hidden="1">
      <c r="A4363" t="s">
        <v>6067</v>
      </c>
      <c r="B4363" t="s">
        <v>1071</v>
      </c>
      <c r="C4363" s="1">
        <v>45177</v>
      </c>
      <c r="D4363" s="2">
        <v>78855298</v>
      </c>
      <c r="E4363" s="2">
        <v>11118</v>
      </c>
      <c r="G4363" s="2">
        <v>6408371</v>
      </c>
      <c r="H4363" s="2">
        <v>103541</v>
      </c>
      <c r="I4363" s="2">
        <v>1578390</v>
      </c>
      <c r="J4363">
        <v>9</v>
      </c>
      <c r="K4363">
        <v>1</v>
      </c>
      <c r="L4363">
        <v>0</v>
      </c>
      <c r="M4363" t="str">
        <f t="shared" si="68"/>
        <v>After 2020</v>
      </c>
    </row>
    <row r="4364" spans="1:13">
      <c r="A4364" t="s">
        <v>6068</v>
      </c>
      <c r="B4364" t="s">
        <v>5316</v>
      </c>
      <c r="C4364" s="1">
        <v>39814</v>
      </c>
      <c r="D4364" s="2">
        <v>789300127</v>
      </c>
      <c r="E4364" s="2">
        <v>189360</v>
      </c>
      <c r="F4364">
        <v>64</v>
      </c>
      <c r="G4364" s="2">
        <v>371080713</v>
      </c>
      <c r="H4364" s="2">
        <v>2632037</v>
      </c>
      <c r="I4364" s="2">
        <v>378996312</v>
      </c>
      <c r="J4364">
        <v>58</v>
      </c>
      <c r="K4364">
        <v>43</v>
      </c>
      <c r="L4364">
        <v>1</v>
      </c>
      <c r="M4364" t="str">
        <f t="shared" si="68"/>
        <v>Before 2010</v>
      </c>
    </row>
    <row r="4365" spans="1:13" hidden="1">
      <c r="A4365" t="s">
        <v>166</v>
      </c>
      <c r="B4365" t="s">
        <v>6069</v>
      </c>
      <c r="C4365" s="1">
        <v>45083</v>
      </c>
      <c r="D4365" s="2">
        <v>675375297</v>
      </c>
      <c r="E4365">
        <v>12</v>
      </c>
      <c r="L4365">
        <v>1</v>
      </c>
      <c r="M4365" t="str">
        <f t="shared" si="68"/>
        <v>After 2020</v>
      </c>
    </row>
    <row r="4366" spans="1:13" hidden="1">
      <c r="A4366" t="s">
        <v>6070</v>
      </c>
      <c r="B4366" t="s">
        <v>546</v>
      </c>
      <c r="C4366" s="1">
        <v>42582</v>
      </c>
      <c r="D4366" s="2">
        <v>255776823</v>
      </c>
      <c r="E4366" s="2">
        <v>52690</v>
      </c>
      <c r="F4366">
        <v>58</v>
      </c>
      <c r="G4366" s="2">
        <v>135880617</v>
      </c>
      <c r="H4366" s="2">
        <v>1184950</v>
      </c>
      <c r="I4366" s="2">
        <v>13186028</v>
      </c>
      <c r="J4366">
        <v>18</v>
      </c>
      <c r="L4366">
        <v>1</v>
      </c>
      <c r="M4366" t="str">
        <f t="shared" si="68"/>
        <v>2010-2020</v>
      </c>
    </row>
    <row r="4367" spans="1:13" hidden="1">
      <c r="A4367" t="s">
        <v>6071</v>
      </c>
      <c r="B4367" t="s">
        <v>1814</v>
      </c>
      <c r="C4367" s="1">
        <v>45163</v>
      </c>
      <c r="D4367" s="2">
        <v>19690183</v>
      </c>
      <c r="E4367" s="2">
        <v>10081</v>
      </c>
      <c r="F4367">
        <v>48</v>
      </c>
      <c r="G4367" s="2">
        <v>8714858</v>
      </c>
      <c r="H4367" s="2">
        <v>141807</v>
      </c>
      <c r="I4367" s="2">
        <v>5082017</v>
      </c>
      <c r="K4367">
        <v>659</v>
      </c>
      <c r="L4367">
        <v>1</v>
      </c>
      <c r="M4367" t="str">
        <f t="shared" si="68"/>
        <v>After 2020</v>
      </c>
    </row>
    <row r="4368" spans="1:13">
      <c r="A4368" t="s">
        <v>3941</v>
      </c>
      <c r="B4368" t="s">
        <v>1857</v>
      </c>
      <c r="C4368" s="1">
        <v>40909</v>
      </c>
      <c r="D4368" s="2">
        <v>396015053</v>
      </c>
      <c r="E4368" s="2">
        <v>93596</v>
      </c>
      <c r="F4368">
        <v>64</v>
      </c>
      <c r="G4368" s="2">
        <v>58003262</v>
      </c>
      <c r="H4368" s="2">
        <v>606430</v>
      </c>
      <c r="I4368" s="2">
        <v>26586947</v>
      </c>
      <c r="J4368">
        <v>56</v>
      </c>
      <c r="K4368">
        <v>3</v>
      </c>
      <c r="L4368">
        <v>1</v>
      </c>
      <c r="M4368" t="str">
        <f t="shared" si="68"/>
        <v>2010-2020</v>
      </c>
    </row>
    <row r="4369" spans="1:13" hidden="1">
      <c r="A4369" t="s">
        <v>6072</v>
      </c>
      <c r="B4369" t="s">
        <v>2103</v>
      </c>
      <c r="C4369" s="1">
        <v>45324</v>
      </c>
      <c r="D4369" s="2">
        <v>44619695</v>
      </c>
      <c r="E4369" s="2">
        <v>1561</v>
      </c>
      <c r="F4369">
        <v>73</v>
      </c>
      <c r="G4369" s="2">
        <v>46189870</v>
      </c>
      <c r="H4369" s="2">
        <v>250190</v>
      </c>
      <c r="J4369">
        <v>9</v>
      </c>
      <c r="L4369">
        <v>0</v>
      </c>
      <c r="M4369" t="str">
        <f t="shared" si="68"/>
        <v>After 2020</v>
      </c>
    </row>
    <row r="4370" spans="1:13" hidden="1">
      <c r="A4370" t="s">
        <v>6073</v>
      </c>
      <c r="B4370" t="s">
        <v>1055</v>
      </c>
      <c r="C4370" s="1">
        <v>45050</v>
      </c>
      <c r="D4370" s="2">
        <v>76323780</v>
      </c>
      <c r="E4370" s="2">
        <v>15631</v>
      </c>
      <c r="F4370">
        <v>59</v>
      </c>
      <c r="G4370" s="2">
        <v>82546258</v>
      </c>
      <c r="H4370" s="2">
        <v>937660</v>
      </c>
      <c r="I4370" s="2">
        <v>2356835</v>
      </c>
      <c r="J4370">
        <v>6</v>
      </c>
      <c r="L4370">
        <v>0</v>
      </c>
      <c r="M4370" t="str">
        <f t="shared" si="68"/>
        <v>After 2020</v>
      </c>
    </row>
    <row r="4371" spans="1:13" hidden="1">
      <c r="A4371" t="s">
        <v>6074</v>
      </c>
      <c r="B4371" t="s">
        <v>6075</v>
      </c>
      <c r="C4371" s="1">
        <v>44729</v>
      </c>
      <c r="D4371" s="2">
        <v>20855</v>
      </c>
      <c r="E4371">
        <v>14</v>
      </c>
      <c r="F4371">
        <v>7</v>
      </c>
      <c r="G4371" s="2">
        <v>334451880</v>
      </c>
      <c r="H4371" s="2">
        <v>1636690</v>
      </c>
      <c r="I4371" s="2">
        <v>3068694</v>
      </c>
      <c r="L4371">
        <v>0</v>
      </c>
      <c r="M4371" t="str">
        <f t="shared" si="68"/>
        <v>After 2020</v>
      </c>
    </row>
    <row r="4372" spans="1:13" hidden="1">
      <c r="A4372" t="s">
        <v>6076</v>
      </c>
      <c r="B4372" t="s">
        <v>6077</v>
      </c>
      <c r="C4372" s="1">
        <v>44926</v>
      </c>
      <c r="D4372" s="2">
        <v>8434856</v>
      </c>
      <c r="E4372" s="2">
        <v>6522</v>
      </c>
      <c r="F4372">
        <v>14</v>
      </c>
      <c r="I4372" s="2">
        <v>439574216</v>
      </c>
      <c r="J4372">
        <v>8</v>
      </c>
      <c r="K4372">
        <v>2</v>
      </c>
      <c r="L4372">
        <v>0</v>
      </c>
      <c r="M4372" t="str">
        <f t="shared" si="68"/>
        <v>After 2020</v>
      </c>
    </row>
    <row r="4373" spans="1:13">
      <c r="A4373" t="s">
        <v>6078</v>
      </c>
      <c r="B4373" t="s">
        <v>4688</v>
      </c>
      <c r="C4373" s="1">
        <v>43245</v>
      </c>
      <c r="D4373" s="2">
        <v>370693139</v>
      </c>
      <c r="E4373" s="2">
        <v>52213</v>
      </c>
      <c r="F4373">
        <v>56</v>
      </c>
      <c r="G4373" s="2">
        <v>354158650</v>
      </c>
      <c r="H4373" s="2">
        <v>2481689</v>
      </c>
      <c r="I4373" s="2">
        <v>36764105</v>
      </c>
      <c r="J4373">
        <v>54</v>
      </c>
      <c r="K4373">
        <v>32</v>
      </c>
      <c r="L4373">
        <v>1</v>
      </c>
      <c r="M4373" t="str">
        <f t="shared" si="68"/>
        <v>2010-2020</v>
      </c>
    </row>
    <row r="4374" spans="1:13" hidden="1">
      <c r="A4374" t="s">
        <v>6079</v>
      </c>
      <c r="B4374" t="s">
        <v>6080</v>
      </c>
      <c r="C4374" s="1">
        <v>45203</v>
      </c>
      <c r="D4374" s="2">
        <v>19247151</v>
      </c>
      <c r="E4374" s="2">
        <v>3029</v>
      </c>
      <c r="F4374">
        <v>57</v>
      </c>
      <c r="G4374" s="2">
        <v>99031817</v>
      </c>
      <c r="H4374" s="2">
        <v>396913</v>
      </c>
      <c r="J4374">
        <v>4</v>
      </c>
      <c r="L4374">
        <v>0</v>
      </c>
      <c r="M4374" t="str">
        <f t="shared" si="68"/>
        <v>After 2020</v>
      </c>
    </row>
    <row r="4375" spans="1:13">
      <c r="A4375" t="s">
        <v>6081</v>
      </c>
      <c r="B4375" t="s">
        <v>642</v>
      </c>
      <c r="C4375" s="1">
        <v>45099</v>
      </c>
      <c r="D4375" s="2">
        <v>101903591</v>
      </c>
      <c r="E4375" s="2">
        <v>22437</v>
      </c>
      <c r="F4375">
        <v>72</v>
      </c>
      <c r="G4375" s="2">
        <v>16541095</v>
      </c>
      <c r="H4375" s="2">
        <v>130658</v>
      </c>
      <c r="I4375" s="2">
        <v>7751938</v>
      </c>
      <c r="J4375">
        <v>29</v>
      </c>
      <c r="K4375">
        <v>801</v>
      </c>
      <c r="L4375">
        <v>0</v>
      </c>
      <c r="M4375" t="str">
        <f t="shared" si="68"/>
        <v>After 2020</v>
      </c>
    </row>
    <row r="4376" spans="1:13" hidden="1">
      <c r="A4376" t="s">
        <v>6082</v>
      </c>
      <c r="B4376" t="s">
        <v>6083</v>
      </c>
      <c r="C4376" s="1">
        <v>37159</v>
      </c>
      <c r="D4376" s="2">
        <v>399145178</v>
      </c>
      <c r="E4376" s="2">
        <v>94038</v>
      </c>
      <c r="F4376">
        <v>68</v>
      </c>
      <c r="G4376" s="2">
        <v>1632844702</v>
      </c>
      <c r="H4376" s="2">
        <v>11706967</v>
      </c>
      <c r="I4376" s="2">
        <v>167032445</v>
      </c>
      <c r="J4376">
        <v>51</v>
      </c>
      <c r="L4376">
        <v>0</v>
      </c>
      <c r="M4376" t="str">
        <f t="shared" si="68"/>
        <v>Before 2010</v>
      </c>
    </row>
    <row r="4377" spans="1:13">
      <c r="A4377" t="s">
        <v>6084</v>
      </c>
      <c r="B4377" t="s">
        <v>2131</v>
      </c>
      <c r="C4377" s="1">
        <v>42579</v>
      </c>
      <c r="D4377" s="2">
        <v>703411626</v>
      </c>
      <c r="E4377" s="2">
        <v>95048</v>
      </c>
      <c r="F4377">
        <v>66</v>
      </c>
      <c r="G4377" s="2">
        <v>203961378</v>
      </c>
      <c r="H4377" s="2">
        <v>1718942</v>
      </c>
      <c r="I4377" s="2">
        <v>108839324</v>
      </c>
      <c r="J4377">
        <v>55</v>
      </c>
      <c r="K4377">
        <v>4</v>
      </c>
      <c r="L4377">
        <v>1</v>
      </c>
      <c r="M4377" t="str">
        <f t="shared" si="68"/>
        <v>2010-2020</v>
      </c>
    </row>
    <row r="4378" spans="1:13">
      <c r="A4378" t="s">
        <v>6085</v>
      </c>
      <c r="B4378" t="s">
        <v>6086</v>
      </c>
      <c r="C4378" s="1">
        <v>45054</v>
      </c>
      <c r="D4378" s="2">
        <v>57239767</v>
      </c>
      <c r="E4378" s="2">
        <v>14419</v>
      </c>
      <c r="F4378">
        <v>64</v>
      </c>
      <c r="G4378" s="2">
        <v>22415677</v>
      </c>
      <c r="H4378" s="2">
        <v>216783</v>
      </c>
      <c r="I4378" s="2">
        <v>761631144</v>
      </c>
      <c r="J4378">
        <v>6</v>
      </c>
      <c r="K4378">
        <v>988</v>
      </c>
      <c r="L4378">
        <v>0</v>
      </c>
      <c r="M4378" t="str">
        <f t="shared" si="68"/>
        <v>After 2020</v>
      </c>
    </row>
    <row r="4379" spans="1:13">
      <c r="A4379" t="s">
        <v>6087</v>
      </c>
      <c r="B4379" t="s">
        <v>6088</v>
      </c>
      <c r="C4379" s="1">
        <v>43973</v>
      </c>
      <c r="D4379" s="2">
        <v>313507248</v>
      </c>
      <c r="E4379" s="2">
        <v>26753</v>
      </c>
      <c r="F4379">
        <v>67</v>
      </c>
      <c r="G4379" s="2">
        <v>502937217</v>
      </c>
      <c r="H4379" s="2">
        <v>15675718</v>
      </c>
      <c r="I4379" s="2">
        <v>4863938</v>
      </c>
      <c r="J4379">
        <v>9</v>
      </c>
      <c r="K4379">
        <v>7</v>
      </c>
      <c r="L4379">
        <v>1</v>
      </c>
      <c r="M4379" t="str">
        <f t="shared" si="68"/>
        <v>2010-2020</v>
      </c>
    </row>
    <row r="4380" spans="1:13">
      <c r="A4380" t="s">
        <v>6089</v>
      </c>
      <c r="B4380" t="s">
        <v>1314</v>
      </c>
      <c r="C4380" s="1">
        <v>44390</v>
      </c>
      <c r="D4380" s="2">
        <v>232985667</v>
      </c>
      <c r="E4380" s="2">
        <v>43893</v>
      </c>
      <c r="F4380">
        <v>62</v>
      </c>
      <c r="G4380" s="2">
        <v>244041337</v>
      </c>
      <c r="H4380" s="2">
        <v>1787933</v>
      </c>
      <c r="I4380" s="2">
        <v>165904891</v>
      </c>
      <c r="J4380">
        <v>19</v>
      </c>
      <c r="K4380">
        <v>120</v>
      </c>
      <c r="L4380">
        <v>0</v>
      </c>
      <c r="M4380" t="str">
        <f t="shared" si="68"/>
        <v>After 2020</v>
      </c>
    </row>
    <row r="4381" spans="1:13" hidden="1">
      <c r="A4381" t="s">
        <v>138</v>
      </c>
      <c r="B4381" t="s">
        <v>1678</v>
      </c>
      <c r="C4381" s="1">
        <v>45035</v>
      </c>
      <c r="D4381" s="2">
        <v>125451295</v>
      </c>
      <c r="E4381" s="2">
        <v>28417</v>
      </c>
      <c r="F4381">
        <v>61</v>
      </c>
      <c r="G4381" s="2">
        <v>26092583</v>
      </c>
      <c r="H4381" s="2">
        <v>192904</v>
      </c>
      <c r="I4381" s="2">
        <v>154830607</v>
      </c>
      <c r="J4381">
        <v>18</v>
      </c>
      <c r="L4381">
        <v>0</v>
      </c>
      <c r="M4381" t="str">
        <f t="shared" si="68"/>
        <v>After 2020</v>
      </c>
    </row>
    <row r="4382" spans="1:13" hidden="1">
      <c r="A4382" t="s">
        <v>6090</v>
      </c>
      <c r="B4382" t="s">
        <v>1534</v>
      </c>
      <c r="C4382" s="1">
        <v>43924</v>
      </c>
      <c r="D4382" s="2">
        <v>164542767</v>
      </c>
      <c r="E4382" s="2">
        <v>35795</v>
      </c>
      <c r="F4382">
        <v>47</v>
      </c>
      <c r="G4382" s="2">
        <v>164259549</v>
      </c>
      <c r="H4382" s="2">
        <v>1321390</v>
      </c>
      <c r="I4382" s="2">
        <v>907184617</v>
      </c>
      <c r="J4382">
        <v>21</v>
      </c>
      <c r="L4382">
        <v>1</v>
      </c>
      <c r="M4382" t="str">
        <f t="shared" si="68"/>
        <v>2010-2020</v>
      </c>
    </row>
    <row r="4383" spans="1:13">
      <c r="A4383" t="s">
        <v>220</v>
      </c>
      <c r="B4383" t="s">
        <v>3647</v>
      </c>
      <c r="C4383" s="1">
        <v>42342</v>
      </c>
      <c r="D4383" s="2">
        <v>1145882592</v>
      </c>
      <c r="E4383" s="2">
        <v>139927</v>
      </c>
      <c r="F4383">
        <v>69</v>
      </c>
      <c r="G4383" s="2">
        <v>154731955</v>
      </c>
      <c r="H4383" s="2">
        <v>772693</v>
      </c>
      <c r="I4383" s="2">
        <v>88978424</v>
      </c>
      <c r="J4383">
        <v>143</v>
      </c>
      <c r="K4383">
        <v>16</v>
      </c>
      <c r="L4383">
        <v>0</v>
      </c>
      <c r="M4383" t="str">
        <f t="shared" si="68"/>
        <v>2010-2020</v>
      </c>
    </row>
    <row r="4384" spans="1:13">
      <c r="A4384" t="s">
        <v>6091</v>
      </c>
      <c r="B4384" t="s">
        <v>3672</v>
      </c>
      <c r="C4384" s="1">
        <v>44903</v>
      </c>
      <c r="D4384" s="2">
        <v>56051407</v>
      </c>
      <c r="E4384" s="2">
        <v>25464</v>
      </c>
      <c r="F4384">
        <v>57</v>
      </c>
      <c r="G4384" s="2">
        <v>47664500</v>
      </c>
      <c r="H4384" s="2">
        <v>494147</v>
      </c>
      <c r="I4384" s="2">
        <v>31039886</v>
      </c>
      <c r="J4384">
        <v>10</v>
      </c>
      <c r="K4384">
        <v>89</v>
      </c>
      <c r="L4384">
        <v>1</v>
      </c>
      <c r="M4384" t="str">
        <f t="shared" si="68"/>
        <v>After 2020</v>
      </c>
    </row>
    <row r="4385" spans="1:13" hidden="1">
      <c r="A4385" t="s">
        <v>3402</v>
      </c>
      <c r="B4385" t="s">
        <v>1563</v>
      </c>
      <c r="C4385" s="1">
        <v>44022</v>
      </c>
      <c r="D4385" s="2">
        <v>71915713</v>
      </c>
      <c r="E4385" s="2">
        <v>6180</v>
      </c>
      <c r="F4385">
        <v>54</v>
      </c>
      <c r="G4385" s="2">
        <v>611609157</v>
      </c>
      <c r="H4385" s="2">
        <v>2544961</v>
      </c>
      <c r="I4385" s="2">
        <v>13591360</v>
      </c>
      <c r="J4385">
        <v>10</v>
      </c>
      <c r="L4385">
        <v>0</v>
      </c>
      <c r="M4385" t="str">
        <f t="shared" si="68"/>
        <v>2010-2020</v>
      </c>
    </row>
    <row r="4386" spans="1:13" hidden="1">
      <c r="A4386" t="s">
        <v>6092</v>
      </c>
      <c r="B4386" t="s">
        <v>146</v>
      </c>
      <c r="C4386" s="1">
        <v>45252</v>
      </c>
      <c r="D4386" s="2">
        <v>45816040</v>
      </c>
      <c r="E4386" s="2">
        <v>19208</v>
      </c>
      <c r="L4386">
        <v>1</v>
      </c>
      <c r="M4386" t="str">
        <f t="shared" si="68"/>
        <v>After 2020</v>
      </c>
    </row>
    <row r="4387" spans="1:13" hidden="1">
      <c r="A4387" t="s">
        <v>6093</v>
      </c>
      <c r="B4387" t="s">
        <v>72</v>
      </c>
      <c r="C4387" s="1">
        <v>45261</v>
      </c>
      <c r="D4387" s="2">
        <v>45238166</v>
      </c>
      <c r="E4387" s="2">
        <v>6057</v>
      </c>
      <c r="G4387" s="2">
        <v>8478416</v>
      </c>
      <c r="H4387" s="2">
        <v>174490</v>
      </c>
      <c r="I4387" s="2">
        <v>10260065</v>
      </c>
      <c r="J4387">
        <v>18</v>
      </c>
      <c r="K4387">
        <v>1</v>
      </c>
      <c r="L4387">
        <v>1</v>
      </c>
      <c r="M4387" t="str">
        <f t="shared" si="68"/>
        <v>After 2020</v>
      </c>
    </row>
    <row r="4388" spans="1:13" hidden="1">
      <c r="A4388" t="s">
        <v>6094</v>
      </c>
      <c r="B4388" t="s">
        <v>2321</v>
      </c>
      <c r="C4388" s="1">
        <v>45436</v>
      </c>
      <c r="D4388" s="2">
        <v>13289346</v>
      </c>
      <c r="E4388" s="2">
        <v>1936</v>
      </c>
      <c r="F4388">
        <v>72</v>
      </c>
      <c r="J4388">
        <v>6</v>
      </c>
      <c r="L4388">
        <v>1</v>
      </c>
      <c r="M4388" t="str">
        <f t="shared" si="68"/>
        <v>After 2020</v>
      </c>
    </row>
    <row r="4389" spans="1:13" hidden="1">
      <c r="A4389" t="s">
        <v>6095</v>
      </c>
      <c r="B4389" t="s">
        <v>6096</v>
      </c>
      <c r="C4389" s="1">
        <v>45437</v>
      </c>
      <c r="D4389" s="2">
        <v>29938396</v>
      </c>
      <c r="E4389">
        <v>2</v>
      </c>
      <c r="F4389">
        <v>39</v>
      </c>
      <c r="L4389">
        <v>1</v>
      </c>
      <c r="M4389" t="str">
        <f t="shared" si="68"/>
        <v>After 2020</v>
      </c>
    </row>
    <row r="4390" spans="1:13" hidden="1">
      <c r="A4390" t="s">
        <v>6097</v>
      </c>
      <c r="B4390" t="s">
        <v>295</v>
      </c>
      <c r="C4390" s="1">
        <v>45205</v>
      </c>
      <c r="D4390" s="2">
        <v>65870686</v>
      </c>
      <c r="E4390" s="2">
        <v>22047</v>
      </c>
      <c r="G4390" s="2">
        <v>4154083</v>
      </c>
      <c r="H4390" s="2">
        <v>48490</v>
      </c>
      <c r="I4390" s="2">
        <v>405415</v>
      </c>
      <c r="J4390">
        <v>4</v>
      </c>
      <c r="K4390">
        <v>68</v>
      </c>
      <c r="L4390">
        <v>1</v>
      </c>
      <c r="M4390" t="str">
        <f t="shared" si="68"/>
        <v>After 2020</v>
      </c>
    </row>
    <row r="4391" spans="1:13" hidden="1">
      <c r="A4391" t="s">
        <v>6098</v>
      </c>
      <c r="B4391" t="s">
        <v>6099</v>
      </c>
      <c r="C4391" s="1">
        <v>44686</v>
      </c>
      <c r="D4391" s="2">
        <v>128669257</v>
      </c>
      <c r="E4391" s="2">
        <v>25684</v>
      </c>
      <c r="F4391">
        <v>62</v>
      </c>
      <c r="G4391" s="2">
        <v>142184505</v>
      </c>
      <c r="H4391" s="2">
        <v>819929</v>
      </c>
      <c r="I4391" s="2">
        <v>237360091</v>
      </c>
      <c r="J4391">
        <v>9</v>
      </c>
      <c r="L4391">
        <v>0</v>
      </c>
      <c r="M4391" t="str">
        <f t="shared" si="68"/>
        <v>After 2020</v>
      </c>
    </row>
    <row r="4392" spans="1:13" hidden="1">
      <c r="A4392" t="s">
        <v>6100</v>
      </c>
      <c r="B4392" t="s">
        <v>6101</v>
      </c>
      <c r="C4392" s="1">
        <v>41640</v>
      </c>
      <c r="D4392" s="2">
        <v>1074583619</v>
      </c>
      <c r="E4392" s="2">
        <v>152685</v>
      </c>
      <c r="F4392">
        <v>69</v>
      </c>
      <c r="G4392" s="2">
        <v>631896</v>
      </c>
      <c r="H4392" s="2">
        <v>5935</v>
      </c>
      <c r="I4392" s="2">
        <v>138609613</v>
      </c>
      <c r="J4392">
        <v>118</v>
      </c>
      <c r="L4392">
        <v>0</v>
      </c>
      <c r="M4392" t="str">
        <f t="shared" si="68"/>
        <v>2010-2020</v>
      </c>
    </row>
    <row r="4393" spans="1:13" hidden="1">
      <c r="A4393" t="s">
        <v>6102</v>
      </c>
      <c r="B4393" t="s">
        <v>6103</v>
      </c>
      <c r="C4393" s="1">
        <v>45418</v>
      </c>
      <c r="D4393" s="2">
        <v>41745</v>
      </c>
      <c r="E4393">
        <v>2</v>
      </c>
      <c r="G4393" s="2">
        <v>18602043</v>
      </c>
      <c r="H4393" s="2">
        <v>62451</v>
      </c>
      <c r="L4393">
        <v>0</v>
      </c>
      <c r="M4393" t="str">
        <f t="shared" si="68"/>
        <v>After 2020</v>
      </c>
    </row>
    <row r="4394" spans="1:13" hidden="1">
      <c r="A4394" t="s">
        <v>6104</v>
      </c>
      <c r="B4394" t="s">
        <v>1141</v>
      </c>
      <c r="C4394" s="1">
        <v>44988</v>
      </c>
      <c r="D4394" s="2">
        <v>21134265</v>
      </c>
      <c r="E4394" s="2">
        <v>7097</v>
      </c>
      <c r="F4394">
        <v>55</v>
      </c>
      <c r="I4394" s="2">
        <v>237172938</v>
      </c>
      <c r="J4394">
        <v>25</v>
      </c>
      <c r="L4394">
        <v>0</v>
      </c>
      <c r="M4394" t="str">
        <f t="shared" si="68"/>
        <v>After 2020</v>
      </c>
    </row>
    <row r="4395" spans="1:13" hidden="1">
      <c r="A4395" t="s">
        <v>6105</v>
      </c>
      <c r="B4395" t="s">
        <v>6106</v>
      </c>
      <c r="C4395" s="1">
        <v>44998</v>
      </c>
      <c r="D4395" s="2">
        <v>144026886</v>
      </c>
      <c r="E4395" s="2">
        <v>13457</v>
      </c>
      <c r="F4395">
        <v>64</v>
      </c>
      <c r="G4395" s="2">
        <v>112805596</v>
      </c>
      <c r="H4395" s="2">
        <v>2145090</v>
      </c>
      <c r="I4395" s="2">
        <v>369994690</v>
      </c>
      <c r="J4395">
        <v>3</v>
      </c>
      <c r="L4395">
        <v>0</v>
      </c>
      <c r="M4395" t="str">
        <f t="shared" si="68"/>
        <v>After 2020</v>
      </c>
    </row>
    <row r="4396" spans="1:13" hidden="1">
      <c r="A4396" t="s">
        <v>1349</v>
      </c>
      <c r="B4396" t="s">
        <v>1350</v>
      </c>
      <c r="C4396" s="1">
        <v>45177</v>
      </c>
      <c r="D4396" s="2">
        <v>367151355</v>
      </c>
      <c r="E4396" s="2">
        <v>16239</v>
      </c>
      <c r="F4396">
        <v>82</v>
      </c>
      <c r="L4396">
        <v>0</v>
      </c>
      <c r="M4396" t="str">
        <f t="shared" si="68"/>
        <v>After 2020</v>
      </c>
    </row>
    <row r="4397" spans="1:13" hidden="1">
      <c r="A4397" t="s">
        <v>6107</v>
      </c>
      <c r="B4397" t="s">
        <v>53</v>
      </c>
      <c r="C4397" s="1">
        <v>45373</v>
      </c>
      <c r="D4397" s="2">
        <v>28767834</v>
      </c>
      <c r="E4397" s="2">
        <v>6271</v>
      </c>
      <c r="G4397" s="2">
        <v>5101175</v>
      </c>
      <c r="H4397" s="2">
        <v>61395</v>
      </c>
      <c r="J4397">
        <v>3</v>
      </c>
      <c r="L4397">
        <v>1</v>
      </c>
      <c r="M4397" t="str">
        <f t="shared" si="68"/>
        <v>After 2020</v>
      </c>
    </row>
    <row r="4398" spans="1:13" hidden="1">
      <c r="A4398" t="s">
        <v>6108</v>
      </c>
      <c r="B4398" t="s">
        <v>1044</v>
      </c>
      <c r="C4398" s="1">
        <v>41275</v>
      </c>
      <c r="D4398" s="2">
        <v>119666188</v>
      </c>
      <c r="E4398" s="2">
        <v>25949</v>
      </c>
      <c r="F4398">
        <v>54</v>
      </c>
      <c r="G4398" s="2">
        <v>1772780483</v>
      </c>
      <c r="H4398" s="2">
        <v>9586155</v>
      </c>
      <c r="I4398" s="2">
        <v>33894220</v>
      </c>
      <c r="J4398">
        <v>13</v>
      </c>
      <c r="L4398">
        <v>0</v>
      </c>
      <c r="M4398" t="str">
        <f t="shared" si="68"/>
        <v>2010-2020</v>
      </c>
    </row>
    <row r="4399" spans="1:13" hidden="1">
      <c r="A4399" t="s">
        <v>6109</v>
      </c>
      <c r="B4399" t="s">
        <v>6110</v>
      </c>
      <c r="C4399" s="1">
        <v>43638</v>
      </c>
      <c r="D4399" s="2">
        <v>507842421</v>
      </c>
      <c r="E4399" s="2">
        <v>98352</v>
      </c>
      <c r="F4399">
        <v>63</v>
      </c>
      <c r="G4399" s="2">
        <v>75958373</v>
      </c>
      <c r="H4399" s="2">
        <v>1188192</v>
      </c>
      <c r="I4399" s="2">
        <v>1350079629</v>
      </c>
      <c r="J4399">
        <v>56</v>
      </c>
      <c r="L4399">
        <v>1</v>
      </c>
      <c r="M4399" t="str">
        <f t="shared" si="68"/>
        <v>2010-2020</v>
      </c>
    </row>
    <row r="4400" spans="1:13">
      <c r="A4400" t="s">
        <v>6111</v>
      </c>
      <c r="B4400" t="s">
        <v>6112</v>
      </c>
      <c r="C4400" s="1">
        <v>40896</v>
      </c>
      <c r="D4400" s="2">
        <v>836267192</v>
      </c>
      <c r="E4400" s="2">
        <v>170098</v>
      </c>
      <c r="F4400">
        <v>74</v>
      </c>
      <c r="G4400" s="2">
        <v>128528493</v>
      </c>
      <c r="H4400" s="2">
        <v>1373771</v>
      </c>
      <c r="I4400" s="2">
        <v>271659950</v>
      </c>
      <c r="J4400">
        <v>39</v>
      </c>
      <c r="K4400">
        <v>655</v>
      </c>
      <c r="L4400">
        <v>1</v>
      </c>
      <c r="M4400" t="str">
        <f t="shared" si="68"/>
        <v>2010-2020</v>
      </c>
    </row>
    <row r="4401" spans="1:13" hidden="1">
      <c r="A4401" t="s">
        <v>6113</v>
      </c>
      <c r="B4401" t="s">
        <v>68</v>
      </c>
      <c r="C4401" s="1">
        <v>45383</v>
      </c>
      <c r="D4401" s="2">
        <v>20814043</v>
      </c>
      <c r="E4401" s="2">
        <v>1756</v>
      </c>
      <c r="I4401" s="2">
        <v>1470700</v>
      </c>
      <c r="J4401">
        <v>15</v>
      </c>
      <c r="K4401">
        <v>75</v>
      </c>
      <c r="L4401">
        <v>1</v>
      </c>
      <c r="M4401" t="str">
        <f t="shared" si="68"/>
        <v>After 2020</v>
      </c>
    </row>
    <row r="4402" spans="1:13">
      <c r="A4402" t="s">
        <v>6114</v>
      </c>
      <c r="B4402" t="s">
        <v>6115</v>
      </c>
      <c r="C4402" s="1">
        <v>43721</v>
      </c>
      <c r="D4402" s="2">
        <v>352268839</v>
      </c>
      <c r="E4402" s="2">
        <v>130479</v>
      </c>
      <c r="F4402">
        <v>66</v>
      </c>
      <c r="G4402" s="2">
        <v>37251936</v>
      </c>
      <c r="H4402" s="2">
        <v>317013</v>
      </c>
      <c r="I4402" s="2">
        <v>135688880</v>
      </c>
      <c r="J4402">
        <v>67</v>
      </c>
      <c r="K4402">
        <v>105</v>
      </c>
      <c r="L4402">
        <v>0</v>
      </c>
      <c r="M4402" t="str">
        <f t="shared" si="68"/>
        <v>2010-2020</v>
      </c>
    </row>
    <row r="4403" spans="1:13">
      <c r="A4403" t="s">
        <v>6116</v>
      </c>
      <c r="B4403" t="s">
        <v>6117</v>
      </c>
      <c r="C4403" s="1">
        <v>44995</v>
      </c>
      <c r="D4403" s="2">
        <v>31705548</v>
      </c>
      <c r="E4403" s="2">
        <v>4773</v>
      </c>
      <c r="F4403">
        <v>50</v>
      </c>
      <c r="G4403" s="2">
        <v>11529302</v>
      </c>
      <c r="H4403" s="2">
        <v>87129</v>
      </c>
      <c r="I4403" s="2">
        <v>1709288</v>
      </c>
      <c r="J4403">
        <v>8</v>
      </c>
      <c r="K4403">
        <v>7</v>
      </c>
      <c r="L4403">
        <v>0</v>
      </c>
      <c r="M4403" t="str">
        <f t="shared" si="68"/>
        <v>After 2020</v>
      </c>
    </row>
    <row r="4404" spans="1:13" hidden="1">
      <c r="A4404" t="s">
        <v>2441</v>
      </c>
      <c r="B4404" t="s">
        <v>6118</v>
      </c>
      <c r="C4404" s="1">
        <v>44914</v>
      </c>
      <c r="D4404" s="2">
        <v>276193</v>
      </c>
      <c r="E4404">
        <v>226</v>
      </c>
      <c r="G4404" s="2">
        <v>253612567</v>
      </c>
      <c r="H4404" s="2">
        <v>560712</v>
      </c>
      <c r="L4404">
        <v>0</v>
      </c>
      <c r="M4404" t="str">
        <f t="shared" si="68"/>
        <v>After 2020</v>
      </c>
    </row>
    <row r="4405" spans="1:13" hidden="1">
      <c r="A4405" t="s">
        <v>6119</v>
      </c>
      <c r="B4405" t="s">
        <v>1113</v>
      </c>
      <c r="C4405" s="1">
        <v>45408</v>
      </c>
      <c r="D4405" s="2">
        <v>7615489</v>
      </c>
      <c r="E4405" s="2">
        <v>2372</v>
      </c>
      <c r="G4405" s="2">
        <v>1582983</v>
      </c>
      <c r="H4405" s="2">
        <v>60765</v>
      </c>
      <c r="J4405">
        <v>28</v>
      </c>
      <c r="L4405">
        <v>1</v>
      </c>
      <c r="M4405" t="str">
        <f t="shared" si="68"/>
        <v>After 2020</v>
      </c>
    </row>
    <row r="4406" spans="1:13" hidden="1">
      <c r="A4406" t="s">
        <v>6120</v>
      </c>
      <c r="B4406" t="s">
        <v>2377</v>
      </c>
      <c r="C4406" s="1">
        <v>43482</v>
      </c>
      <c r="D4406" s="2">
        <v>257646451</v>
      </c>
      <c r="E4406" s="2">
        <v>58760</v>
      </c>
      <c r="F4406">
        <v>17</v>
      </c>
      <c r="G4406" s="2">
        <v>394204600</v>
      </c>
      <c r="H4406" s="2">
        <v>5104881</v>
      </c>
      <c r="I4406" s="2">
        <v>854952373</v>
      </c>
      <c r="J4406">
        <v>13</v>
      </c>
      <c r="L4406">
        <v>1</v>
      </c>
      <c r="M4406" t="str">
        <f t="shared" si="68"/>
        <v>2010-2020</v>
      </c>
    </row>
    <row r="4407" spans="1:13">
      <c r="A4407" t="s">
        <v>6121</v>
      </c>
      <c r="B4407" t="s">
        <v>1676</v>
      </c>
      <c r="C4407" s="1">
        <v>44358</v>
      </c>
      <c r="D4407" s="2">
        <v>58539080</v>
      </c>
      <c r="E4407" s="2">
        <v>21823</v>
      </c>
      <c r="F4407">
        <v>49</v>
      </c>
      <c r="G4407" s="2">
        <v>93406018</v>
      </c>
      <c r="H4407" s="2">
        <v>908614</v>
      </c>
      <c r="I4407" s="2">
        <v>122233226</v>
      </c>
      <c r="J4407">
        <v>34</v>
      </c>
      <c r="K4407">
        <v>245</v>
      </c>
      <c r="L4407">
        <v>1</v>
      </c>
      <c r="M4407" t="str">
        <f t="shared" si="68"/>
        <v>After 2020</v>
      </c>
    </row>
    <row r="4408" spans="1:13" hidden="1">
      <c r="A4408" t="s">
        <v>6122</v>
      </c>
      <c r="B4408" t="s">
        <v>288</v>
      </c>
      <c r="C4408" s="1">
        <v>44540</v>
      </c>
      <c r="D4408" s="2">
        <v>233582276</v>
      </c>
      <c r="E4408" s="2">
        <v>70988</v>
      </c>
      <c r="F4408">
        <v>64</v>
      </c>
      <c r="G4408" s="2">
        <v>35114944</v>
      </c>
      <c r="H4408" s="2">
        <v>551931</v>
      </c>
      <c r="I4408" s="2">
        <v>13572005</v>
      </c>
      <c r="J4408">
        <v>9</v>
      </c>
      <c r="L4408">
        <v>1</v>
      </c>
      <c r="M4408" t="str">
        <f t="shared" si="68"/>
        <v>After 2020</v>
      </c>
    </row>
    <row r="4409" spans="1:13" hidden="1">
      <c r="A4409" t="s">
        <v>6123</v>
      </c>
      <c r="B4409" t="s">
        <v>6124</v>
      </c>
      <c r="C4409" s="1">
        <v>45036</v>
      </c>
      <c r="D4409" s="2">
        <v>140228805</v>
      </c>
      <c r="E4409" s="2">
        <v>21115</v>
      </c>
      <c r="F4409">
        <v>70</v>
      </c>
      <c r="G4409" s="2">
        <v>48488768</v>
      </c>
      <c r="H4409" s="2">
        <v>452737</v>
      </c>
      <c r="I4409" s="2">
        <v>260750327</v>
      </c>
      <c r="J4409">
        <v>8</v>
      </c>
      <c r="L4409">
        <v>0</v>
      </c>
      <c r="M4409" t="str">
        <f t="shared" si="68"/>
        <v>After 2020</v>
      </c>
    </row>
    <row r="4410" spans="1:13" hidden="1">
      <c r="A4410" t="s">
        <v>6125</v>
      </c>
      <c r="B4410" t="s">
        <v>5838</v>
      </c>
      <c r="C4410" s="1">
        <v>44720</v>
      </c>
      <c r="D4410" s="2">
        <v>90838757</v>
      </c>
      <c r="E4410" s="2">
        <v>22248</v>
      </c>
      <c r="F4410">
        <v>53</v>
      </c>
      <c r="G4410" s="2">
        <v>203958899</v>
      </c>
      <c r="H4410" s="2">
        <v>721936</v>
      </c>
      <c r="I4410" s="2">
        <v>19777868</v>
      </c>
      <c r="J4410">
        <v>9</v>
      </c>
      <c r="L4410">
        <v>0</v>
      </c>
      <c r="M4410" t="str">
        <f t="shared" si="68"/>
        <v>After 2020</v>
      </c>
    </row>
    <row r="4411" spans="1:13" hidden="1">
      <c r="A4411" t="s">
        <v>6126</v>
      </c>
      <c r="B4411" t="s">
        <v>2350</v>
      </c>
      <c r="C4411" s="1">
        <v>44384</v>
      </c>
      <c r="D4411" s="2">
        <v>164125901</v>
      </c>
      <c r="E4411" s="2">
        <v>48700</v>
      </c>
      <c r="F4411">
        <v>57</v>
      </c>
      <c r="G4411" s="2">
        <v>145427971</v>
      </c>
      <c r="H4411" s="2">
        <v>2917166</v>
      </c>
      <c r="I4411" s="2">
        <v>1747148081</v>
      </c>
      <c r="J4411">
        <v>25</v>
      </c>
      <c r="L4411">
        <v>0</v>
      </c>
      <c r="M4411" t="str">
        <f t="shared" si="68"/>
        <v>After 2020</v>
      </c>
    </row>
    <row r="4412" spans="1:13" hidden="1">
      <c r="A4412" t="s">
        <v>6127</v>
      </c>
      <c r="B4412" t="s">
        <v>6128</v>
      </c>
      <c r="C4412" s="1">
        <v>45224</v>
      </c>
      <c r="D4412" s="2">
        <v>35549029</v>
      </c>
      <c r="E4412" s="2">
        <v>5590</v>
      </c>
      <c r="F4412">
        <v>56</v>
      </c>
      <c r="G4412" s="2">
        <v>57756889</v>
      </c>
      <c r="H4412" s="2">
        <v>205111</v>
      </c>
      <c r="I4412" s="2">
        <v>119204623</v>
      </c>
      <c r="J4412">
        <v>10</v>
      </c>
      <c r="L4412">
        <v>0</v>
      </c>
      <c r="M4412" t="str">
        <f t="shared" si="68"/>
        <v>After 2020</v>
      </c>
    </row>
    <row r="4413" spans="1:13" hidden="1">
      <c r="A4413" t="s">
        <v>6129</v>
      </c>
      <c r="B4413" t="s">
        <v>6130</v>
      </c>
      <c r="C4413" s="1">
        <v>45393</v>
      </c>
      <c r="D4413" s="2">
        <v>24652626</v>
      </c>
      <c r="E4413" s="2">
        <v>3598</v>
      </c>
      <c r="F4413">
        <v>59</v>
      </c>
      <c r="G4413" s="2">
        <v>6100333</v>
      </c>
      <c r="H4413" s="2">
        <v>56016</v>
      </c>
      <c r="J4413">
        <v>7</v>
      </c>
      <c r="L4413">
        <v>1</v>
      </c>
      <c r="M4413" t="str">
        <f t="shared" si="68"/>
        <v>After 2020</v>
      </c>
    </row>
    <row r="4414" spans="1:13" hidden="1">
      <c r="A4414" t="s">
        <v>6131</v>
      </c>
      <c r="B4414" t="s">
        <v>19</v>
      </c>
      <c r="C4414" s="1">
        <v>42839</v>
      </c>
      <c r="D4414" s="2">
        <v>669703929</v>
      </c>
      <c r="E4414" s="2">
        <v>101138</v>
      </c>
      <c r="F4414">
        <v>73</v>
      </c>
      <c r="G4414" s="2">
        <v>234757944</v>
      </c>
      <c r="H4414" s="2">
        <v>2316992</v>
      </c>
      <c r="I4414" s="2">
        <v>73180</v>
      </c>
      <c r="J4414">
        <v>159</v>
      </c>
      <c r="L4414">
        <v>1</v>
      </c>
      <c r="M4414" t="str">
        <f t="shared" si="68"/>
        <v>2010-2020</v>
      </c>
    </row>
    <row r="4415" spans="1:13" hidden="1">
      <c r="A4415" t="s">
        <v>6132</v>
      </c>
      <c r="B4415" t="s">
        <v>805</v>
      </c>
      <c r="C4415" s="1">
        <v>45365</v>
      </c>
      <c r="D4415" s="2">
        <v>23798578</v>
      </c>
      <c r="E4415" s="2">
        <v>5758</v>
      </c>
      <c r="G4415" s="2">
        <v>4469788</v>
      </c>
      <c r="H4415" s="2">
        <v>97913</v>
      </c>
      <c r="J4415">
        <v>12</v>
      </c>
      <c r="K4415">
        <v>4</v>
      </c>
      <c r="L4415">
        <v>1</v>
      </c>
      <c r="M4415" t="str">
        <f t="shared" si="68"/>
        <v>After 2020</v>
      </c>
    </row>
    <row r="4416" spans="1:13">
      <c r="A4416" t="s">
        <v>6133</v>
      </c>
      <c r="B4416" t="s">
        <v>546</v>
      </c>
      <c r="C4416" s="1">
        <v>45098</v>
      </c>
      <c r="D4416" s="2">
        <v>68598656</v>
      </c>
      <c r="E4416" s="2">
        <v>27448</v>
      </c>
      <c r="F4416">
        <v>59</v>
      </c>
      <c r="G4416" s="2">
        <v>11390626</v>
      </c>
      <c r="H4416" s="2">
        <v>162262</v>
      </c>
      <c r="I4416" s="2">
        <v>190551</v>
      </c>
      <c r="J4416">
        <v>31</v>
      </c>
      <c r="K4416">
        <v>40</v>
      </c>
      <c r="L4416">
        <v>1</v>
      </c>
      <c r="M4416" t="str">
        <f t="shared" si="68"/>
        <v>After 2020</v>
      </c>
    </row>
    <row r="4417" spans="1:13" hidden="1">
      <c r="A4417" t="s">
        <v>6134</v>
      </c>
      <c r="B4417" t="s">
        <v>6135</v>
      </c>
      <c r="C4417" s="1">
        <v>45398</v>
      </c>
      <c r="D4417" s="2">
        <v>288153</v>
      </c>
      <c r="E4417">
        <v>18</v>
      </c>
      <c r="G4417" s="2">
        <v>26302423</v>
      </c>
      <c r="H4417" s="2">
        <v>331850</v>
      </c>
      <c r="L4417">
        <v>0</v>
      </c>
      <c r="M4417" t="str">
        <f t="shared" si="68"/>
        <v>After 2020</v>
      </c>
    </row>
    <row r="4418" spans="1:13" hidden="1">
      <c r="A4418" t="s">
        <v>6136</v>
      </c>
      <c r="B4418" t="s">
        <v>2797</v>
      </c>
      <c r="C4418" s="1">
        <v>44443</v>
      </c>
      <c r="D4418" s="2">
        <v>38264355</v>
      </c>
      <c r="E4418" s="2">
        <v>4017</v>
      </c>
      <c r="F4418">
        <v>53</v>
      </c>
      <c r="G4418" s="2">
        <v>451922405</v>
      </c>
      <c r="H4418" s="2">
        <v>6040482</v>
      </c>
      <c r="I4418" s="2">
        <v>4585</v>
      </c>
      <c r="L4418">
        <v>0</v>
      </c>
      <c r="M4418" t="str">
        <f t="shared" si="68"/>
        <v>After 2020</v>
      </c>
    </row>
    <row r="4419" spans="1:13">
      <c r="A4419" t="s">
        <v>6137</v>
      </c>
      <c r="B4419" t="s">
        <v>1330</v>
      </c>
      <c r="C4419" s="1">
        <v>44519</v>
      </c>
      <c r="D4419" s="2">
        <v>80899019</v>
      </c>
      <c r="E4419" s="2">
        <v>14613</v>
      </c>
      <c r="F4419">
        <v>53</v>
      </c>
      <c r="G4419" s="2">
        <v>68620784</v>
      </c>
      <c r="H4419" s="2">
        <v>468664</v>
      </c>
      <c r="I4419" s="2">
        <v>116447096</v>
      </c>
      <c r="J4419">
        <v>11</v>
      </c>
      <c r="K4419">
        <v>91</v>
      </c>
      <c r="L4419">
        <v>0</v>
      </c>
      <c r="M4419" t="str">
        <f t="shared" ref="M4419:M4482" si="69">IF(YEAR(C4419)&lt;2010,"Before 2010",IF(YEAR(C4419)&lt;=2020,"2010-2020","After 2020"))</f>
        <v>After 2020</v>
      </c>
    </row>
    <row r="4420" spans="1:13" hidden="1">
      <c r="A4420" t="s">
        <v>6138</v>
      </c>
      <c r="B4420" t="s">
        <v>6139</v>
      </c>
      <c r="C4420" s="1">
        <v>42855</v>
      </c>
      <c r="D4420" s="2">
        <v>82758005</v>
      </c>
      <c r="E4420" s="2">
        <v>13462</v>
      </c>
      <c r="F4420">
        <v>2</v>
      </c>
      <c r="G4420" s="2">
        <v>1074239950</v>
      </c>
      <c r="H4420" s="2">
        <v>6411485</v>
      </c>
      <c r="I4420" s="2">
        <v>63379747</v>
      </c>
      <c r="J4420">
        <v>6</v>
      </c>
      <c r="L4420">
        <v>0</v>
      </c>
      <c r="M4420" t="str">
        <f t="shared" si="69"/>
        <v>2010-2020</v>
      </c>
    </row>
    <row r="4421" spans="1:13" hidden="1">
      <c r="A4421" t="s">
        <v>6140</v>
      </c>
      <c r="B4421" t="s">
        <v>6141</v>
      </c>
      <c r="C4421" s="1">
        <v>44407</v>
      </c>
      <c r="D4421" s="2">
        <v>68273832</v>
      </c>
      <c r="E4421" s="2">
        <v>9866</v>
      </c>
      <c r="F4421">
        <v>45</v>
      </c>
      <c r="G4421" s="2">
        <v>96088323</v>
      </c>
      <c r="H4421" s="2">
        <v>1033691</v>
      </c>
      <c r="I4421" s="2">
        <v>1220672571</v>
      </c>
      <c r="J4421">
        <v>11</v>
      </c>
      <c r="L4421">
        <v>0</v>
      </c>
      <c r="M4421" t="str">
        <f t="shared" si="69"/>
        <v>After 2020</v>
      </c>
    </row>
    <row r="4422" spans="1:13">
      <c r="A4422" t="s">
        <v>6142</v>
      </c>
      <c r="B4422" t="s">
        <v>449</v>
      </c>
      <c r="C4422" s="1">
        <v>45044</v>
      </c>
      <c r="D4422" s="2">
        <v>70601620</v>
      </c>
      <c r="E4422" s="2">
        <v>32101</v>
      </c>
      <c r="F4422">
        <v>60</v>
      </c>
      <c r="G4422" s="2">
        <v>7241759</v>
      </c>
      <c r="H4422" s="2">
        <v>93111</v>
      </c>
      <c r="I4422" s="2">
        <v>21009932</v>
      </c>
      <c r="J4422">
        <v>10</v>
      </c>
      <c r="K4422">
        <v>51</v>
      </c>
      <c r="L4422">
        <v>1</v>
      </c>
      <c r="M4422" t="str">
        <f t="shared" si="69"/>
        <v>After 2020</v>
      </c>
    </row>
    <row r="4423" spans="1:13">
      <c r="A4423" t="s">
        <v>6143</v>
      </c>
      <c r="B4423" t="s">
        <v>258</v>
      </c>
      <c r="C4423" s="1">
        <v>41712</v>
      </c>
      <c r="D4423" s="2">
        <v>125560682</v>
      </c>
      <c r="E4423" s="2">
        <v>17633</v>
      </c>
      <c r="F4423">
        <v>55</v>
      </c>
      <c r="G4423" s="2">
        <v>1315361520</v>
      </c>
      <c r="H4423" s="2">
        <v>7019819</v>
      </c>
      <c r="I4423" s="2">
        <v>1601097526</v>
      </c>
      <c r="J4423">
        <v>11</v>
      </c>
      <c r="K4423">
        <v>102</v>
      </c>
      <c r="L4423">
        <v>0</v>
      </c>
      <c r="M4423" t="str">
        <f t="shared" si="69"/>
        <v>2010-2020</v>
      </c>
    </row>
    <row r="4424" spans="1:13">
      <c r="A4424" t="s">
        <v>6144</v>
      </c>
      <c r="B4424" t="s">
        <v>1445</v>
      </c>
      <c r="C4424" s="1">
        <v>44862</v>
      </c>
      <c r="D4424" s="2">
        <v>223341848</v>
      </c>
      <c r="E4424" s="2">
        <v>34131</v>
      </c>
      <c r="F4424">
        <v>67</v>
      </c>
      <c r="G4424" s="2">
        <v>12260201</v>
      </c>
      <c r="H4424" s="2">
        <v>167404</v>
      </c>
      <c r="I4424" s="2">
        <v>589269507</v>
      </c>
      <c r="J4424">
        <v>3</v>
      </c>
      <c r="K4424">
        <v>397</v>
      </c>
      <c r="L4424">
        <v>0</v>
      </c>
      <c r="M4424" t="str">
        <f t="shared" si="69"/>
        <v>After 2020</v>
      </c>
    </row>
    <row r="4425" spans="1:13" hidden="1">
      <c r="A4425" t="s">
        <v>6145</v>
      </c>
      <c r="B4425" t="s">
        <v>1565</v>
      </c>
      <c r="C4425" s="1">
        <v>45236</v>
      </c>
      <c r="D4425" s="2">
        <v>25820250</v>
      </c>
      <c r="E4425" s="2">
        <v>1732</v>
      </c>
      <c r="G4425" s="2">
        <v>88129485</v>
      </c>
      <c r="H4425" s="2">
        <v>562556</v>
      </c>
      <c r="I4425">
        <v>490</v>
      </c>
      <c r="L4425">
        <v>0</v>
      </c>
      <c r="M4425" t="str">
        <f t="shared" si="69"/>
        <v>After 2020</v>
      </c>
    </row>
    <row r="4426" spans="1:13">
      <c r="A4426" t="s">
        <v>6146</v>
      </c>
      <c r="B4426" t="s">
        <v>311</v>
      </c>
      <c r="C4426" s="1">
        <v>44428</v>
      </c>
      <c r="D4426" s="2">
        <v>392730501</v>
      </c>
      <c r="E4426" s="2">
        <v>43113</v>
      </c>
      <c r="F4426">
        <v>65</v>
      </c>
      <c r="G4426" s="2">
        <v>56656911</v>
      </c>
      <c r="H4426" s="2">
        <v>851302</v>
      </c>
      <c r="I4426" s="2">
        <v>284633385</v>
      </c>
      <c r="J4426">
        <v>52</v>
      </c>
      <c r="K4426">
        <v>39</v>
      </c>
      <c r="L4426">
        <v>0</v>
      </c>
      <c r="M4426" t="str">
        <f t="shared" si="69"/>
        <v>After 2020</v>
      </c>
    </row>
    <row r="4427" spans="1:13" hidden="1">
      <c r="A4427" t="s">
        <v>6147</v>
      </c>
      <c r="B4427" t="s">
        <v>682</v>
      </c>
      <c r="C4427" s="1">
        <v>45222</v>
      </c>
      <c r="D4427" s="2">
        <v>64530857</v>
      </c>
      <c r="E4427" s="2">
        <v>5436</v>
      </c>
      <c r="G4427" s="2">
        <v>68842793</v>
      </c>
      <c r="H4427" s="2">
        <v>1133609</v>
      </c>
      <c r="I4427" s="2">
        <v>148059935</v>
      </c>
      <c r="J4427">
        <v>9</v>
      </c>
      <c r="K4427">
        <v>7</v>
      </c>
      <c r="L4427">
        <v>0</v>
      </c>
      <c r="M4427" t="str">
        <f t="shared" si="69"/>
        <v>After 2020</v>
      </c>
    </row>
    <row r="4428" spans="1:13" hidden="1">
      <c r="A4428" t="s">
        <v>6148</v>
      </c>
      <c r="B4428" t="s">
        <v>6149</v>
      </c>
      <c r="C4428" s="1">
        <v>45329</v>
      </c>
      <c r="D4428" s="2">
        <v>27480893</v>
      </c>
      <c r="E4428" s="2">
        <v>5435</v>
      </c>
      <c r="G4428" s="2">
        <v>20386329</v>
      </c>
      <c r="H4428" s="2">
        <v>486342</v>
      </c>
      <c r="I4428" s="2">
        <v>116241200</v>
      </c>
      <c r="J4428">
        <v>1</v>
      </c>
      <c r="L4428">
        <v>0</v>
      </c>
      <c r="M4428" t="str">
        <f t="shared" si="69"/>
        <v>After 2020</v>
      </c>
    </row>
    <row r="4429" spans="1:13">
      <c r="A4429" t="s">
        <v>6150</v>
      </c>
      <c r="B4429" t="s">
        <v>805</v>
      </c>
      <c r="C4429" s="1">
        <v>44980</v>
      </c>
      <c r="D4429" s="2">
        <v>96288883</v>
      </c>
      <c r="E4429" s="2">
        <v>37394</v>
      </c>
      <c r="F4429">
        <v>63</v>
      </c>
      <c r="G4429" s="2">
        <v>8545326</v>
      </c>
      <c r="H4429" s="2">
        <v>113402</v>
      </c>
      <c r="I4429" s="2">
        <v>2917500</v>
      </c>
      <c r="J4429">
        <v>10</v>
      </c>
      <c r="K4429">
        <v>4</v>
      </c>
      <c r="L4429">
        <v>1</v>
      </c>
      <c r="M4429" t="str">
        <f t="shared" si="69"/>
        <v>After 2020</v>
      </c>
    </row>
    <row r="4430" spans="1:13">
      <c r="A4430" t="s">
        <v>6151</v>
      </c>
      <c r="B4430" t="s">
        <v>6152</v>
      </c>
      <c r="C4430" s="1">
        <v>44713</v>
      </c>
      <c r="D4430" s="2">
        <v>33278200</v>
      </c>
      <c r="E4430" s="2">
        <v>10186</v>
      </c>
      <c r="F4430">
        <v>50</v>
      </c>
      <c r="G4430" s="2">
        <v>4962879</v>
      </c>
      <c r="H4430" s="2">
        <v>74982</v>
      </c>
      <c r="I4430" s="2">
        <v>2885085148</v>
      </c>
      <c r="J4430">
        <v>3</v>
      </c>
      <c r="K4430">
        <v>534</v>
      </c>
      <c r="L4430">
        <v>0</v>
      </c>
      <c r="M4430" t="str">
        <f t="shared" si="69"/>
        <v>After 2020</v>
      </c>
    </row>
    <row r="4431" spans="1:13">
      <c r="A4431" t="s">
        <v>6153</v>
      </c>
      <c r="B4431" t="s">
        <v>6154</v>
      </c>
      <c r="C4431" s="1">
        <v>42342</v>
      </c>
      <c r="D4431" s="2">
        <v>563467499</v>
      </c>
      <c r="E4431" s="2">
        <v>38743</v>
      </c>
      <c r="F4431">
        <v>72</v>
      </c>
      <c r="G4431" s="2">
        <v>1000321872</v>
      </c>
      <c r="H4431" s="2">
        <v>4630509</v>
      </c>
      <c r="I4431" s="2">
        <v>490277819</v>
      </c>
      <c r="J4431">
        <v>22</v>
      </c>
      <c r="K4431">
        <v>8</v>
      </c>
      <c r="L4431">
        <v>0</v>
      </c>
      <c r="M4431" t="str">
        <f t="shared" si="69"/>
        <v>2010-2020</v>
      </c>
    </row>
    <row r="4432" spans="1:13" hidden="1">
      <c r="A4432" t="s">
        <v>6155</v>
      </c>
      <c r="B4432" t="s">
        <v>6156</v>
      </c>
      <c r="C4432" s="1">
        <v>45188</v>
      </c>
      <c r="D4432" s="2">
        <v>100530093</v>
      </c>
      <c r="E4432" s="2">
        <v>14992</v>
      </c>
      <c r="G4432" s="2">
        <v>40396492</v>
      </c>
      <c r="H4432" s="2">
        <v>385259</v>
      </c>
      <c r="I4432" s="2">
        <v>300988</v>
      </c>
      <c r="L4432">
        <v>1</v>
      </c>
      <c r="M4432" t="str">
        <f t="shared" si="69"/>
        <v>After 2020</v>
      </c>
    </row>
    <row r="4433" spans="1:13" hidden="1">
      <c r="A4433" t="s">
        <v>6157</v>
      </c>
      <c r="B4433" t="s">
        <v>6158</v>
      </c>
      <c r="C4433" s="1">
        <v>45427</v>
      </c>
      <c r="D4433" s="2">
        <v>47151307</v>
      </c>
      <c r="L4433">
        <v>1</v>
      </c>
      <c r="M4433" t="str">
        <f t="shared" si="69"/>
        <v>After 2020</v>
      </c>
    </row>
    <row r="4434" spans="1:13" hidden="1">
      <c r="A4434" t="s">
        <v>6159</v>
      </c>
      <c r="B4434" t="s">
        <v>3547</v>
      </c>
      <c r="C4434" s="1">
        <v>43076</v>
      </c>
      <c r="D4434" s="2">
        <v>500565437</v>
      </c>
      <c r="E4434" s="2">
        <v>74725</v>
      </c>
      <c r="F4434">
        <v>70</v>
      </c>
      <c r="G4434" s="2">
        <v>644380652</v>
      </c>
      <c r="H4434" s="2">
        <v>4455611</v>
      </c>
      <c r="I4434" s="2">
        <v>217482856</v>
      </c>
      <c r="J4434">
        <v>3</v>
      </c>
      <c r="L4434">
        <v>0</v>
      </c>
      <c r="M4434" t="str">
        <f t="shared" si="69"/>
        <v>2010-2020</v>
      </c>
    </row>
    <row r="4435" spans="1:13" hidden="1">
      <c r="A4435" t="s">
        <v>6160</v>
      </c>
      <c r="B4435" t="s">
        <v>5230</v>
      </c>
      <c r="C4435" s="1">
        <v>44938</v>
      </c>
      <c r="D4435" s="2">
        <v>126063862</v>
      </c>
      <c r="E4435" s="2">
        <v>10150</v>
      </c>
      <c r="F4435">
        <v>58</v>
      </c>
      <c r="G4435" s="2">
        <v>129157973</v>
      </c>
      <c r="H4435" s="2">
        <v>401990</v>
      </c>
      <c r="I4435" s="2">
        <v>650000898</v>
      </c>
      <c r="J4435">
        <v>4</v>
      </c>
      <c r="L4435">
        <v>1</v>
      </c>
      <c r="M4435" t="str">
        <f t="shared" si="69"/>
        <v>After 2020</v>
      </c>
    </row>
    <row r="4436" spans="1:13" hidden="1">
      <c r="A4436" t="s">
        <v>6161</v>
      </c>
      <c r="B4436" t="s">
        <v>1641</v>
      </c>
      <c r="C4436" s="1">
        <v>44868</v>
      </c>
      <c r="D4436" s="2">
        <v>216298810</v>
      </c>
      <c r="E4436" s="2">
        <v>39605</v>
      </c>
      <c r="F4436">
        <v>72</v>
      </c>
      <c r="G4436" s="2">
        <v>38256899</v>
      </c>
      <c r="H4436" s="2">
        <v>252379</v>
      </c>
      <c r="I4436" s="2">
        <v>46029571</v>
      </c>
      <c r="J4436">
        <v>15</v>
      </c>
      <c r="L4436">
        <v>1</v>
      </c>
      <c r="M4436" t="str">
        <f t="shared" si="69"/>
        <v>After 2020</v>
      </c>
    </row>
    <row r="4437" spans="1:13" hidden="1">
      <c r="A4437" t="s">
        <v>6162</v>
      </c>
      <c r="B4437" t="s">
        <v>6163</v>
      </c>
      <c r="C4437" s="1">
        <v>44764</v>
      </c>
      <c r="D4437" s="2">
        <v>108439</v>
      </c>
      <c r="E4437">
        <v>50</v>
      </c>
      <c r="F4437">
        <v>17</v>
      </c>
      <c r="G4437" s="2">
        <v>311333094</v>
      </c>
      <c r="H4437" s="2">
        <v>770466</v>
      </c>
      <c r="L4437">
        <v>0</v>
      </c>
      <c r="M4437" t="str">
        <f t="shared" si="69"/>
        <v>After 2020</v>
      </c>
    </row>
    <row r="4438" spans="1:13" hidden="1">
      <c r="A4438" t="s">
        <v>6164</v>
      </c>
      <c r="B4438" t="s">
        <v>6165</v>
      </c>
      <c r="C4438" s="1">
        <v>45128</v>
      </c>
      <c r="D4438" s="2">
        <v>73821370</v>
      </c>
      <c r="E4438" s="2">
        <v>23298</v>
      </c>
      <c r="F4438">
        <v>71</v>
      </c>
      <c r="G4438" s="2">
        <v>12303071</v>
      </c>
      <c r="H4438" s="2">
        <v>190206</v>
      </c>
      <c r="I4438" s="2">
        <v>2237426</v>
      </c>
      <c r="J4438">
        <v>8</v>
      </c>
      <c r="L4438">
        <v>0</v>
      </c>
      <c r="M4438" t="str">
        <f t="shared" si="69"/>
        <v>After 2020</v>
      </c>
    </row>
    <row r="4439" spans="1:13" hidden="1">
      <c r="A4439" t="s">
        <v>6166</v>
      </c>
      <c r="B4439" t="s">
        <v>6167</v>
      </c>
      <c r="C4439" s="1">
        <v>43434</v>
      </c>
      <c r="D4439" s="2">
        <v>41808541</v>
      </c>
      <c r="E4439" s="2">
        <v>7802</v>
      </c>
      <c r="F4439">
        <v>46</v>
      </c>
      <c r="G4439" s="2">
        <v>491827513</v>
      </c>
      <c r="H4439" s="2">
        <v>3638561</v>
      </c>
      <c r="I4439" s="2">
        <v>39966761</v>
      </c>
      <c r="J4439">
        <v>4</v>
      </c>
      <c r="L4439">
        <v>0</v>
      </c>
      <c r="M4439" t="str">
        <f t="shared" si="69"/>
        <v>2010-2020</v>
      </c>
    </row>
    <row r="4440" spans="1:13" hidden="1">
      <c r="A4440" t="s">
        <v>6168</v>
      </c>
      <c r="B4440" t="s">
        <v>6169</v>
      </c>
      <c r="C4440" s="1">
        <v>45093</v>
      </c>
      <c r="D4440" s="2">
        <v>13608243</v>
      </c>
      <c r="E4440">
        <v>23</v>
      </c>
      <c r="L4440">
        <v>0</v>
      </c>
      <c r="M4440" t="str">
        <f t="shared" si="69"/>
        <v>After 2020</v>
      </c>
    </row>
    <row r="4441" spans="1:13">
      <c r="A4441" t="s">
        <v>6170</v>
      </c>
      <c r="B4441" t="s">
        <v>4067</v>
      </c>
      <c r="C4441" s="1">
        <v>45299</v>
      </c>
      <c r="D4441" s="2">
        <v>41904754</v>
      </c>
      <c r="E4441" s="2">
        <v>3228</v>
      </c>
      <c r="F4441">
        <v>11</v>
      </c>
      <c r="G4441" s="2">
        <v>48108686</v>
      </c>
      <c r="H4441" s="2">
        <v>927978</v>
      </c>
      <c r="I4441" s="2">
        <v>17167500</v>
      </c>
      <c r="J4441">
        <v>11</v>
      </c>
      <c r="K4441">
        <v>5</v>
      </c>
      <c r="L4441">
        <v>0</v>
      </c>
      <c r="M4441" t="str">
        <f t="shared" si="69"/>
        <v>After 2020</v>
      </c>
    </row>
    <row r="4442" spans="1:13" hidden="1">
      <c r="A4442" t="s">
        <v>6171</v>
      </c>
      <c r="B4442" t="s">
        <v>6172</v>
      </c>
      <c r="C4442" s="1">
        <v>44853</v>
      </c>
      <c r="D4442" s="2">
        <v>2347433</v>
      </c>
      <c r="E4442">
        <v>588</v>
      </c>
      <c r="F4442">
        <v>25</v>
      </c>
      <c r="I4442" s="2">
        <v>1652854603</v>
      </c>
      <c r="L4442">
        <v>0</v>
      </c>
      <c r="M4442" t="str">
        <f t="shared" si="69"/>
        <v>After 2020</v>
      </c>
    </row>
    <row r="4443" spans="1:13">
      <c r="A4443" t="s">
        <v>6173</v>
      </c>
      <c r="B4443" t="s">
        <v>236</v>
      </c>
      <c r="C4443" s="1">
        <v>43315</v>
      </c>
      <c r="D4443" s="2">
        <v>646744185</v>
      </c>
      <c r="E4443" s="2">
        <v>131213</v>
      </c>
      <c r="F4443">
        <v>68</v>
      </c>
      <c r="G4443" s="2">
        <v>161578216</v>
      </c>
      <c r="H4443" s="2">
        <v>1576117</v>
      </c>
      <c r="I4443" s="2">
        <v>25055075</v>
      </c>
      <c r="J4443">
        <v>44</v>
      </c>
      <c r="K4443">
        <v>47</v>
      </c>
      <c r="L4443">
        <v>1</v>
      </c>
      <c r="M4443" t="str">
        <f t="shared" si="69"/>
        <v>2010-2020</v>
      </c>
    </row>
    <row r="4444" spans="1:13" hidden="1">
      <c r="A4444" t="s">
        <v>6174</v>
      </c>
      <c r="B4444" t="s">
        <v>4665</v>
      </c>
      <c r="C4444" s="1">
        <v>44112</v>
      </c>
      <c r="D4444" s="2">
        <v>417168757</v>
      </c>
      <c r="E4444" s="2">
        <v>75509</v>
      </c>
      <c r="F4444">
        <v>68</v>
      </c>
      <c r="G4444" s="2">
        <v>135732676</v>
      </c>
      <c r="H4444" s="2">
        <v>1275450</v>
      </c>
      <c r="I4444" s="2">
        <v>2112625816</v>
      </c>
      <c r="J4444">
        <v>50</v>
      </c>
      <c r="L4444">
        <v>0</v>
      </c>
      <c r="M4444" t="str">
        <f t="shared" si="69"/>
        <v>2010-2020</v>
      </c>
    </row>
    <row r="4445" spans="1:13">
      <c r="A4445" t="s">
        <v>6175</v>
      </c>
      <c r="B4445" t="s">
        <v>2004</v>
      </c>
      <c r="C4445" s="1">
        <v>42748</v>
      </c>
      <c r="D4445" s="2">
        <v>476546062</v>
      </c>
      <c r="E4445" s="2">
        <v>81971</v>
      </c>
      <c r="F4445">
        <v>59</v>
      </c>
      <c r="G4445" s="2">
        <v>411585032</v>
      </c>
      <c r="H4445" s="2">
        <v>2754105</v>
      </c>
      <c r="I4445" s="2">
        <v>81330455</v>
      </c>
      <c r="J4445">
        <v>130</v>
      </c>
      <c r="K4445">
        <v>15</v>
      </c>
      <c r="L4445">
        <v>1</v>
      </c>
      <c r="M4445" t="str">
        <f t="shared" si="69"/>
        <v>2010-2020</v>
      </c>
    </row>
    <row r="4446" spans="1:13" hidden="1">
      <c r="A4446" t="s">
        <v>6176</v>
      </c>
      <c r="B4446" t="s">
        <v>391</v>
      </c>
      <c r="C4446" s="1">
        <v>44106</v>
      </c>
      <c r="D4446" s="2">
        <v>435823355</v>
      </c>
      <c r="E4446" s="2">
        <v>34658</v>
      </c>
      <c r="F4446">
        <v>64</v>
      </c>
      <c r="G4446" s="2">
        <v>284536285</v>
      </c>
      <c r="H4446" s="2">
        <v>3411827</v>
      </c>
      <c r="I4446" s="2">
        <v>1021702238</v>
      </c>
      <c r="J4446">
        <v>27</v>
      </c>
      <c r="L4446">
        <v>0</v>
      </c>
      <c r="M4446" t="str">
        <f t="shared" si="69"/>
        <v>2010-2020</v>
      </c>
    </row>
    <row r="4447" spans="1:13" hidden="1">
      <c r="A4447" t="s">
        <v>6177</v>
      </c>
      <c r="B4447" t="s">
        <v>1905</v>
      </c>
      <c r="C4447" s="1">
        <v>44423</v>
      </c>
      <c r="D4447" s="2">
        <v>149351877</v>
      </c>
      <c r="E4447" s="2">
        <v>15576</v>
      </c>
      <c r="F4447">
        <v>61</v>
      </c>
      <c r="G4447" s="2">
        <v>365670176</v>
      </c>
      <c r="H4447" s="2">
        <v>5075644</v>
      </c>
      <c r="I4447" s="2">
        <v>60033835</v>
      </c>
      <c r="J4447">
        <v>10</v>
      </c>
      <c r="L4447">
        <v>0</v>
      </c>
      <c r="M4447" t="str">
        <f t="shared" si="69"/>
        <v>After 2020</v>
      </c>
    </row>
    <row r="4448" spans="1:13" hidden="1">
      <c r="A4448" t="s">
        <v>6178</v>
      </c>
      <c r="B4448" t="s">
        <v>631</v>
      </c>
      <c r="C4448" s="1">
        <v>40544</v>
      </c>
      <c r="D4448" s="2">
        <v>991382346</v>
      </c>
      <c r="E4448" s="2">
        <v>187432</v>
      </c>
      <c r="F4448">
        <v>79</v>
      </c>
      <c r="G4448" s="2">
        <v>7412771</v>
      </c>
      <c r="H4448" s="2">
        <v>63854</v>
      </c>
      <c r="I4448" s="2">
        <v>502553641</v>
      </c>
      <c r="J4448">
        <v>148</v>
      </c>
      <c r="L4448">
        <v>0</v>
      </c>
      <c r="M4448" t="str">
        <f t="shared" si="69"/>
        <v>2010-2020</v>
      </c>
    </row>
    <row r="4449" spans="1:13">
      <c r="A4449" t="s">
        <v>6179</v>
      </c>
      <c r="B4449" t="s">
        <v>1262</v>
      </c>
      <c r="C4449" s="1">
        <v>43749</v>
      </c>
      <c r="D4449" s="2">
        <v>184488165</v>
      </c>
      <c r="E4449" s="2">
        <v>22640</v>
      </c>
      <c r="F4449">
        <v>59</v>
      </c>
      <c r="G4449" s="2">
        <v>220205995</v>
      </c>
      <c r="H4449" s="2">
        <v>1704011</v>
      </c>
      <c r="I4449" s="2">
        <v>22309447</v>
      </c>
      <c r="J4449">
        <v>8</v>
      </c>
      <c r="K4449">
        <v>48</v>
      </c>
      <c r="L4449">
        <v>0</v>
      </c>
      <c r="M4449" t="str">
        <f t="shared" si="69"/>
        <v>2010-2020</v>
      </c>
    </row>
    <row r="4450" spans="1:13">
      <c r="A4450" t="s">
        <v>6180</v>
      </c>
      <c r="B4450" t="s">
        <v>6181</v>
      </c>
      <c r="C4450" s="1">
        <v>41411</v>
      </c>
      <c r="D4450" s="2">
        <v>587054803</v>
      </c>
      <c r="E4450" s="2">
        <v>130991</v>
      </c>
      <c r="F4450">
        <v>70</v>
      </c>
      <c r="G4450" s="2">
        <v>830977726</v>
      </c>
      <c r="H4450" s="2">
        <v>4575683</v>
      </c>
      <c r="I4450" s="2">
        <v>82939552</v>
      </c>
      <c r="J4450">
        <v>74</v>
      </c>
      <c r="K4450">
        <v>1</v>
      </c>
      <c r="L4450">
        <v>0</v>
      </c>
      <c r="M4450" t="str">
        <f t="shared" si="69"/>
        <v>2010-2020</v>
      </c>
    </row>
    <row r="4451" spans="1:13">
      <c r="A4451" t="s">
        <v>6182</v>
      </c>
      <c r="B4451" t="s">
        <v>6183</v>
      </c>
      <c r="C4451" s="1">
        <v>42713</v>
      </c>
      <c r="D4451" s="2">
        <v>597591280</v>
      </c>
      <c r="E4451" s="2">
        <v>136878</v>
      </c>
      <c r="F4451">
        <v>74</v>
      </c>
      <c r="G4451" s="2">
        <v>105282082</v>
      </c>
      <c r="H4451" s="2">
        <v>1803716</v>
      </c>
      <c r="I4451" s="2">
        <v>1487039791</v>
      </c>
      <c r="J4451">
        <v>15</v>
      </c>
      <c r="K4451">
        <v>10</v>
      </c>
      <c r="L4451">
        <v>0</v>
      </c>
      <c r="M4451" t="str">
        <f t="shared" si="69"/>
        <v>2010-2020</v>
      </c>
    </row>
    <row r="4452" spans="1:13" hidden="1">
      <c r="A4452" t="s">
        <v>6184</v>
      </c>
      <c r="B4452" t="s">
        <v>892</v>
      </c>
      <c r="C4452" s="1">
        <v>43223</v>
      </c>
      <c r="D4452" s="2">
        <v>563680273</v>
      </c>
      <c r="E4452" s="2">
        <v>82163</v>
      </c>
      <c r="F4452">
        <v>71</v>
      </c>
      <c r="G4452" s="2">
        <v>403337582</v>
      </c>
      <c r="H4452" s="2">
        <v>4716385</v>
      </c>
      <c r="I4452" s="2">
        <v>522523747</v>
      </c>
      <c r="L4452">
        <v>0</v>
      </c>
      <c r="M4452" t="str">
        <f t="shared" si="69"/>
        <v>2010-2020</v>
      </c>
    </row>
    <row r="4453" spans="1:13" hidden="1">
      <c r="A4453" t="s">
        <v>2494</v>
      </c>
      <c r="B4453" t="s">
        <v>1271</v>
      </c>
      <c r="C4453" s="1">
        <v>44127</v>
      </c>
      <c r="D4453" s="2">
        <v>189058129</v>
      </c>
      <c r="E4453" s="2">
        <v>36943</v>
      </c>
      <c r="F4453">
        <v>62</v>
      </c>
      <c r="G4453" s="2">
        <v>390278119</v>
      </c>
      <c r="H4453" s="2">
        <v>3350958</v>
      </c>
      <c r="I4453" s="2">
        <v>7761272</v>
      </c>
      <c r="J4453">
        <v>31</v>
      </c>
      <c r="L4453">
        <v>0</v>
      </c>
      <c r="M4453" t="str">
        <f t="shared" si="69"/>
        <v>2010-2020</v>
      </c>
    </row>
    <row r="4454" spans="1:13" hidden="1">
      <c r="A4454" t="s">
        <v>6185</v>
      </c>
      <c r="B4454" t="s">
        <v>2981</v>
      </c>
      <c r="C4454" s="1">
        <v>45239</v>
      </c>
      <c r="D4454" s="2">
        <v>61390970</v>
      </c>
      <c r="E4454" s="2">
        <v>11876</v>
      </c>
      <c r="G4454" s="2">
        <v>28274389</v>
      </c>
      <c r="H4454" s="2">
        <v>310343</v>
      </c>
      <c r="I4454" s="2">
        <v>11575782</v>
      </c>
      <c r="J4454">
        <v>45</v>
      </c>
      <c r="K4454">
        <v>119</v>
      </c>
      <c r="L4454">
        <v>0</v>
      </c>
      <c r="M4454" t="str">
        <f t="shared" si="69"/>
        <v>After 2020</v>
      </c>
    </row>
    <row r="4455" spans="1:13" hidden="1">
      <c r="A4455" t="s">
        <v>6186</v>
      </c>
      <c r="B4455" t="s">
        <v>182</v>
      </c>
      <c r="C4455" s="1">
        <v>45303</v>
      </c>
      <c r="D4455" s="2">
        <v>38445811</v>
      </c>
      <c r="E4455" s="2">
        <v>12924</v>
      </c>
      <c r="G4455" s="2">
        <v>2609366</v>
      </c>
      <c r="H4455" s="2">
        <v>32715</v>
      </c>
      <c r="J4455">
        <v>2</v>
      </c>
      <c r="L4455">
        <v>1</v>
      </c>
      <c r="M4455" t="str">
        <f t="shared" si="69"/>
        <v>After 2020</v>
      </c>
    </row>
    <row r="4456" spans="1:13" hidden="1">
      <c r="A4456" t="s">
        <v>6187</v>
      </c>
      <c r="B4456" t="s">
        <v>1654</v>
      </c>
      <c r="C4456" s="1">
        <v>43231</v>
      </c>
      <c r="D4456" s="2">
        <v>405331822</v>
      </c>
      <c r="E4456" s="2">
        <v>28057</v>
      </c>
      <c r="F4456">
        <v>65</v>
      </c>
      <c r="G4456" s="2">
        <v>773003656</v>
      </c>
      <c r="H4456" s="2">
        <v>2296316</v>
      </c>
      <c r="I4456" s="2">
        <v>10345597</v>
      </c>
      <c r="J4456">
        <v>9</v>
      </c>
      <c r="L4456">
        <v>0</v>
      </c>
      <c r="M4456" t="str">
        <f t="shared" si="69"/>
        <v>2010-2020</v>
      </c>
    </row>
    <row r="4457" spans="1:13">
      <c r="A4457" t="s">
        <v>6188</v>
      </c>
      <c r="B4457" t="s">
        <v>2402</v>
      </c>
      <c r="C4457" s="1">
        <v>40179</v>
      </c>
      <c r="D4457" s="2">
        <v>210904340</v>
      </c>
      <c r="E4457" s="2">
        <v>32972</v>
      </c>
      <c r="F4457">
        <v>66</v>
      </c>
      <c r="G4457" s="2">
        <v>1096124254</v>
      </c>
      <c r="H4457" s="2">
        <v>3571813</v>
      </c>
      <c r="I4457" s="2">
        <v>22688824</v>
      </c>
      <c r="J4457">
        <v>11</v>
      </c>
      <c r="K4457">
        <v>30</v>
      </c>
      <c r="L4457">
        <v>0</v>
      </c>
      <c r="M4457" t="str">
        <f t="shared" si="69"/>
        <v>2010-2020</v>
      </c>
    </row>
    <row r="4458" spans="1:13">
      <c r="A4458" t="s">
        <v>6189</v>
      </c>
      <c r="B4458" t="s">
        <v>576</v>
      </c>
      <c r="C4458" s="1">
        <v>43749</v>
      </c>
      <c r="D4458" s="2">
        <v>189969086</v>
      </c>
      <c r="E4458" s="2">
        <v>27387</v>
      </c>
      <c r="F4458">
        <v>54</v>
      </c>
      <c r="G4458" s="2">
        <v>474789534</v>
      </c>
      <c r="H4458" s="2">
        <v>3191466</v>
      </c>
      <c r="I4458" s="2">
        <v>252838869</v>
      </c>
      <c r="J4458">
        <v>42</v>
      </c>
      <c r="K4458">
        <v>108</v>
      </c>
      <c r="L4458">
        <v>0</v>
      </c>
      <c r="M4458" t="str">
        <f t="shared" si="69"/>
        <v>2010-2020</v>
      </c>
    </row>
    <row r="4459" spans="1:13">
      <c r="A4459" t="s">
        <v>6190</v>
      </c>
      <c r="B4459" t="s">
        <v>6191</v>
      </c>
      <c r="C4459" s="1">
        <v>44267</v>
      </c>
      <c r="D4459" s="2">
        <v>87813373</v>
      </c>
      <c r="E4459" s="2">
        <v>35497</v>
      </c>
      <c r="F4459">
        <v>51</v>
      </c>
      <c r="G4459" s="2">
        <v>22158547</v>
      </c>
      <c r="H4459" s="2">
        <v>645841</v>
      </c>
      <c r="I4459" s="2">
        <v>3050656195</v>
      </c>
      <c r="J4459">
        <v>15</v>
      </c>
      <c r="K4459">
        <v>147</v>
      </c>
      <c r="L4459">
        <v>1</v>
      </c>
      <c r="M4459" t="str">
        <f t="shared" si="69"/>
        <v>After 2020</v>
      </c>
    </row>
    <row r="4460" spans="1:13" hidden="1">
      <c r="A4460" t="s">
        <v>6192</v>
      </c>
      <c r="B4460" t="s">
        <v>1055</v>
      </c>
      <c r="C4460" s="1">
        <v>45295</v>
      </c>
      <c r="D4460" s="2">
        <v>36474848</v>
      </c>
      <c r="E4460" s="2">
        <v>4573</v>
      </c>
      <c r="G4460" s="2">
        <v>42037284</v>
      </c>
      <c r="H4460" s="2">
        <v>1045695</v>
      </c>
      <c r="J4460">
        <v>5</v>
      </c>
      <c r="L4460">
        <v>0</v>
      </c>
      <c r="M4460" t="str">
        <f t="shared" si="69"/>
        <v>After 2020</v>
      </c>
    </row>
    <row r="4461" spans="1:13" hidden="1">
      <c r="A4461" t="s">
        <v>6193</v>
      </c>
      <c r="B4461" t="s">
        <v>6194</v>
      </c>
      <c r="C4461" s="1">
        <v>41635</v>
      </c>
      <c r="D4461" s="2">
        <v>240712</v>
      </c>
      <c r="L4461">
        <v>0</v>
      </c>
      <c r="M4461" t="str">
        <f t="shared" si="69"/>
        <v>2010-2020</v>
      </c>
    </row>
    <row r="4462" spans="1:13" hidden="1">
      <c r="A4462" t="s">
        <v>6195</v>
      </c>
      <c r="B4462" t="s">
        <v>6196</v>
      </c>
      <c r="C4462" s="1">
        <v>44944</v>
      </c>
      <c r="E4462">
        <v>67</v>
      </c>
      <c r="G4462" s="2">
        <v>225116235</v>
      </c>
      <c r="H4462" s="2">
        <v>1646808</v>
      </c>
      <c r="L4462">
        <v>0</v>
      </c>
      <c r="M4462" t="str">
        <f t="shared" si="69"/>
        <v>After 2020</v>
      </c>
    </row>
    <row r="4463" spans="1:13" hidden="1">
      <c r="A4463" t="s">
        <v>6197</v>
      </c>
      <c r="B4463" t="s">
        <v>6198</v>
      </c>
      <c r="C4463" s="1">
        <v>43834</v>
      </c>
      <c r="D4463" s="2">
        <v>173193166</v>
      </c>
      <c r="E4463" s="2">
        <v>12129</v>
      </c>
      <c r="F4463">
        <v>60</v>
      </c>
      <c r="G4463" s="2">
        <v>643258603</v>
      </c>
      <c r="H4463" s="2">
        <v>3362426</v>
      </c>
      <c r="I4463" s="2">
        <v>57212956</v>
      </c>
      <c r="J4463">
        <v>13</v>
      </c>
      <c r="L4463">
        <v>0</v>
      </c>
      <c r="M4463" t="str">
        <f t="shared" si="69"/>
        <v>2010-2020</v>
      </c>
    </row>
    <row r="4464" spans="1:13" hidden="1">
      <c r="A4464" t="s">
        <v>2285</v>
      </c>
      <c r="B4464" t="s">
        <v>2285</v>
      </c>
      <c r="C4464" s="1">
        <v>45289</v>
      </c>
      <c r="D4464" s="2">
        <v>3225791</v>
      </c>
      <c r="E4464">
        <v>411</v>
      </c>
      <c r="G4464" s="2">
        <v>72510719</v>
      </c>
      <c r="H4464" s="2">
        <v>227398</v>
      </c>
      <c r="J4464">
        <v>1</v>
      </c>
      <c r="L4464">
        <v>0</v>
      </c>
      <c r="M4464" t="str">
        <f t="shared" si="69"/>
        <v>After 2020</v>
      </c>
    </row>
    <row r="4465" spans="1:13" hidden="1">
      <c r="A4465" t="s">
        <v>6199</v>
      </c>
      <c r="B4465" t="s">
        <v>6200</v>
      </c>
      <c r="C4465" s="1">
        <v>44617</v>
      </c>
      <c r="D4465" s="2">
        <v>148262734</v>
      </c>
      <c r="E4465" s="2">
        <v>25061</v>
      </c>
      <c r="F4465">
        <v>61</v>
      </c>
      <c r="G4465" s="2">
        <v>84276192</v>
      </c>
      <c r="H4465" s="2">
        <v>1121581</v>
      </c>
      <c r="I4465" s="2">
        <v>1877005845</v>
      </c>
      <c r="J4465">
        <v>45</v>
      </c>
      <c r="L4465">
        <v>0</v>
      </c>
      <c r="M4465" t="str">
        <f t="shared" si="69"/>
        <v>After 2020</v>
      </c>
    </row>
    <row r="4466" spans="1:13" hidden="1">
      <c r="A4466" t="s">
        <v>597</v>
      </c>
      <c r="B4466" t="s">
        <v>6201</v>
      </c>
      <c r="C4466" s="1">
        <v>45026</v>
      </c>
      <c r="D4466" s="2">
        <v>98476020</v>
      </c>
      <c r="E4466" s="2">
        <v>15170</v>
      </c>
      <c r="F4466">
        <v>65</v>
      </c>
      <c r="G4466" s="2">
        <v>103175548</v>
      </c>
      <c r="H4466" s="2">
        <v>656387</v>
      </c>
      <c r="J4466">
        <v>36</v>
      </c>
      <c r="L4466">
        <v>0</v>
      </c>
      <c r="M4466" t="str">
        <f t="shared" si="69"/>
        <v>After 2020</v>
      </c>
    </row>
    <row r="4467" spans="1:13" hidden="1">
      <c r="A4467" t="s">
        <v>6202</v>
      </c>
      <c r="B4467" t="s">
        <v>6203</v>
      </c>
      <c r="C4467" s="1">
        <v>44636</v>
      </c>
      <c r="D4467" s="2">
        <v>57174683</v>
      </c>
      <c r="E4467" s="2">
        <v>12634</v>
      </c>
      <c r="F4467">
        <v>52</v>
      </c>
      <c r="G4467" s="2">
        <v>277032840</v>
      </c>
      <c r="H4467" s="2">
        <v>1310994</v>
      </c>
      <c r="I4467" s="2">
        <v>88201634</v>
      </c>
      <c r="J4467">
        <v>4</v>
      </c>
      <c r="L4467">
        <v>0</v>
      </c>
      <c r="M4467" t="str">
        <f t="shared" si="69"/>
        <v>After 2020</v>
      </c>
    </row>
    <row r="4468" spans="1:13" hidden="1">
      <c r="A4468" t="s">
        <v>6204</v>
      </c>
      <c r="B4468" t="s">
        <v>2210</v>
      </c>
      <c r="C4468" s="1">
        <v>45300</v>
      </c>
      <c r="D4468" s="2">
        <v>38388843</v>
      </c>
      <c r="E4468" s="2">
        <v>6814</v>
      </c>
      <c r="G4468" s="2">
        <v>25838329</v>
      </c>
      <c r="H4468" s="2">
        <v>341078</v>
      </c>
      <c r="J4468">
        <v>3</v>
      </c>
      <c r="K4468">
        <v>107</v>
      </c>
      <c r="L4468">
        <v>1</v>
      </c>
      <c r="M4468" t="str">
        <f t="shared" si="69"/>
        <v>After 2020</v>
      </c>
    </row>
    <row r="4469" spans="1:13" hidden="1">
      <c r="A4469" t="s">
        <v>6205</v>
      </c>
      <c r="B4469" t="s">
        <v>3175</v>
      </c>
      <c r="C4469" s="1">
        <v>45435</v>
      </c>
      <c r="D4469" s="2">
        <v>4453194</v>
      </c>
      <c r="E4469">
        <v>287</v>
      </c>
      <c r="F4469">
        <v>64</v>
      </c>
      <c r="G4469" s="2">
        <v>9104356</v>
      </c>
      <c r="H4469" s="2">
        <v>198623</v>
      </c>
      <c r="J4469">
        <v>1</v>
      </c>
      <c r="L4469">
        <v>1</v>
      </c>
      <c r="M4469" t="str">
        <f t="shared" si="69"/>
        <v>After 2020</v>
      </c>
    </row>
    <row r="4470" spans="1:13">
      <c r="A4470" t="s">
        <v>6206</v>
      </c>
      <c r="B4470" t="s">
        <v>6207</v>
      </c>
      <c r="C4470" s="1">
        <v>43607</v>
      </c>
      <c r="D4470" s="2">
        <v>304588030</v>
      </c>
      <c r="E4470" s="2">
        <v>27312</v>
      </c>
      <c r="F4470">
        <v>63</v>
      </c>
      <c r="G4470" s="2">
        <v>536055555</v>
      </c>
      <c r="H4470" s="2">
        <v>5342216</v>
      </c>
      <c r="I4470" s="2">
        <v>48485307</v>
      </c>
      <c r="J4470">
        <v>41</v>
      </c>
      <c r="K4470">
        <v>184</v>
      </c>
      <c r="L4470">
        <v>0</v>
      </c>
      <c r="M4470" t="str">
        <f t="shared" si="69"/>
        <v>2010-2020</v>
      </c>
    </row>
    <row r="4471" spans="1:13" hidden="1">
      <c r="A4471" t="s">
        <v>6208</v>
      </c>
      <c r="B4471" t="s">
        <v>4421</v>
      </c>
      <c r="C4471" s="1">
        <v>43602</v>
      </c>
      <c r="D4471" s="2">
        <v>199248929</v>
      </c>
      <c r="E4471" s="2">
        <v>60481</v>
      </c>
      <c r="F4471">
        <v>56</v>
      </c>
      <c r="G4471" s="2">
        <v>261079023</v>
      </c>
      <c r="H4471" s="2">
        <v>2146409</v>
      </c>
      <c r="I4471" s="2">
        <v>713540521</v>
      </c>
      <c r="J4471">
        <v>8</v>
      </c>
      <c r="L4471">
        <v>1</v>
      </c>
      <c r="M4471" t="str">
        <f t="shared" si="69"/>
        <v>2010-2020</v>
      </c>
    </row>
    <row r="4472" spans="1:13">
      <c r="A4472" t="s">
        <v>6209</v>
      </c>
      <c r="B4472" t="s">
        <v>6057</v>
      </c>
      <c r="C4472" s="1">
        <v>42080</v>
      </c>
      <c r="D4472" s="2">
        <v>785571181</v>
      </c>
      <c r="E4472" s="2">
        <v>131703</v>
      </c>
      <c r="F4472">
        <v>70</v>
      </c>
      <c r="G4472" s="2">
        <v>492974141</v>
      </c>
      <c r="H4472" s="2">
        <v>3162813</v>
      </c>
      <c r="I4472" s="2">
        <v>74904030</v>
      </c>
      <c r="J4472">
        <v>96</v>
      </c>
      <c r="K4472">
        <v>279</v>
      </c>
      <c r="L4472">
        <v>0</v>
      </c>
      <c r="M4472" t="str">
        <f t="shared" si="69"/>
        <v>2010-2020</v>
      </c>
    </row>
    <row r="4473" spans="1:13">
      <c r="A4473" t="s">
        <v>6210</v>
      </c>
      <c r="B4473" t="s">
        <v>5102</v>
      </c>
      <c r="C4473" s="1">
        <v>38846</v>
      </c>
      <c r="D4473" s="2">
        <v>1070374387</v>
      </c>
      <c r="E4473" s="2">
        <v>203821</v>
      </c>
      <c r="F4473">
        <v>74</v>
      </c>
      <c r="G4473" s="2">
        <v>710124074</v>
      </c>
      <c r="H4473" s="2">
        <v>3609104</v>
      </c>
      <c r="I4473" s="2">
        <v>835564684</v>
      </c>
      <c r="J4473">
        <v>22</v>
      </c>
      <c r="K4473">
        <v>31</v>
      </c>
      <c r="L4473">
        <v>0</v>
      </c>
      <c r="M4473" t="str">
        <f t="shared" si="69"/>
        <v>Before 2010</v>
      </c>
    </row>
    <row r="4474" spans="1:13" hidden="1">
      <c r="A4474" t="s">
        <v>6211</v>
      </c>
      <c r="B4474" t="s">
        <v>272</v>
      </c>
      <c r="C4474" s="1">
        <v>44988</v>
      </c>
      <c r="D4474" s="2">
        <v>92719593</v>
      </c>
      <c r="E4474" s="2">
        <v>31367</v>
      </c>
      <c r="F4474">
        <v>65</v>
      </c>
      <c r="J4474">
        <v>53</v>
      </c>
      <c r="L4474">
        <v>1</v>
      </c>
      <c r="M4474" t="str">
        <f t="shared" si="69"/>
        <v>After 2020</v>
      </c>
    </row>
    <row r="4475" spans="1:13">
      <c r="A4475" t="s">
        <v>6212</v>
      </c>
      <c r="B4475" t="s">
        <v>1680</v>
      </c>
      <c r="C4475" s="1">
        <v>40544</v>
      </c>
      <c r="D4475" s="2">
        <v>531877344</v>
      </c>
      <c r="E4475" s="2">
        <v>113502</v>
      </c>
      <c r="F4475">
        <v>69</v>
      </c>
      <c r="G4475" s="2">
        <v>887185779</v>
      </c>
      <c r="H4475" s="2">
        <v>5742922</v>
      </c>
      <c r="I4475" s="2">
        <v>478863160</v>
      </c>
      <c r="J4475">
        <v>21</v>
      </c>
      <c r="K4475">
        <v>4</v>
      </c>
      <c r="L4475">
        <v>1</v>
      </c>
      <c r="M4475" t="str">
        <f t="shared" si="69"/>
        <v>2010-2020</v>
      </c>
    </row>
    <row r="4476" spans="1:13" hidden="1">
      <c r="A4476" t="s">
        <v>6213</v>
      </c>
      <c r="B4476" t="s">
        <v>6214</v>
      </c>
      <c r="C4476" s="1">
        <v>43174</v>
      </c>
      <c r="D4476" s="2">
        <v>376842137</v>
      </c>
      <c r="E4476" s="2">
        <v>48359</v>
      </c>
      <c r="F4476">
        <v>62</v>
      </c>
      <c r="G4476" s="2">
        <v>764618561</v>
      </c>
      <c r="H4476" s="2">
        <v>4979126</v>
      </c>
      <c r="I4476" s="2">
        <v>1068</v>
      </c>
      <c r="J4476">
        <v>15</v>
      </c>
      <c r="L4476">
        <v>1</v>
      </c>
      <c r="M4476" t="str">
        <f t="shared" si="69"/>
        <v>2010-2020</v>
      </c>
    </row>
    <row r="4477" spans="1:13" hidden="1">
      <c r="A4477" t="s">
        <v>6215</v>
      </c>
      <c r="B4477" t="s">
        <v>506</v>
      </c>
      <c r="C4477" s="1">
        <v>45393</v>
      </c>
      <c r="D4477" s="2">
        <v>17237503</v>
      </c>
      <c r="E4477">
        <v>943</v>
      </c>
      <c r="F4477">
        <v>60</v>
      </c>
      <c r="G4477" s="2">
        <v>16792844</v>
      </c>
      <c r="H4477" s="2">
        <v>122453</v>
      </c>
      <c r="J4477">
        <v>4</v>
      </c>
      <c r="L4477">
        <v>1</v>
      </c>
      <c r="M4477" t="str">
        <f t="shared" si="69"/>
        <v>After 2020</v>
      </c>
    </row>
    <row r="4478" spans="1:13" hidden="1">
      <c r="A4478" t="s">
        <v>6216</v>
      </c>
      <c r="B4478" t="s">
        <v>1025</v>
      </c>
      <c r="C4478" s="1">
        <v>43266</v>
      </c>
      <c r="D4478" s="2">
        <v>529175442</v>
      </c>
      <c r="E4478" s="2">
        <v>63348</v>
      </c>
      <c r="F4478">
        <v>60</v>
      </c>
      <c r="G4478" s="2">
        <v>352484517</v>
      </c>
      <c r="H4478" s="2">
        <v>2091823</v>
      </c>
      <c r="I4478" s="2">
        <v>102987831</v>
      </c>
      <c r="J4478">
        <v>44</v>
      </c>
      <c r="L4478">
        <v>0</v>
      </c>
      <c r="M4478" t="str">
        <f t="shared" si="69"/>
        <v>2010-2020</v>
      </c>
    </row>
    <row r="4479" spans="1:13" hidden="1">
      <c r="A4479" t="s">
        <v>6217</v>
      </c>
      <c r="B4479" t="s">
        <v>6218</v>
      </c>
      <c r="C4479" s="1">
        <v>45226</v>
      </c>
      <c r="D4479" s="2">
        <v>36157546</v>
      </c>
      <c r="E4479" s="2">
        <v>14837</v>
      </c>
      <c r="G4479" s="2">
        <v>2802960</v>
      </c>
      <c r="H4479" s="2">
        <v>43834</v>
      </c>
      <c r="I4479" s="2">
        <v>237070526</v>
      </c>
      <c r="J4479">
        <v>13</v>
      </c>
      <c r="L4479">
        <v>0</v>
      </c>
      <c r="M4479" t="str">
        <f t="shared" si="69"/>
        <v>After 2020</v>
      </c>
    </row>
    <row r="4480" spans="1:13" hidden="1">
      <c r="A4480" t="s">
        <v>6219</v>
      </c>
      <c r="B4480" t="s">
        <v>6220</v>
      </c>
      <c r="C4480" s="1">
        <v>44599</v>
      </c>
      <c r="D4480" s="2">
        <v>92981184</v>
      </c>
      <c r="E4480" s="2">
        <v>12775</v>
      </c>
      <c r="F4480">
        <v>54</v>
      </c>
      <c r="G4480" s="2">
        <v>104515384</v>
      </c>
      <c r="H4480" s="2">
        <v>562370</v>
      </c>
      <c r="I4480" s="2">
        <v>848741537</v>
      </c>
      <c r="L4480">
        <v>1</v>
      </c>
      <c r="M4480" t="str">
        <f t="shared" si="69"/>
        <v>After 2020</v>
      </c>
    </row>
    <row r="4481" spans="1:13" hidden="1">
      <c r="A4481" t="s">
        <v>6221</v>
      </c>
      <c r="B4481" t="s">
        <v>6222</v>
      </c>
      <c r="C4481" s="1">
        <v>44914</v>
      </c>
      <c r="D4481" s="2">
        <v>32753</v>
      </c>
      <c r="E4481">
        <v>22</v>
      </c>
      <c r="F4481">
        <v>11</v>
      </c>
      <c r="G4481" s="2">
        <v>154648</v>
      </c>
      <c r="H4481" s="2">
        <v>2260</v>
      </c>
      <c r="I4481" s="2">
        <v>1598275820</v>
      </c>
      <c r="L4481">
        <v>0</v>
      </c>
      <c r="M4481" t="str">
        <f t="shared" si="69"/>
        <v>After 2020</v>
      </c>
    </row>
    <row r="4482" spans="1:13" hidden="1">
      <c r="A4482" t="s">
        <v>6223</v>
      </c>
      <c r="B4482" t="s">
        <v>917</v>
      </c>
      <c r="C4482" s="1">
        <v>44477</v>
      </c>
      <c r="D4482" s="2">
        <v>39941762</v>
      </c>
      <c r="E4482" s="2">
        <v>16015</v>
      </c>
      <c r="F4482">
        <v>52</v>
      </c>
      <c r="G4482" s="2">
        <v>347059146</v>
      </c>
      <c r="H4482" s="2">
        <v>2044052</v>
      </c>
      <c r="J4482">
        <v>17</v>
      </c>
      <c r="K4482" s="2">
        <v>1510</v>
      </c>
      <c r="L4482">
        <v>0</v>
      </c>
      <c r="M4482" t="str">
        <f t="shared" si="69"/>
        <v>After 2020</v>
      </c>
    </row>
    <row r="4483" spans="1:13">
      <c r="A4483" t="s">
        <v>6224</v>
      </c>
      <c r="B4483" t="s">
        <v>367</v>
      </c>
      <c r="C4483" s="1">
        <v>43777</v>
      </c>
      <c r="D4483" s="2">
        <v>557921212</v>
      </c>
      <c r="E4483" s="2">
        <v>56240</v>
      </c>
      <c r="F4483">
        <v>64</v>
      </c>
      <c r="G4483" s="2">
        <v>61717959</v>
      </c>
      <c r="H4483" s="2">
        <v>619110</v>
      </c>
      <c r="I4483" s="2">
        <v>41811499</v>
      </c>
      <c r="J4483">
        <v>73</v>
      </c>
      <c r="K4483">
        <v>338</v>
      </c>
      <c r="L4483">
        <v>1</v>
      </c>
      <c r="M4483" t="str">
        <f t="shared" ref="M4483:M4546" si="70">IF(YEAR(C4483)&lt;2010,"Before 2010",IF(YEAR(C4483)&lt;=2020,"2010-2020","After 2020"))</f>
        <v>2010-2020</v>
      </c>
    </row>
    <row r="4484" spans="1:13" hidden="1">
      <c r="A4484" t="s">
        <v>6225</v>
      </c>
      <c r="B4484" t="s">
        <v>762</v>
      </c>
      <c r="C4484" s="1">
        <v>42671</v>
      </c>
      <c r="D4484" s="2">
        <v>803983295</v>
      </c>
      <c r="E4484" s="2">
        <v>106924</v>
      </c>
      <c r="F4484">
        <v>72</v>
      </c>
      <c r="G4484" s="2">
        <v>365027836</v>
      </c>
      <c r="H4484" s="2">
        <v>3784864</v>
      </c>
      <c r="I4484" s="2">
        <v>1514260404</v>
      </c>
      <c r="J4484">
        <v>85</v>
      </c>
      <c r="L4484">
        <v>0</v>
      </c>
      <c r="M4484" t="str">
        <f t="shared" si="70"/>
        <v>2010-2020</v>
      </c>
    </row>
    <row r="4485" spans="1:13" hidden="1">
      <c r="A4485" t="s">
        <v>6226</v>
      </c>
      <c r="B4485" t="s">
        <v>53</v>
      </c>
      <c r="C4485" s="1">
        <v>45394</v>
      </c>
      <c r="D4485" s="2">
        <v>19215365</v>
      </c>
      <c r="E4485" s="2">
        <v>5410</v>
      </c>
      <c r="G4485" s="2">
        <v>97631</v>
      </c>
      <c r="H4485">
        <v>998</v>
      </c>
      <c r="J4485">
        <v>8</v>
      </c>
      <c r="L4485">
        <v>1</v>
      </c>
      <c r="M4485" t="str">
        <f t="shared" si="70"/>
        <v>After 2020</v>
      </c>
    </row>
    <row r="4486" spans="1:13">
      <c r="A4486" t="s">
        <v>6227</v>
      </c>
      <c r="B4486" t="s">
        <v>360</v>
      </c>
      <c r="C4486" s="1">
        <v>44617</v>
      </c>
      <c r="D4486" s="2">
        <v>194708224</v>
      </c>
      <c r="E4486" s="2">
        <v>32664</v>
      </c>
      <c r="F4486">
        <v>61</v>
      </c>
      <c r="G4486" s="2">
        <v>20154009</v>
      </c>
      <c r="H4486" s="2">
        <v>183170</v>
      </c>
      <c r="I4486" s="2">
        <v>29481029</v>
      </c>
      <c r="J4486">
        <v>54</v>
      </c>
      <c r="K4486">
        <v>40</v>
      </c>
      <c r="L4486">
        <v>0</v>
      </c>
      <c r="M4486" t="str">
        <f t="shared" si="70"/>
        <v>After 2020</v>
      </c>
    </row>
    <row r="4487" spans="1:13" hidden="1">
      <c r="A4487" t="s">
        <v>6228</v>
      </c>
      <c r="B4487" t="s">
        <v>869</v>
      </c>
      <c r="C4487" s="1">
        <v>44413</v>
      </c>
      <c r="D4487" s="2">
        <v>380785241</v>
      </c>
      <c r="E4487" s="2">
        <v>31820</v>
      </c>
      <c r="F4487">
        <v>67</v>
      </c>
      <c r="G4487" s="2">
        <v>236863842</v>
      </c>
      <c r="H4487" s="2">
        <v>1710700</v>
      </c>
      <c r="I4487" s="2">
        <v>288771523</v>
      </c>
      <c r="J4487">
        <v>24</v>
      </c>
      <c r="L4487">
        <v>0</v>
      </c>
      <c r="M4487" t="str">
        <f t="shared" si="70"/>
        <v>After 2020</v>
      </c>
    </row>
    <row r="4488" spans="1:13" hidden="1">
      <c r="A4488" t="s">
        <v>6229</v>
      </c>
      <c r="B4488" t="s">
        <v>1326</v>
      </c>
      <c r="C4488" s="1">
        <v>45387</v>
      </c>
      <c r="D4488" s="2">
        <v>15948344</v>
      </c>
      <c r="E4488" s="2">
        <v>4948</v>
      </c>
      <c r="G4488" s="2">
        <v>2127850</v>
      </c>
      <c r="H4488" s="2">
        <v>70258</v>
      </c>
      <c r="J4488">
        <v>6</v>
      </c>
      <c r="L4488">
        <v>1</v>
      </c>
      <c r="M4488" t="str">
        <f t="shared" si="70"/>
        <v>After 2020</v>
      </c>
    </row>
    <row r="4489" spans="1:13" hidden="1">
      <c r="A4489" t="s">
        <v>6230</v>
      </c>
      <c r="B4489" t="s">
        <v>61</v>
      </c>
      <c r="C4489" s="1">
        <v>44295</v>
      </c>
      <c r="D4489" s="2">
        <v>662057533</v>
      </c>
      <c r="E4489" s="2">
        <v>59739</v>
      </c>
      <c r="F4489">
        <v>76</v>
      </c>
      <c r="G4489" s="2">
        <v>55391583</v>
      </c>
      <c r="H4489" s="2">
        <v>447166</v>
      </c>
      <c r="I4489" s="2">
        <v>451630379</v>
      </c>
      <c r="J4489">
        <v>53</v>
      </c>
      <c r="L4489">
        <v>0</v>
      </c>
      <c r="M4489" t="str">
        <f t="shared" si="70"/>
        <v>After 2020</v>
      </c>
    </row>
    <row r="4490" spans="1:13">
      <c r="A4490" t="s">
        <v>6231</v>
      </c>
      <c r="B4490" t="s">
        <v>2220</v>
      </c>
      <c r="C4490" s="1">
        <v>42674</v>
      </c>
      <c r="D4490" s="2">
        <v>711322702</v>
      </c>
      <c r="E4490" s="2">
        <v>98581</v>
      </c>
      <c r="F4490">
        <v>61</v>
      </c>
      <c r="G4490" s="2">
        <v>25097411</v>
      </c>
      <c r="H4490" s="2">
        <v>287379</v>
      </c>
      <c r="I4490" s="2">
        <v>90486354</v>
      </c>
      <c r="J4490">
        <v>144</v>
      </c>
      <c r="K4490">
        <v>122</v>
      </c>
      <c r="L4490">
        <v>1</v>
      </c>
      <c r="M4490" t="str">
        <f t="shared" si="70"/>
        <v>2010-2020</v>
      </c>
    </row>
    <row r="4491" spans="1:13" hidden="1">
      <c r="A4491" t="s">
        <v>6232</v>
      </c>
      <c r="B4491" t="s">
        <v>1055</v>
      </c>
      <c r="C4491" s="1">
        <v>42370</v>
      </c>
      <c r="D4491" s="2">
        <v>381501023</v>
      </c>
      <c r="E4491" s="2">
        <v>56234</v>
      </c>
      <c r="F4491">
        <v>56</v>
      </c>
      <c r="G4491" s="2">
        <v>933353581</v>
      </c>
      <c r="H4491" s="2">
        <v>7640646</v>
      </c>
      <c r="I4491" s="2">
        <v>133544796</v>
      </c>
      <c r="J4491">
        <v>40</v>
      </c>
      <c r="L4491">
        <v>0</v>
      </c>
      <c r="M4491" t="str">
        <f t="shared" si="70"/>
        <v>2010-2020</v>
      </c>
    </row>
    <row r="4492" spans="1:13" hidden="1">
      <c r="A4492" t="s">
        <v>6233</v>
      </c>
      <c r="B4492" t="s">
        <v>6234</v>
      </c>
      <c r="C4492" s="1">
        <v>44358</v>
      </c>
      <c r="D4492" s="2">
        <v>3711</v>
      </c>
      <c r="E4492">
        <v>6</v>
      </c>
      <c r="I4492" s="2">
        <v>1319467906</v>
      </c>
      <c r="L4492">
        <v>0</v>
      </c>
      <c r="M4492" t="str">
        <f t="shared" si="70"/>
        <v>After 2020</v>
      </c>
    </row>
    <row r="4493" spans="1:13" hidden="1">
      <c r="A4493" t="s">
        <v>6235</v>
      </c>
      <c r="B4493" t="s">
        <v>531</v>
      </c>
      <c r="C4493" s="1">
        <v>45415</v>
      </c>
      <c r="D4493" s="2">
        <v>9126485</v>
      </c>
      <c r="E4493" s="2">
        <v>2054</v>
      </c>
      <c r="G4493" s="2">
        <v>2292547</v>
      </c>
      <c r="H4493" s="2">
        <v>82132</v>
      </c>
      <c r="J4493">
        <v>3</v>
      </c>
      <c r="L4493">
        <v>1</v>
      </c>
      <c r="M4493" t="str">
        <f t="shared" si="70"/>
        <v>After 2020</v>
      </c>
    </row>
    <row r="4494" spans="1:13" hidden="1">
      <c r="A4494" t="s">
        <v>6236</v>
      </c>
      <c r="B4494" t="s">
        <v>61</v>
      </c>
      <c r="C4494" s="1">
        <v>45225</v>
      </c>
      <c r="D4494" s="2">
        <v>176970541</v>
      </c>
      <c r="E4494" s="2">
        <v>12080</v>
      </c>
      <c r="G4494" s="2">
        <v>11719848</v>
      </c>
      <c r="H4494" s="2">
        <v>167779</v>
      </c>
      <c r="I4494" s="2">
        <v>50830371</v>
      </c>
      <c r="J4494">
        <v>10</v>
      </c>
      <c r="L4494">
        <v>0</v>
      </c>
      <c r="M4494" t="str">
        <f t="shared" si="70"/>
        <v>After 2020</v>
      </c>
    </row>
    <row r="4495" spans="1:13">
      <c r="A4495" t="s">
        <v>6237</v>
      </c>
      <c r="B4495" t="s">
        <v>772</v>
      </c>
      <c r="C4495" s="1">
        <v>40179</v>
      </c>
      <c r="D4495" s="2">
        <v>855080751</v>
      </c>
      <c r="E4495" s="2">
        <v>112252</v>
      </c>
      <c r="F4495">
        <v>74</v>
      </c>
      <c r="G4495" s="2">
        <v>1308913092</v>
      </c>
      <c r="H4495" s="2">
        <v>7034253</v>
      </c>
      <c r="I4495" s="2">
        <v>466335090</v>
      </c>
      <c r="J4495">
        <v>89</v>
      </c>
      <c r="K4495">
        <v>247</v>
      </c>
      <c r="L4495">
        <v>1</v>
      </c>
      <c r="M4495" t="str">
        <f t="shared" si="70"/>
        <v>2010-2020</v>
      </c>
    </row>
    <row r="4496" spans="1:13">
      <c r="A4496" t="s">
        <v>6238</v>
      </c>
      <c r="B4496" t="s">
        <v>5167</v>
      </c>
      <c r="C4496" s="1">
        <v>41640</v>
      </c>
      <c r="D4496" s="2">
        <v>501915477</v>
      </c>
      <c r="E4496" s="2">
        <v>87258</v>
      </c>
      <c r="F4496">
        <v>66</v>
      </c>
      <c r="G4496" s="2">
        <v>317068971</v>
      </c>
      <c r="H4496" s="2">
        <v>2821803</v>
      </c>
      <c r="I4496" s="2">
        <v>29687816</v>
      </c>
      <c r="J4496">
        <v>119</v>
      </c>
      <c r="K4496">
        <v>240</v>
      </c>
      <c r="L4496">
        <v>0</v>
      </c>
      <c r="M4496" t="str">
        <f t="shared" si="70"/>
        <v>2010-2020</v>
      </c>
    </row>
    <row r="4497" spans="1:13">
      <c r="A4497" t="s">
        <v>6239</v>
      </c>
      <c r="B4497" t="s">
        <v>3088</v>
      </c>
      <c r="C4497" s="1">
        <v>42942</v>
      </c>
      <c r="D4497" s="2">
        <v>180051347</v>
      </c>
      <c r="E4497" s="2">
        <v>22760</v>
      </c>
      <c r="F4497">
        <v>52</v>
      </c>
      <c r="G4497" s="2">
        <v>14546112</v>
      </c>
      <c r="H4497" s="2">
        <v>287534</v>
      </c>
      <c r="I4497" s="2">
        <v>985761413</v>
      </c>
      <c r="J4497">
        <v>3</v>
      </c>
      <c r="K4497">
        <v>29</v>
      </c>
      <c r="L4497">
        <v>0</v>
      </c>
      <c r="M4497" t="str">
        <f t="shared" si="70"/>
        <v>2010-2020</v>
      </c>
    </row>
    <row r="4498" spans="1:13" hidden="1">
      <c r="A4498" t="s">
        <v>6240</v>
      </c>
      <c r="B4498" t="s">
        <v>6241</v>
      </c>
      <c r="C4498" s="1">
        <v>45030</v>
      </c>
      <c r="D4498" s="2">
        <v>120491749</v>
      </c>
      <c r="E4498" s="2">
        <v>8494</v>
      </c>
      <c r="F4498">
        <v>63</v>
      </c>
      <c r="G4498" s="2">
        <v>118976231</v>
      </c>
      <c r="H4498" s="2">
        <v>658718</v>
      </c>
      <c r="I4498" s="2">
        <v>64087674</v>
      </c>
      <c r="J4498">
        <v>6</v>
      </c>
      <c r="L4498">
        <v>0</v>
      </c>
      <c r="M4498" t="str">
        <f t="shared" si="70"/>
        <v>After 2020</v>
      </c>
    </row>
    <row r="4499" spans="1:13" hidden="1">
      <c r="A4499" t="s">
        <v>6242</v>
      </c>
      <c r="B4499" t="s">
        <v>6243</v>
      </c>
      <c r="C4499" s="1">
        <v>45099</v>
      </c>
      <c r="D4499" s="2">
        <v>31038318</v>
      </c>
      <c r="E4499" s="2">
        <v>9392</v>
      </c>
      <c r="F4499">
        <v>57</v>
      </c>
      <c r="G4499" s="2">
        <v>100634134</v>
      </c>
      <c r="H4499" s="2">
        <v>570025</v>
      </c>
      <c r="J4499">
        <v>5</v>
      </c>
      <c r="L4499">
        <v>1</v>
      </c>
      <c r="M4499" t="str">
        <f t="shared" si="70"/>
        <v>After 2020</v>
      </c>
    </row>
    <row r="4500" spans="1:13" hidden="1">
      <c r="A4500" t="s">
        <v>6244</v>
      </c>
      <c r="B4500" t="s">
        <v>1102</v>
      </c>
      <c r="C4500" s="1">
        <v>43769</v>
      </c>
      <c r="D4500" s="2">
        <v>404073512</v>
      </c>
      <c r="E4500" s="2">
        <v>42797</v>
      </c>
      <c r="F4500">
        <v>69</v>
      </c>
      <c r="G4500" s="2">
        <v>328021225</v>
      </c>
      <c r="H4500" s="2">
        <v>1916957</v>
      </c>
      <c r="I4500" s="2">
        <v>101301634</v>
      </c>
      <c r="J4500">
        <v>9</v>
      </c>
      <c r="L4500">
        <v>0</v>
      </c>
      <c r="M4500" t="str">
        <f t="shared" si="70"/>
        <v>2010-2020</v>
      </c>
    </row>
    <row r="4501" spans="1:13" hidden="1">
      <c r="A4501" t="s">
        <v>6245</v>
      </c>
      <c r="B4501" t="s">
        <v>531</v>
      </c>
      <c r="C4501" s="1">
        <v>44414</v>
      </c>
      <c r="D4501" s="2">
        <v>176048317</v>
      </c>
      <c r="E4501" s="2">
        <v>70149</v>
      </c>
      <c r="F4501">
        <v>54</v>
      </c>
      <c r="G4501" s="2">
        <v>27753856</v>
      </c>
      <c r="H4501" s="2">
        <v>516329</v>
      </c>
      <c r="I4501" s="2">
        <v>571049</v>
      </c>
      <c r="J4501">
        <v>37</v>
      </c>
      <c r="L4501">
        <v>1</v>
      </c>
      <c r="M4501" t="str">
        <f t="shared" si="70"/>
        <v>After 2020</v>
      </c>
    </row>
    <row r="4502" spans="1:13" hidden="1">
      <c r="A4502" t="s">
        <v>6246</v>
      </c>
      <c r="B4502" t="s">
        <v>2261</v>
      </c>
      <c r="C4502" s="1">
        <v>44111</v>
      </c>
      <c r="D4502" s="2">
        <v>68139013</v>
      </c>
      <c r="E4502" s="2">
        <v>6814</v>
      </c>
      <c r="F4502">
        <v>54</v>
      </c>
      <c r="G4502" s="2">
        <v>565499581</v>
      </c>
      <c r="H4502" s="2">
        <v>5203108</v>
      </c>
      <c r="J4502">
        <v>1</v>
      </c>
      <c r="L4502">
        <v>0</v>
      </c>
      <c r="M4502" t="str">
        <f t="shared" si="70"/>
        <v>2010-2020</v>
      </c>
    </row>
    <row r="4503" spans="1:13" hidden="1">
      <c r="A4503" t="s">
        <v>2640</v>
      </c>
      <c r="B4503" t="s">
        <v>1025</v>
      </c>
      <c r="C4503" s="1">
        <v>41640</v>
      </c>
      <c r="G4503" s="2">
        <v>1832515825</v>
      </c>
      <c r="H4503" s="2">
        <v>12911895</v>
      </c>
      <c r="L4503">
        <v>0</v>
      </c>
      <c r="M4503" t="str">
        <f t="shared" si="70"/>
        <v>2010-2020</v>
      </c>
    </row>
    <row r="4504" spans="1:13">
      <c r="A4504" t="s">
        <v>6247</v>
      </c>
      <c r="B4504" t="s">
        <v>6248</v>
      </c>
      <c r="C4504" s="1">
        <v>43278</v>
      </c>
      <c r="D4504" s="2">
        <v>211581810</v>
      </c>
      <c r="E4504" s="2">
        <v>29803</v>
      </c>
      <c r="F4504">
        <v>63</v>
      </c>
      <c r="G4504" s="2">
        <v>137544172</v>
      </c>
      <c r="H4504" s="2">
        <v>1154680</v>
      </c>
      <c r="I4504" s="2">
        <v>3149064834</v>
      </c>
      <c r="J4504">
        <v>13</v>
      </c>
      <c r="K4504">
        <v>1</v>
      </c>
      <c r="L4504">
        <v>0</v>
      </c>
      <c r="M4504" t="str">
        <f t="shared" si="70"/>
        <v>2010-2020</v>
      </c>
    </row>
    <row r="4505" spans="1:13">
      <c r="A4505" t="s">
        <v>6249</v>
      </c>
      <c r="B4505" t="s">
        <v>51</v>
      </c>
      <c r="C4505" s="1">
        <v>44386</v>
      </c>
      <c r="D4505" s="2">
        <v>333792226</v>
      </c>
      <c r="E4505" s="2">
        <v>59316</v>
      </c>
      <c r="F4505">
        <v>70</v>
      </c>
      <c r="G4505" s="2">
        <v>82079675</v>
      </c>
      <c r="H4505" s="2">
        <v>2306717</v>
      </c>
      <c r="I4505" s="2">
        <v>536488373</v>
      </c>
      <c r="J4505">
        <v>80</v>
      </c>
      <c r="K4505">
        <v>103</v>
      </c>
      <c r="L4505">
        <v>1</v>
      </c>
      <c r="M4505" t="str">
        <f t="shared" si="70"/>
        <v>After 2020</v>
      </c>
    </row>
    <row r="4506" spans="1:13" hidden="1">
      <c r="A4506" t="s">
        <v>6250</v>
      </c>
      <c r="B4506" t="s">
        <v>6251</v>
      </c>
      <c r="C4506" s="1">
        <v>43406</v>
      </c>
      <c r="D4506" s="2">
        <v>234838690</v>
      </c>
      <c r="E4506" s="2">
        <v>72603</v>
      </c>
      <c r="F4506">
        <v>63</v>
      </c>
      <c r="G4506" s="2">
        <v>46543188</v>
      </c>
      <c r="H4506" s="2">
        <v>628770</v>
      </c>
      <c r="I4506" s="2">
        <v>23557281</v>
      </c>
      <c r="J4506">
        <v>14</v>
      </c>
      <c r="L4506">
        <v>1</v>
      </c>
      <c r="M4506" t="str">
        <f t="shared" si="70"/>
        <v>2010-2020</v>
      </c>
    </row>
    <row r="4507" spans="1:13">
      <c r="A4507" t="s">
        <v>6252</v>
      </c>
      <c r="B4507" t="s">
        <v>3428</v>
      </c>
      <c r="C4507" s="1">
        <v>44593</v>
      </c>
      <c r="D4507" s="2">
        <v>231523576</v>
      </c>
      <c r="E4507" s="2">
        <v>35530</v>
      </c>
      <c r="F4507">
        <v>58</v>
      </c>
      <c r="G4507" s="2">
        <v>173364125</v>
      </c>
      <c r="H4507" s="2">
        <v>1394374</v>
      </c>
      <c r="I4507" s="2">
        <v>2321734</v>
      </c>
      <c r="J4507">
        <v>31</v>
      </c>
      <c r="K4507">
        <v>4</v>
      </c>
      <c r="L4507">
        <v>0</v>
      </c>
      <c r="M4507" t="str">
        <f t="shared" si="70"/>
        <v>After 2020</v>
      </c>
    </row>
    <row r="4508" spans="1:13">
      <c r="A4508" t="s">
        <v>6253</v>
      </c>
      <c r="B4508" t="s">
        <v>860</v>
      </c>
      <c r="C4508" s="1">
        <v>44155</v>
      </c>
      <c r="D4508" s="2">
        <v>208151054</v>
      </c>
      <c r="E4508" s="2">
        <v>38294</v>
      </c>
      <c r="F4508">
        <v>59</v>
      </c>
      <c r="G4508" s="2">
        <v>218386390</v>
      </c>
      <c r="H4508" s="2">
        <v>2462386</v>
      </c>
      <c r="I4508" s="2">
        <v>2020694174</v>
      </c>
      <c r="J4508">
        <v>4</v>
      </c>
      <c r="K4508">
        <v>160</v>
      </c>
      <c r="L4508">
        <v>1</v>
      </c>
      <c r="M4508" t="str">
        <f t="shared" si="70"/>
        <v>2010-2020</v>
      </c>
    </row>
    <row r="4509" spans="1:13" hidden="1">
      <c r="A4509" t="s">
        <v>6254</v>
      </c>
      <c r="B4509" t="s">
        <v>6255</v>
      </c>
      <c r="C4509" s="1">
        <v>43903</v>
      </c>
      <c r="D4509" s="2">
        <v>35324338</v>
      </c>
      <c r="E4509" s="2">
        <v>8655</v>
      </c>
      <c r="F4509">
        <v>55</v>
      </c>
      <c r="G4509" s="2">
        <v>20232023</v>
      </c>
      <c r="H4509" s="2">
        <v>188767</v>
      </c>
      <c r="I4509" s="2">
        <v>8808203215</v>
      </c>
      <c r="J4509">
        <v>2</v>
      </c>
      <c r="L4509">
        <v>0</v>
      </c>
      <c r="M4509" t="str">
        <f t="shared" si="70"/>
        <v>2010-2020</v>
      </c>
    </row>
    <row r="4510" spans="1:13" hidden="1">
      <c r="A4510" t="s">
        <v>5363</v>
      </c>
      <c r="B4510" t="s">
        <v>6256</v>
      </c>
      <c r="C4510" s="1">
        <v>44418</v>
      </c>
      <c r="D4510" s="2">
        <v>1761</v>
      </c>
      <c r="E4510">
        <v>1</v>
      </c>
      <c r="I4510" s="2">
        <v>166506168</v>
      </c>
      <c r="L4510">
        <v>0</v>
      </c>
      <c r="M4510" t="str">
        <f t="shared" si="70"/>
        <v>After 2020</v>
      </c>
    </row>
    <row r="4511" spans="1:13" hidden="1">
      <c r="A4511" t="s">
        <v>6257</v>
      </c>
      <c r="B4511" t="s">
        <v>3520</v>
      </c>
      <c r="C4511" s="1">
        <v>44278</v>
      </c>
      <c r="D4511" s="2">
        <v>22697447</v>
      </c>
      <c r="E4511" s="2">
        <v>4241</v>
      </c>
      <c r="F4511">
        <v>46</v>
      </c>
      <c r="G4511" s="2">
        <v>289466687</v>
      </c>
      <c r="H4511" s="2">
        <v>2021002</v>
      </c>
      <c r="I4511" s="2">
        <v>464077604</v>
      </c>
      <c r="J4511">
        <v>4</v>
      </c>
      <c r="L4511">
        <v>0</v>
      </c>
      <c r="M4511" t="str">
        <f t="shared" si="70"/>
        <v>After 2020</v>
      </c>
    </row>
    <row r="4512" spans="1:13">
      <c r="A4512" t="s">
        <v>6258</v>
      </c>
      <c r="B4512" t="s">
        <v>2590</v>
      </c>
      <c r="C4512" s="1">
        <v>44589</v>
      </c>
      <c r="D4512" s="2">
        <v>59929910</v>
      </c>
      <c r="E4512" s="2">
        <v>13316</v>
      </c>
      <c r="F4512">
        <v>56</v>
      </c>
      <c r="G4512" s="2">
        <v>87393499</v>
      </c>
      <c r="H4512" s="2">
        <v>637357</v>
      </c>
      <c r="I4512" s="2">
        <v>36200780</v>
      </c>
      <c r="J4512">
        <v>18</v>
      </c>
      <c r="K4512">
        <v>428</v>
      </c>
      <c r="L4512">
        <v>1</v>
      </c>
      <c r="M4512" t="str">
        <f t="shared" si="70"/>
        <v>After 2020</v>
      </c>
    </row>
    <row r="4513" spans="1:13">
      <c r="A4513" t="s">
        <v>6259</v>
      </c>
      <c r="B4513" t="s">
        <v>2004</v>
      </c>
      <c r="C4513" s="1">
        <v>42762</v>
      </c>
      <c r="D4513" s="2">
        <v>599318070</v>
      </c>
      <c r="E4513" s="2">
        <v>101794</v>
      </c>
      <c r="F4513">
        <v>61</v>
      </c>
      <c r="G4513" s="2">
        <v>115314262</v>
      </c>
      <c r="H4513" s="2">
        <v>913087</v>
      </c>
      <c r="I4513" s="2">
        <v>48083562</v>
      </c>
      <c r="J4513">
        <v>64</v>
      </c>
      <c r="K4513">
        <v>74</v>
      </c>
      <c r="L4513">
        <v>1</v>
      </c>
      <c r="M4513" t="str">
        <f t="shared" si="70"/>
        <v>2010-2020</v>
      </c>
    </row>
    <row r="4514" spans="1:13">
      <c r="A4514" t="s">
        <v>6260</v>
      </c>
      <c r="B4514" t="s">
        <v>355</v>
      </c>
      <c r="C4514" s="1">
        <v>44393</v>
      </c>
      <c r="D4514" s="2">
        <v>156697759</v>
      </c>
      <c r="E4514" s="2">
        <v>69258</v>
      </c>
      <c r="F4514">
        <v>62</v>
      </c>
      <c r="G4514" s="2">
        <v>59647655</v>
      </c>
      <c r="H4514" s="2">
        <v>736873</v>
      </c>
      <c r="I4514" s="2">
        <v>54292475</v>
      </c>
      <c r="J4514">
        <v>40</v>
      </c>
      <c r="K4514" s="2">
        <v>1076</v>
      </c>
      <c r="L4514">
        <v>1</v>
      </c>
      <c r="M4514" t="str">
        <f t="shared" si="70"/>
        <v>After 2020</v>
      </c>
    </row>
    <row r="4515" spans="1:13">
      <c r="A4515" t="s">
        <v>6261</v>
      </c>
      <c r="B4515" t="s">
        <v>6088</v>
      </c>
      <c r="C4515" s="1">
        <v>45037</v>
      </c>
      <c r="D4515" s="2">
        <v>285039741</v>
      </c>
      <c r="E4515" s="2">
        <v>8884</v>
      </c>
      <c r="F4515">
        <v>75</v>
      </c>
      <c r="G4515" s="2">
        <v>80959733</v>
      </c>
      <c r="H4515" s="2">
        <v>5337877</v>
      </c>
      <c r="I4515" s="2">
        <v>528452231</v>
      </c>
      <c r="J4515">
        <v>14</v>
      </c>
      <c r="K4515">
        <v>40</v>
      </c>
      <c r="L4515">
        <v>0</v>
      </c>
      <c r="M4515" t="str">
        <f t="shared" si="70"/>
        <v>After 2020</v>
      </c>
    </row>
    <row r="4516" spans="1:13" hidden="1">
      <c r="A4516" t="s">
        <v>6262</v>
      </c>
      <c r="B4516" t="s">
        <v>4921</v>
      </c>
      <c r="C4516" s="1">
        <v>44491</v>
      </c>
      <c r="D4516" s="2">
        <v>277051326</v>
      </c>
      <c r="E4516" s="2">
        <v>13527</v>
      </c>
      <c r="F4516">
        <v>36</v>
      </c>
      <c r="G4516" s="2">
        <v>246505345</v>
      </c>
      <c r="H4516" s="2">
        <v>1442640</v>
      </c>
      <c r="I4516" s="2">
        <v>3263936018</v>
      </c>
      <c r="J4516">
        <v>13</v>
      </c>
      <c r="L4516">
        <v>0</v>
      </c>
      <c r="M4516" t="str">
        <f t="shared" si="70"/>
        <v>After 2020</v>
      </c>
    </row>
    <row r="4517" spans="1:13" hidden="1">
      <c r="A4517" t="s">
        <v>5591</v>
      </c>
      <c r="B4517" t="s">
        <v>642</v>
      </c>
      <c r="C4517" s="1">
        <v>45415</v>
      </c>
      <c r="D4517" s="2">
        <v>14349985</v>
      </c>
      <c r="E4517" s="2">
        <v>2714</v>
      </c>
      <c r="F4517">
        <v>75</v>
      </c>
      <c r="G4517" s="2">
        <v>880904</v>
      </c>
      <c r="H4517" s="2">
        <v>20629</v>
      </c>
      <c r="J4517">
        <v>10</v>
      </c>
      <c r="K4517">
        <v>80</v>
      </c>
      <c r="L4517">
        <v>0</v>
      </c>
      <c r="M4517" t="str">
        <f t="shared" si="70"/>
        <v>After 2020</v>
      </c>
    </row>
    <row r="4518" spans="1:13" hidden="1">
      <c r="A4518" t="s">
        <v>6263</v>
      </c>
      <c r="B4518" t="s">
        <v>6264</v>
      </c>
      <c r="C4518" s="1">
        <v>43776</v>
      </c>
      <c r="D4518" s="2">
        <v>209328795</v>
      </c>
      <c r="E4518" s="2">
        <v>69599</v>
      </c>
      <c r="F4518">
        <v>54</v>
      </c>
      <c r="G4518" s="2">
        <v>176353020</v>
      </c>
      <c r="H4518" s="2">
        <v>1757636</v>
      </c>
      <c r="I4518" s="2">
        <v>463196104</v>
      </c>
      <c r="J4518">
        <v>76</v>
      </c>
      <c r="L4518">
        <v>1</v>
      </c>
      <c r="M4518" t="str">
        <f t="shared" si="70"/>
        <v>2010-2020</v>
      </c>
    </row>
    <row r="4519" spans="1:13">
      <c r="A4519" t="s">
        <v>6265</v>
      </c>
      <c r="B4519" t="s">
        <v>19</v>
      </c>
      <c r="C4519" s="1">
        <v>44689</v>
      </c>
      <c r="D4519" s="2">
        <v>89806639</v>
      </c>
      <c r="E4519" s="2">
        <v>41371</v>
      </c>
      <c r="F4519">
        <v>59</v>
      </c>
      <c r="G4519" s="2">
        <v>55825164</v>
      </c>
      <c r="H4519" s="2">
        <v>2131185</v>
      </c>
      <c r="I4519" s="2">
        <v>49727704</v>
      </c>
      <c r="J4519">
        <v>21</v>
      </c>
      <c r="K4519">
        <v>28</v>
      </c>
      <c r="L4519">
        <v>1</v>
      </c>
      <c r="M4519" t="str">
        <f t="shared" si="70"/>
        <v>After 2020</v>
      </c>
    </row>
    <row r="4520" spans="1:13">
      <c r="A4520" t="s">
        <v>6266</v>
      </c>
      <c r="B4520" t="s">
        <v>170</v>
      </c>
      <c r="C4520" s="1">
        <v>42860</v>
      </c>
      <c r="D4520" s="2">
        <v>365062854</v>
      </c>
      <c r="E4520" s="2">
        <v>18085</v>
      </c>
      <c r="F4520">
        <v>71</v>
      </c>
      <c r="G4520" s="2">
        <v>893949453</v>
      </c>
      <c r="H4520" s="2">
        <v>3847991</v>
      </c>
      <c r="I4520" s="2">
        <v>109160109</v>
      </c>
      <c r="J4520">
        <v>20</v>
      </c>
      <c r="K4520">
        <v>32</v>
      </c>
      <c r="L4520">
        <v>0</v>
      </c>
      <c r="M4520" t="str">
        <f t="shared" si="70"/>
        <v>2010-2020</v>
      </c>
    </row>
    <row r="4521" spans="1:13" hidden="1">
      <c r="A4521" t="s">
        <v>6267</v>
      </c>
      <c r="B4521" t="s">
        <v>6268</v>
      </c>
      <c r="C4521" s="1">
        <v>44750</v>
      </c>
      <c r="D4521" s="2">
        <v>128484709</v>
      </c>
      <c r="E4521" s="2">
        <v>57396</v>
      </c>
      <c r="F4521">
        <v>62</v>
      </c>
      <c r="G4521" s="2">
        <v>2575615</v>
      </c>
      <c r="H4521" s="2">
        <v>23097</v>
      </c>
      <c r="I4521" s="2">
        <v>113176445</v>
      </c>
      <c r="J4521">
        <v>14</v>
      </c>
      <c r="L4521">
        <v>1</v>
      </c>
      <c r="M4521" t="str">
        <f t="shared" si="70"/>
        <v>After 2020</v>
      </c>
    </row>
    <row r="4522" spans="1:13" hidden="1">
      <c r="A4522" t="s">
        <v>6269</v>
      </c>
      <c r="B4522" t="s">
        <v>2291</v>
      </c>
      <c r="C4522" s="1">
        <v>45023</v>
      </c>
      <c r="D4522" s="2">
        <v>112162450</v>
      </c>
      <c r="E4522" s="2">
        <v>16616</v>
      </c>
      <c r="F4522">
        <v>72</v>
      </c>
      <c r="G4522" s="2">
        <v>35498149</v>
      </c>
      <c r="H4522" s="2">
        <v>286497</v>
      </c>
      <c r="I4522" s="2">
        <v>158972578</v>
      </c>
      <c r="J4522">
        <v>5</v>
      </c>
      <c r="L4522">
        <v>0</v>
      </c>
      <c r="M4522" t="str">
        <f t="shared" si="70"/>
        <v>After 2020</v>
      </c>
    </row>
    <row r="4523" spans="1:13" hidden="1">
      <c r="A4523" t="s">
        <v>6270</v>
      </c>
      <c r="B4523" t="s">
        <v>617</v>
      </c>
      <c r="C4523" s="1">
        <v>44042</v>
      </c>
      <c r="D4523" s="2">
        <v>218674366</v>
      </c>
      <c r="E4523" s="2">
        <v>34897</v>
      </c>
      <c r="F4523">
        <v>57</v>
      </c>
      <c r="G4523" s="2">
        <v>242536989</v>
      </c>
      <c r="H4523" s="2">
        <v>2020435</v>
      </c>
      <c r="I4523" s="2">
        <v>72001415</v>
      </c>
      <c r="J4523">
        <v>37</v>
      </c>
      <c r="L4523">
        <v>0</v>
      </c>
      <c r="M4523" t="str">
        <f t="shared" si="70"/>
        <v>2010-2020</v>
      </c>
    </row>
    <row r="4524" spans="1:13">
      <c r="A4524" t="s">
        <v>4351</v>
      </c>
      <c r="B4524" t="s">
        <v>4352</v>
      </c>
      <c r="C4524" s="1">
        <v>33505</v>
      </c>
      <c r="D4524" s="2">
        <v>2021910364</v>
      </c>
      <c r="E4524" s="2">
        <v>410054</v>
      </c>
      <c r="F4524">
        <v>77</v>
      </c>
      <c r="G4524" s="2">
        <v>348081676</v>
      </c>
      <c r="H4524" s="2">
        <v>4710499</v>
      </c>
      <c r="I4524" s="2">
        <v>720283921</v>
      </c>
      <c r="J4524">
        <v>287</v>
      </c>
      <c r="K4524">
        <v>287</v>
      </c>
      <c r="L4524">
        <v>0</v>
      </c>
      <c r="M4524" t="str">
        <f t="shared" si="70"/>
        <v>Before 2010</v>
      </c>
    </row>
    <row r="4525" spans="1:13">
      <c r="A4525" t="s">
        <v>6271</v>
      </c>
      <c r="B4525" t="s">
        <v>6272</v>
      </c>
      <c r="C4525" s="1">
        <v>44785</v>
      </c>
      <c r="D4525" s="2">
        <v>59038013</v>
      </c>
      <c r="E4525" s="2">
        <v>22057</v>
      </c>
      <c r="F4525">
        <v>56</v>
      </c>
      <c r="G4525" s="2">
        <v>67576838</v>
      </c>
      <c r="H4525" s="2">
        <v>510771</v>
      </c>
      <c r="I4525" s="2">
        <v>549768980</v>
      </c>
      <c r="J4525">
        <v>16</v>
      </c>
      <c r="K4525" s="2">
        <v>1278</v>
      </c>
      <c r="L4525">
        <v>1</v>
      </c>
      <c r="M4525" t="str">
        <f t="shared" si="70"/>
        <v>After 2020</v>
      </c>
    </row>
    <row r="4526" spans="1:13">
      <c r="A4526" t="s">
        <v>6273</v>
      </c>
      <c r="B4526" t="s">
        <v>4067</v>
      </c>
      <c r="C4526" s="1">
        <v>44316</v>
      </c>
      <c r="D4526" s="2">
        <v>205110323</v>
      </c>
      <c r="E4526" s="2">
        <v>21243</v>
      </c>
      <c r="F4526">
        <v>60</v>
      </c>
      <c r="G4526" s="2">
        <v>371693639</v>
      </c>
      <c r="H4526" s="2">
        <v>6571826</v>
      </c>
      <c r="I4526" s="2">
        <v>550643662</v>
      </c>
      <c r="J4526">
        <v>18</v>
      </c>
      <c r="K4526">
        <v>52</v>
      </c>
      <c r="L4526">
        <v>0</v>
      </c>
      <c r="M4526" t="str">
        <f t="shared" si="70"/>
        <v>After 2020</v>
      </c>
    </row>
    <row r="4527" spans="1:13">
      <c r="A4527" t="s">
        <v>6274</v>
      </c>
      <c r="B4527" t="s">
        <v>6275</v>
      </c>
      <c r="C4527" s="1">
        <v>43985</v>
      </c>
      <c r="D4527" s="2">
        <v>231981539</v>
      </c>
      <c r="E4527" s="2">
        <v>50016</v>
      </c>
      <c r="F4527">
        <v>61</v>
      </c>
      <c r="G4527" s="2">
        <v>102609103</v>
      </c>
      <c r="H4527" s="2">
        <v>964398</v>
      </c>
      <c r="I4527" s="2">
        <v>3294902834</v>
      </c>
      <c r="J4527">
        <v>6</v>
      </c>
      <c r="K4527">
        <v>39</v>
      </c>
      <c r="L4527">
        <v>1</v>
      </c>
      <c r="M4527" t="str">
        <f t="shared" si="70"/>
        <v>2010-2020</v>
      </c>
    </row>
    <row r="4528" spans="1:13" hidden="1">
      <c r="A4528" t="s">
        <v>597</v>
      </c>
      <c r="B4528" t="s">
        <v>6276</v>
      </c>
      <c r="C4528" s="1">
        <v>44404</v>
      </c>
      <c r="D4528" s="2">
        <v>41071094</v>
      </c>
      <c r="E4528" s="2">
        <v>14309</v>
      </c>
      <c r="F4528">
        <v>59</v>
      </c>
      <c r="G4528" s="2">
        <v>332271837</v>
      </c>
      <c r="H4528" s="2">
        <v>2651163</v>
      </c>
      <c r="I4528" s="2">
        <v>772766174</v>
      </c>
      <c r="J4528">
        <v>3</v>
      </c>
      <c r="L4528">
        <v>0</v>
      </c>
      <c r="M4528" t="str">
        <f t="shared" si="70"/>
        <v>After 2020</v>
      </c>
    </row>
    <row r="4529" spans="1:13" hidden="1">
      <c r="A4529" t="s">
        <v>6277</v>
      </c>
      <c r="B4529" t="s">
        <v>3357</v>
      </c>
      <c r="C4529" s="1">
        <v>45035</v>
      </c>
      <c r="D4529" s="2">
        <v>162085685</v>
      </c>
      <c r="E4529" s="2">
        <v>20886</v>
      </c>
      <c r="F4529">
        <v>71</v>
      </c>
      <c r="G4529" s="2">
        <v>56665071</v>
      </c>
      <c r="H4529" s="2">
        <v>360527</v>
      </c>
      <c r="J4529">
        <v>16</v>
      </c>
      <c r="K4529">
        <v>104</v>
      </c>
      <c r="L4529">
        <v>0</v>
      </c>
      <c r="M4529" t="str">
        <f t="shared" si="70"/>
        <v>After 2020</v>
      </c>
    </row>
    <row r="4530" spans="1:13">
      <c r="A4530" t="s">
        <v>6278</v>
      </c>
      <c r="B4530" t="s">
        <v>1412</v>
      </c>
      <c r="C4530" s="1">
        <v>43866</v>
      </c>
      <c r="D4530" s="2">
        <v>234126191</v>
      </c>
      <c r="E4530" s="2">
        <v>47086</v>
      </c>
      <c r="F4530">
        <v>58</v>
      </c>
      <c r="G4530" s="2">
        <v>409564436</v>
      </c>
      <c r="H4530" s="2">
        <v>2500771</v>
      </c>
      <c r="I4530" s="2">
        <v>88814154</v>
      </c>
      <c r="J4530">
        <v>68</v>
      </c>
      <c r="K4530">
        <v>31</v>
      </c>
      <c r="L4530">
        <v>1</v>
      </c>
      <c r="M4530" t="str">
        <f t="shared" si="70"/>
        <v>2010-2020</v>
      </c>
    </row>
    <row r="4531" spans="1:13">
      <c r="A4531" t="s">
        <v>6279</v>
      </c>
      <c r="B4531" t="s">
        <v>170</v>
      </c>
      <c r="C4531" s="1">
        <v>44460</v>
      </c>
      <c r="D4531" s="2">
        <v>350738636</v>
      </c>
      <c r="E4531" s="2">
        <v>29760</v>
      </c>
      <c r="F4531">
        <v>66</v>
      </c>
      <c r="G4531" s="2">
        <v>154323126</v>
      </c>
      <c r="H4531" s="2">
        <v>1697768</v>
      </c>
      <c r="I4531" s="2">
        <v>351428481</v>
      </c>
      <c r="J4531">
        <v>42</v>
      </c>
      <c r="K4531">
        <v>285</v>
      </c>
      <c r="L4531">
        <v>1</v>
      </c>
      <c r="M4531" t="str">
        <f t="shared" si="70"/>
        <v>After 2020</v>
      </c>
    </row>
    <row r="4532" spans="1:13" hidden="1">
      <c r="A4532" t="s">
        <v>6280</v>
      </c>
      <c r="B4532" t="s">
        <v>6281</v>
      </c>
      <c r="C4532" s="1">
        <v>45170</v>
      </c>
      <c r="D4532" s="2">
        <v>46714864</v>
      </c>
      <c r="E4532" s="2">
        <v>9858</v>
      </c>
      <c r="G4532" s="2">
        <v>13704932</v>
      </c>
      <c r="H4532" s="2">
        <v>420415</v>
      </c>
      <c r="I4532" s="2">
        <v>1151755306</v>
      </c>
      <c r="L4532">
        <v>0</v>
      </c>
      <c r="M4532" t="str">
        <f t="shared" si="70"/>
        <v>After 2020</v>
      </c>
    </row>
    <row r="4533" spans="1:13">
      <c r="A4533" t="s">
        <v>6282</v>
      </c>
      <c r="B4533" t="s">
        <v>355</v>
      </c>
      <c r="C4533" s="1">
        <v>43607</v>
      </c>
      <c r="D4533" s="2">
        <v>265520736</v>
      </c>
      <c r="E4533" s="2">
        <v>102073</v>
      </c>
      <c r="F4533">
        <v>61</v>
      </c>
      <c r="G4533" s="2">
        <v>267792071</v>
      </c>
      <c r="H4533" s="2">
        <v>2624568</v>
      </c>
      <c r="I4533" s="2">
        <v>46409820</v>
      </c>
      <c r="J4533">
        <v>31</v>
      </c>
      <c r="K4533">
        <v>25</v>
      </c>
      <c r="L4533">
        <v>1</v>
      </c>
      <c r="M4533" t="str">
        <f t="shared" si="70"/>
        <v>2010-2020</v>
      </c>
    </row>
    <row r="4534" spans="1:13" hidden="1">
      <c r="A4534" t="s">
        <v>6283</v>
      </c>
      <c r="B4534" t="s">
        <v>6284</v>
      </c>
      <c r="C4534" s="1">
        <v>45397</v>
      </c>
      <c r="D4534" s="2">
        <v>97901971</v>
      </c>
      <c r="E4534">
        <v>1</v>
      </c>
      <c r="L4534">
        <v>0</v>
      </c>
      <c r="M4534" t="str">
        <f t="shared" si="70"/>
        <v>After 2020</v>
      </c>
    </row>
    <row r="4535" spans="1:13" hidden="1">
      <c r="A4535" t="s">
        <v>6285</v>
      </c>
      <c r="B4535" t="s">
        <v>6286</v>
      </c>
      <c r="C4535" s="1">
        <v>44657</v>
      </c>
      <c r="D4535" s="2">
        <v>223426639</v>
      </c>
      <c r="E4535" s="2">
        <v>36161</v>
      </c>
      <c r="F4535">
        <v>63</v>
      </c>
      <c r="G4535" s="2">
        <v>135822239</v>
      </c>
      <c r="H4535" s="2">
        <v>1770582</v>
      </c>
      <c r="I4535" s="2">
        <v>422027661</v>
      </c>
      <c r="J4535">
        <v>6</v>
      </c>
      <c r="L4535">
        <v>0</v>
      </c>
      <c r="M4535" t="str">
        <f t="shared" si="70"/>
        <v>After 2020</v>
      </c>
    </row>
    <row r="4536" spans="1:13" hidden="1">
      <c r="A4536" t="s">
        <v>6287</v>
      </c>
      <c r="B4536" t="s">
        <v>1723</v>
      </c>
      <c r="C4536" s="1">
        <v>45352</v>
      </c>
      <c r="G4536" s="2">
        <v>51652792</v>
      </c>
      <c r="H4536" s="2">
        <v>512990</v>
      </c>
      <c r="L4536">
        <v>0</v>
      </c>
      <c r="M4536" t="str">
        <f t="shared" si="70"/>
        <v>After 2020</v>
      </c>
    </row>
    <row r="4537" spans="1:13" hidden="1">
      <c r="A4537" t="s">
        <v>6288</v>
      </c>
      <c r="B4537" t="s">
        <v>6289</v>
      </c>
      <c r="C4537" s="1">
        <v>43595</v>
      </c>
      <c r="D4537" s="2">
        <v>128411645</v>
      </c>
      <c r="E4537" s="2">
        <v>25190</v>
      </c>
      <c r="F4537">
        <v>47</v>
      </c>
      <c r="G4537" s="2">
        <v>86561302</v>
      </c>
      <c r="H4537" s="2">
        <v>1275303</v>
      </c>
      <c r="I4537" s="2">
        <v>112331903</v>
      </c>
      <c r="J4537">
        <v>23</v>
      </c>
      <c r="L4537">
        <v>1</v>
      </c>
      <c r="M4537" t="str">
        <f t="shared" si="70"/>
        <v>2010-2020</v>
      </c>
    </row>
    <row r="4538" spans="1:13">
      <c r="A4538" t="s">
        <v>6290</v>
      </c>
      <c r="B4538" t="s">
        <v>5957</v>
      </c>
      <c r="C4538" s="1">
        <v>40544</v>
      </c>
      <c r="D4538" s="2">
        <v>464203349</v>
      </c>
      <c r="E4538" s="2">
        <v>69767</v>
      </c>
      <c r="F4538">
        <v>70</v>
      </c>
      <c r="G4538" s="2">
        <v>192327944</v>
      </c>
      <c r="H4538" s="2">
        <v>1072108</v>
      </c>
      <c r="I4538" s="2">
        <v>136935165</v>
      </c>
      <c r="J4538">
        <v>45</v>
      </c>
      <c r="K4538">
        <v>141</v>
      </c>
      <c r="L4538">
        <v>0</v>
      </c>
      <c r="M4538" t="str">
        <f t="shared" si="70"/>
        <v>2010-2020</v>
      </c>
    </row>
    <row r="4539" spans="1:13" hidden="1">
      <c r="A4539" t="s">
        <v>6291</v>
      </c>
      <c r="B4539" t="s">
        <v>6292</v>
      </c>
      <c r="C4539" s="1">
        <v>45137</v>
      </c>
      <c r="D4539" s="2">
        <v>36975805</v>
      </c>
      <c r="E4539" s="2">
        <v>2385</v>
      </c>
      <c r="G4539" s="2">
        <v>87923967</v>
      </c>
      <c r="H4539" s="2">
        <v>442748</v>
      </c>
      <c r="I4539" s="2">
        <v>724187108</v>
      </c>
      <c r="J4539">
        <v>1</v>
      </c>
      <c r="L4539">
        <v>0</v>
      </c>
      <c r="M4539" t="str">
        <f t="shared" si="70"/>
        <v>After 2020</v>
      </c>
    </row>
    <row r="4540" spans="1:13" hidden="1">
      <c r="A4540" t="s">
        <v>6293</v>
      </c>
      <c r="B4540" t="s">
        <v>6294</v>
      </c>
      <c r="C4540" s="1">
        <v>43035</v>
      </c>
      <c r="D4540" s="2">
        <v>552343934</v>
      </c>
      <c r="E4540" s="2">
        <v>53558</v>
      </c>
      <c r="F4540">
        <v>65</v>
      </c>
      <c r="G4540" s="2">
        <v>274208281</v>
      </c>
      <c r="H4540" s="2">
        <v>1429714</v>
      </c>
      <c r="J4540">
        <v>27</v>
      </c>
      <c r="L4540">
        <v>0</v>
      </c>
      <c r="M4540" t="str">
        <f t="shared" si="70"/>
        <v>2010-2020</v>
      </c>
    </row>
    <row r="4541" spans="1:13" hidden="1">
      <c r="A4541" t="s">
        <v>1552</v>
      </c>
      <c r="B4541" t="s">
        <v>39</v>
      </c>
      <c r="C4541" s="1">
        <v>45014</v>
      </c>
      <c r="D4541" s="2">
        <v>1615456412</v>
      </c>
      <c r="L4541">
        <v>1</v>
      </c>
      <c r="M4541" t="str">
        <f t="shared" si="70"/>
        <v>After 2020</v>
      </c>
    </row>
    <row r="4542" spans="1:13" hidden="1">
      <c r="A4542" t="s">
        <v>6295</v>
      </c>
      <c r="B4542" t="s">
        <v>6296</v>
      </c>
      <c r="C4542" s="1">
        <v>45365</v>
      </c>
      <c r="D4542" s="2">
        <v>9084361</v>
      </c>
      <c r="E4542">
        <v>605</v>
      </c>
      <c r="F4542">
        <v>62</v>
      </c>
      <c r="G4542" s="2">
        <v>35055854</v>
      </c>
      <c r="H4542" s="2">
        <v>164536</v>
      </c>
      <c r="J4542">
        <v>8</v>
      </c>
      <c r="L4542">
        <v>0</v>
      </c>
      <c r="M4542" t="str">
        <f t="shared" si="70"/>
        <v>After 2020</v>
      </c>
    </row>
    <row r="4543" spans="1:13" hidden="1">
      <c r="A4543" t="s">
        <v>6297</v>
      </c>
      <c r="B4543" t="s">
        <v>6298</v>
      </c>
      <c r="C4543" s="1">
        <v>45408</v>
      </c>
      <c r="L4543">
        <v>0</v>
      </c>
      <c r="M4543" t="str">
        <f t="shared" si="70"/>
        <v>After 2020</v>
      </c>
    </row>
    <row r="4544" spans="1:13">
      <c r="A4544" t="s">
        <v>6299</v>
      </c>
      <c r="B4544" t="s">
        <v>371</v>
      </c>
      <c r="C4544" s="1">
        <v>43889</v>
      </c>
      <c r="D4544" s="2">
        <v>377746254</v>
      </c>
      <c r="E4544" s="2">
        <v>41379</v>
      </c>
      <c r="F4544">
        <v>62</v>
      </c>
      <c r="G4544" s="2">
        <v>192582605</v>
      </c>
      <c r="H4544" s="2">
        <v>2080748</v>
      </c>
      <c r="I4544" s="2">
        <v>102362534</v>
      </c>
      <c r="J4544">
        <v>111</v>
      </c>
      <c r="K4544">
        <v>145</v>
      </c>
      <c r="L4544">
        <v>0</v>
      </c>
      <c r="M4544" t="str">
        <f t="shared" si="70"/>
        <v>2010-2020</v>
      </c>
    </row>
    <row r="4545" spans="1:13" hidden="1">
      <c r="A4545" t="s">
        <v>6300</v>
      </c>
      <c r="B4545" t="s">
        <v>141</v>
      </c>
      <c r="C4545" s="1">
        <v>45212</v>
      </c>
      <c r="D4545" s="2">
        <v>66274186</v>
      </c>
      <c r="E4545" s="2">
        <v>17090</v>
      </c>
      <c r="G4545" s="2">
        <v>17411507</v>
      </c>
      <c r="H4545" s="2">
        <v>366440</v>
      </c>
      <c r="I4545" s="2">
        <v>4607495</v>
      </c>
      <c r="J4545">
        <v>8</v>
      </c>
      <c r="L4545">
        <v>1</v>
      </c>
      <c r="M4545" t="str">
        <f t="shared" si="70"/>
        <v>After 2020</v>
      </c>
    </row>
    <row r="4546" spans="1:13" hidden="1">
      <c r="A4546" t="s">
        <v>6301</v>
      </c>
      <c r="B4546" t="s">
        <v>5608</v>
      </c>
      <c r="C4546" s="1">
        <v>45428</v>
      </c>
      <c r="D4546" s="2">
        <v>6184259</v>
      </c>
      <c r="E4546" s="2">
        <v>1641</v>
      </c>
      <c r="F4546">
        <v>67</v>
      </c>
      <c r="G4546" s="2">
        <v>1090122</v>
      </c>
      <c r="H4546" s="2">
        <v>43929</v>
      </c>
      <c r="J4546">
        <v>5</v>
      </c>
      <c r="K4546">
        <v>6</v>
      </c>
      <c r="L4546">
        <v>1</v>
      </c>
      <c r="M4546" t="str">
        <f t="shared" si="70"/>
        <v>After 2020</v>
      </c>
    </row>
    <row r="4547" spans="1:13" hidden="1">
      <c r="A4547" t="s">
        <v>6302</v>
      </c>
      <c r="B4547" t="s">
        <v>3208</v>
      </c>
      <c r="C4547" s="1">
        <v>44960</v>
      </c>
      <c r="D4547" s="2">
        <v>278308556</v>
      </c>
      <c r="E4547" s="2">
        <v>22061</v>
      </c>
      <c r="F4547">
        <v>61</v>
      </c>
      <c r="G4547" s="2">
        <v>37305033</v>
      </c>
      <c r="H4547" s="2">
        <v>258130</v>
      </c>
      <c r="J4547">
        <v>12</v>
      </c>
      <c r="L4547">
        <v>0</v>
      </c>
      <c r="M4547" t="str">
        <f t="shared" ref="M4547:M4601" si="71">IF(YEAR(C4547)&lt;2010,"Before 2010",IF(YEAR(C4547)&lt;=2020,"2010-2020","After 2020"))</f>
        <v>After 2020</v>
      </c>
    </row>
    <row r="4548" spans="1:13">
      <c r="A4548" t="s">
        <v>6303</v>
      </c>
      <c r="B4548" t="s">
        <v>1002</v>
      </c>
      <c r="C4548" s="1">
        <v>43707</v>
      </c>
      <c r="D4548" s="2">
        <v>680707791</v>
      </c>
      <c r="E4548" s="2">
        <v>87833</v>
      </c>
      <c r="F4548">
        <v>74</v>
      </c>
      <c r="G4548" s="2">
        <v>48297331</v>
      </c>
      <c r="H4548" s="2">
        <v>611115</v>
      </c>
      <c r="I4548" s="2">
        <v>184535006</v>
      </c>
      <c r="J4548">
        <v>43</v>
      </c>
      <c r="K4548">
        <v>8</v>
      </c>
      <c r="L4548">
        <v>1</v>
      </c>
      <c r="M4548" t="str">
        <f t="shared" si="71"/>
        <v>2010-2020</v>
      </c>
    </row>
    <row r="4549" spans="1:13">
      <c r="A4549" t="s">
        <v>6304</v>
      </c>
      <c r="B4549" t="s">
        <v>879</v>
      </c>
      <c r="C4549" s="1">
        <v>41275</v>
      </c>
      <c r="D4549" s="2">
        <v>412118303</v>
      </c>
      <c r="E4549" s="2">
        <v>56547</v>
      </c>
      <c r="F4549">
        <v>64</v>
      </c>
      <c r="G4549" s="2">
        <v>863861067</v>
      </c>
      <c r="H4549" s="2">
        <v>5523754</v>
      </c>
      <c r="I4549" s="2">
        <v>931798909</v>
      </c>
      <c r="J4549">
        <v>51</v>
      </c>
      <c r="K4549">
        <v>116</v>
      </c>
      <c r="L4549">
        <v>0</v>
      </c>
      <c r="M4549" t="str">
        <f t="shared" si="71"/>
        <v>2010-2020</v>
      </c>
    </row>
    <row r="4550" spans="1:13">
      <c r="A4550" t="s">
        <v>6305</v>
      </c>
      <c r="B4550" t="s">
        <v>6306</v>
      </c>
      <c r="C4550" s="1">
        <v>42271</v>
      </c>
      <c r="D4550" s="2">
        <v>395303355</v>
      </c>
      <c r="E4550" s="2">
        <v>39270</v>
      </c>
      <c r="F4550">
        <v>65</v>
      </c>
      <c r="G4550" s="2">
        <v>1089620434</v>
      </c>
      <c r="H4550" s="2">
        <v>2743125</v>
      </c>
      <c r="I4550" s="2">
        <v>32115493</v>
      </c>
      <c r="J4550">
        <v>73</v>
      </c>
      <c r="K4550">
        <v>3</v>
      </c>
      <c r="L4550">
        <v>0</v>
      </c>
      <c r="M4550" t="str">
        <f t="shared" si="71"/>
        <v>2010-2020</v>
      </c>
    </row>
    <row r="4551" spans="1:13" hidden="1">
      <c r="A4551" t="s">
        <v>6307</v>
      </c>
      <c r="B4551" t="s">
        <v>3777</v>
      </c>
      <c r="C4551" s="1">
        <v>43664</v>
      </c>
      <c r="D4551" s="2">
        <v>593718503</v>
      </c>
      <c r="E4551" s="2">
        <v>73008</v>
      </c>
      <c r="F4551">
        <v>65</v>
      </c>
      <c r="G4551" s="2">
        <v>229847460</v>
      </c>
      <c r="H4551" s="2">
        <v>2270041</v>
      </c>
      <c r="I4551" s="2">
        <v>728210556</v>
      </c>
      <c r="J4551">
        <v>35</v>
      </c>
      <c r="L4551">
        <v>1</v>
      </c>
      <c r="M4551" t="str">
        <f t="shared" si="71"/>
        <v>2010-2020</v>
      </c>
    </row>
    <row r="4552" spans="1:13" hidden="1">
      <c r="A4552" t="s">
        <v>6308</v>
      </c>
      <c r="B4552" t="s">
        <v>1230</v>
      </c>
      <c r="C4552" s="1">
        <v>43728</v>
      </c>
      <c r="D4552" s="2">
        <v>261230912</v>
      </c>
      <c r="E4552" s="2">
        <v>38453</v>
      </c>
      <c r="F4552">
        <v>65</v>
      </c>
      <c r="G4552" s="2">
        <v>1001379</v>
      </c>
      <c r="H4552" s="2">
        <v>14464</v>
      </c>
      <c r="L4552">
        <v>1</v>
      </c>
      <c r="M4552" t="str">
        <f t="shared" si="71"/>
        <v>2010-2020</v>
      </c>
    </row>
    <row r="4553" spans="1:13" hidden="1">
      <c r="A4553" t="s">
        <v>6309</v>
      </c>
      <c r="B4553" t="s">
        <v>200</v>
      </c>
      <c r="C4553" s="1">
        <v>45099</v>
      </c>
      <c r="D4553" s="2">
        <v>148341816</v>
      </c>
      <c r="E4553" s="2">
        <v>16108</v>
      </c>
      <c r="F4553">
        <v>69</v>
      </c>
      <c r="G4553" s="2">
        <v>52338032</v>
      </c>
      <c r="H4553" s="2">
        <v>196543</v>
      </c>
      <c r="J4553">
        <v>4</v>
      </c>
      <c r="L4553">
        <v>1</v>
      </c>
      <c r="M4553" t="str">
        <f t="shared" si="71"/>
        <v>After 2020</v>
      </c>
    </row>
    <row r="4554" spans="1:13" hidden="1">
      <c r="A4554" t="s">
        <v>6310</v>
      </c>
      <c r="B4554" t="s">
        <v>2493</v>
      </c>
      <c r="C4554" s="1">
        <v>45429</v>
      </c>
      <c r="D4554" s="2">
        <v>3970523</v>
      </c>
      <c r="E4554" s="2">
        <v>1230</v>
      </c>
      <c r="F4554">
        <v>67</v>
      </c>
      <c r="G4554" s="2">
        <v>408201</v>
      </c>
      <c r="H4554" s="2">
        <v>9173</v>
      </c>
      <c r="J4554">
        <v>2</v>
      </c>
      <c r="L4554">
        <v>1</v>
      </c>
      <c r="M4554" t="str">
        <f t="shared" si="71"/>
        <v>After 2020</v>
      </c>
    </row>
    <row r="4555" spans="1:13" hidden="1">
      <c r="A4555" t="s">
        <v>6311</v>
      </c>
      <c r="B4555" t="s">
        <v>141</v>
      </c>
      <c r="C4555" s="1">
        <v>45212</v>
      </c>
      <c r="D4555" s="2">
        <v>74331462</v>
      </c>
      <c r="E4555" s="2">
        <v>17357</v>
      </c>
      <c r="G4555" s="2">
        <v>16756062</v>
      </c>
      <c r="H4555" s="2">
        <v>212522</v>
      </c>
      <c r="I4555" s="2">
        <v>3288335</v>
      </c>
      <c r="J4555">
        <v>4</v>
      </c>
      <c r="L4555">
        <v>1</v>
      </c>
      <c r="M4555" t="str">
        <f t="shared" si="71"/>
        <v>After 2020</v>
      </c>
    </row>
    <row r="4556" spans="1:13">
      <c r="A4556" t="s">
        <v>6312</v>
      </c>
      <c r="B4556" t="s">
        <v>6313</v>
      </c>
      <c r="C4556" s="1">
        <v>43679</v>
      </c>
      <c r="D4556" s="2">
        <v>118934988</v>
      </c>
      <c r="E4556" s="2">
        <v>14432</v>
      </c>
      <c r="F4556">
        <v>60</v>
      </c>
      <c r="G4556" s="2">
        <v>528359923</v>
      </c>
      <c r="H4556" s="2">
        <v>4933066</v>
      </c>
      <c r="I4556" s="2">
        <v>132642128</v>
      </c>
      <c r="J4556">
        <v>14</v>
      </c>
      <c r="K4556">
        <v>165</v>
      </c>
      <c r="L4556">
        <v>0</v>
      </c>
      <c r="M4556" t="str">
        <f t="shared" si="71"/>
        <v>2010-2020</v>
      </c>
    </row>
    <row r="4557" spans="1:13" hidden="1">
      <c r="A4557" t="s">
        <v>6314</v>
      </c>
      <c r="B4557" t="s">
        <v>6315</v>
      </c>
      <c r="C4557" s="1">
        <v>44140</v>
      </c>
      <c r="D4557" s="2">
        <v>160979905</v>
      </c>
      <c r="E4557" s="2">
        <v>23825</v>
      </c>
      <c r="F4557">
        <v>57</v>
      </c>
      <c r="G4557" s="2">
        <v>280111313</v>
      </c>
      <c r="H4557" s="2">
        <v>2138306</v>
      </c>
      <c r="I4557" s="2">
        <v>1074096649</v>
      </c>
      <c r="J4557">
        <v>20</v>
      </c>
      <c r="L4557">
        <v>0</v>
      </c>
      <c r="M4557" t="str">
        <f t="shared" si="71"/>
        <v>2010-2020</v>
      </c>
    </row>
    <row r="4558" spans="1:13">
      <c r="A4558" t="s">
        <v>6316</v>
      </c>
      <c r="B4558" t="s">
        <v>51</v>
      </c>
      <c r="C4558" s="1">
        <v>44042</v>
      </c>
      <c r="D4558" s="2">
        <v>461892532</v>
      </c>
      <c r="E4558" s="2">
        <v>69326</v>
      </c>
      <c r="F4558">
        <v>64</v>
      </c>
      <c r="G4558" s="2">
        <v>175821589</v>
      </c>
      <c r="H4558" s="2">
        <v>5873880</v>
      </c>
      <c r="I4558" s="2">
        <v>123540119</v>
      </c>
      <c r="J4558">
        <v>94</v>
      </c>
      <c r="K4558">
        <v>101</v>
      </c>
      <c r="L4558">
        <v>0</v>
      </c>
      <c r="M4558" t="str">
        <f t="shared" si="71"/>
        <v>2010-2020</v>
      </c>
    </row>
    <row r="4559" spans="1:13">
      <c r="A4559" t="s">
        <v>6317</v>
      </c>
      <c r="B4559" t="s">
        <v>6318</v>
      </c>
      <c r="C4559" s="1">
        <v>39083</v>
      </c>
      <c r="D4559" s="2">
        <v>858734232</v>
      </c>
      <c r="E4559" s="2">
        <v>177813</v>
      </c>
      <c r="F4559">
        <v>78</v>
      </c>
      <c r="G4559" s="2">
        <v>671323389</v>
      </c>
      <c r="H4559" s="2">
        <v>3052958</v>
      </c>
      <c r="I4559" s="2">
        <v>318483532</v>
      </c>
      <c r="J4559">
        <v>100</v>
      </c>
      <c r="K4559">
        <v>347</v>
      </c>
      <c r="L4559">
        <v>0</v>
      </c>
      <c r="M4559" t="str">
        <f t="shared" si="71"/>
        <v>Before 2010</v>
      </c>
    </row>
    <row r="4560" spans="1:13">
      <c r="A4560" t="s">
        <v>6319</v>
      </c>
      <c r="B4560" t="s">
        <v>81</v>
      </c>
      <c r="C4560" s="1">
        <v>43294</v>
      </c>
      <c r="D4560" s="2">
        <v>1064927546</v>
      </c>
      <c r="E4560" s="2">
        <v>83580</v>
      </c>
      <c r="F4560">
        <v>70</v>
      </c>
      <c r="G4560" s="2">
        <v>120105486</v>
      </c>
      <c r="H4560" s="2">
        <v>1141821</v>
      </c>
      <c r="I4560" s="2">
        <v>2480889</v>
      </c>
      <c r="J4560">
        <v>90</v>
      </c>
      <c r="K4560">
        <v>60</v>
      </c>
      <c r="L4560">
        <v>1</v>
      </c>
      <c r="M4560" t="str">
        <f t="shared" si="71"/>
        <v>2010-2020</v>
      </c>
    </row>
    <row r="4561" spans="1:13" hidden="1">
      <c r="A4561" t="s">
        <v>6320</v>
      </c>
      <c r="B4561" t="s">
        <v>1040</v>
      </c>
      <c r="C4561" s="1">
        <v>44757</v>
      </c>
      <c r="D4561" s="2">
        <v>138349331</v>
      </c>
      <c r="E4561" s="2">
        <v>15155</v>
      </c>
      <c r="F4561">
        <v>59</v>
      </c>
      <c r="G4561" s="2">
        <v>2006799</v>
      </c>
      <c r="H4561" s="2">
        <v>61403</v>
      </c>
      <c r="I4561" s="2">
        <v>3723954244</v>
      </c>
      <c r="J4561">
        <v>7</v>
      </c>
      <c r="L4561">
        <v>0</v>
      </c>
      <c r="M4561" t="str">
        <f t="shared" si="71"/>
        <v>After 2020</v>
      </c>
    </row>
    <row r="4562" spans="1:13" hidden="1">
      <c r="A4562" t="s">
        <v>6321</v>
      </c>
      <c r="B4562" t="s">
        <v>1563</v>
      </c>
      <c r="C4562" s="1">
        <v>44260</v>
      </c>
      <c r="E4562">
        <v>2</v>
      </c>
      <c r="G4562" s="2">
        <v>580802207</v>
      </c>
      <c r="H4562" s="2">
        <v>3484299</v>
      </c>
      <c r="L4562">
        <v>0</v>
      </c>
      <c r="M4562" t="str">
        <f t="shared" si="71"/>
        <v>After 2020</v>
      </c>
    </row>
    <row r="4563" spans="1:13" hidden="1">
      <c r="A4563" t="s">
        <v>6322</v>
      </c>
      <c r="B4563" t="s">
        <v>1570</v>
      </c>
      <c r="C4563" s="1">
        <v>45436</v>
      </c>
      <c r="D4563" s="2">
        <v>1633647</v>
      </c>
      <c r="E4563">
        <v>160</v>
      </c>
      <c r="G4563" s="2">
        <v>9700826</v>
      </c>
      <c r="H4563" s="2">
        <v>164575</v>
      </c>
      <c r="J4563">
        <v>8</v>
      </c>
      <c r="L4563">
        <v>0</v>
      </c>
      <c r="M4563" t="str">
        <f t="shared" si="71"/>
        <v>After 2020</v>
      </c>
    </row>
    <row r="4564" spans="1:13" hidden="1">
      <c r="A4564" t="s">
        <v>6323</v>
      </c>
      <c r="B4564" t="s">
        <v>1613</v>
      </c>
      <c r="C4564" s="1">
        <v>43643</v>
      </c>
      <c r="D4564" s="2">
        <v>353038338</v>
      </c>
      <c r="E4564" s="2">
        <v>64001</v>
      </c>
      <c r="F4564">
        <v>66</v>
      </c>
      <c r="G4564" s="2">
        <v>309458776</v>
      </c>
      <c r="H4564" s="2">
        <v>4303644</v>
      </c>
      <c r="I4564" s="2">
        <v>38818268</v>
      </c>
      <c r="J4564">
        <v>7</v>
      </c>
      <c r="L4564">
        <v>0</v>
      </c>
      <c r="M4564" t="str">
        <f t="shared" si="71"/>
        <v>2010-2020</v>
      </c>
    </row>
    <row r="4565" spans="1:13">
      <c r="A4565" t="s">
        <v>6324</v>
      </c>
      <c r="B4565" t="s">
        <v>3604</v>
      </c>
      <c r="C4565" s="1">
        <v>43363</v>
      </c>
      <c r="D4565" s="2">
        <v>50739695</v>
      </c>
      <c r="E4565" s="2">
        <v>7202</v>
      </c>
      <c r="F4565">
        <v>34</v>
      </c>
      <c r="G4565" s="2">
        <v>858702700</v>
      </c>
      <c r="H4565" s="2">
        <v>4315847</v>
      </c>
      <c r="I4565" s="2">
        <v>4591851</v>
      </c>
      <c r="J4565">
        <v>4</v>
      </c>
      <c r="K4565">
        <v>11</v>
      </c>
      <c r="L4565">
        <v>1</v>
      </c>
      <c r="M4565" t="str">
        <f t="shared" si="71"/>
        <v>2010-2020</v>
      </c>
    </row>
    <row r="4566" spans="1:13" hidden="1">
      <c r="A4566" t="s">
        <v>6325</v>
      </c>
      <c r="B4566" t="s">
        <v>1107</v>
      </c>
      <c r="C4566" s="1">
        <v>43293</v>
      </c>
      <c r="D4566" s="2">
        <v>108748134</v>
      </c>
      <c r="E4566" s="2">
        <v>8561</v>
      </c>
      <c r="F4566">
        <v>68</v>
      </c>
      <c r="G4566" s="2">
        <v>900050812</v>
      </c>
      <c r="H4566" s="2">
        <v>4918218</v>
      </c>
      <c r="I4566" s="2">
        <v>331691</v>
      </c>
      <c r="J4566">
        <v>4</v>
      </c>
      <c r="L4566">
        <v>0</v>
      </c>
      <c r="M4566" t="str">
        <f t="shared" si="71"/>
        <v>2010-2020</v>
      </c>
    </row>
    <row r="4567" spans="1:13">
      <c r="A4567" t="s">
        <v>6326</v>
      </c>
      <c r="B4567" t="s">
        <v>4830</v>
      </c>
      <c r="C4567" s="1">
        <v>43896</v>
      </c>
      <c r="D4567" s="2">
        <v>246615679</v>
      </c>
      <c r="E4567" s="2">
        <v>39348</v>
      </c>
      <c r="F4567">
        <v>63</v>
      </c>
      <c r="G4567" s="2">
        <v>144344028</v>
      </c>
      <c r="H4567" s="2">
        <v>1222484</v>
      </c>
      <c r="I4567" s="2">
        <v>66918543</v>
      </c>
      <c r="J4567">
        <v>56</v>
      </c>
      <c r="K4567">
        <v>81</v>
      </c>
      <c r="L4567">
        <v>1</v>
      </c>
      <c r="M4567" t="str">
        <f t="shared" si="71"/>
        <v>2010-2020</v>
      </c>
    </row>
    <row r="4568" spans="1:13">
      <c r="A4568" t="s">
        <v>6327</v>
      </c>
      <c r="B4568" t="s">
        <v>938</v>
      </c>
      <c r="C4568" s="1">
        <v>42545</v>
      </c>
      <c r="D4568" s="2">
        <v>650511999</v>
      </c>
      <c r="E4568" s="2">
        <v>47448</v>
      </c>
      <c r="F4568">
        <v>67</v>
      </c>
      <c r="G4568" s="2">
        <v>795920437</v>
      </c>
      <c r="H4568" s="2">
        <v>4151098</v>
      </c>
      <c r="I4568" s="2">
        <v>60797733</v>
      </c>
      <c r="J4568">
        <v>56</v>
      </c>
      <c r="K4568">
        <v>37</v>
      </c>
      <c r="L4568">
        <v>0</v>
      </c>
      <c r="M4568" t="str">
        <f t="shared" si="71"/>
        <v>2010-2020</v>
      </c>
    </row>
    <row r="4569" spans="1:13">
      <c r="A4569" t="s">
        <v>6328</v>
      </c>
      <c r="B4569" t="s">
        <v>288</v>
      </c>
      <c r="C4569" s="1">
        <v>44512</v>
      </c>
      <c r="D4569" s="2">
        <v>229232959</v>
      </c>
      <c r="E4569" s="2">
        <v>68879</v>
      </c>
      <c r="F4569">
        <v>61</v>
      </c>
      <c r="G4569" s="2">
        <v>46890832</v>
      </c>
      <c r="H4569" s="2">
        <v>889875</v>
      </c>
      <c r="I4569" s="2">
        <v>61564975</v>
      </c>
      <c r="J4569">
        <v>19</v>
      </c>
      <c r="K4569">
        <v>72</v>
      </c>
      <c r="L4569">
        <v>1</v>
      </c>
      <c r="M4569" t="str">
        <f t="shared" si="71"/>
        <v>After 2020</v>
      </c>
    </row>
    <row r="4570" spans="1:13" hidden="1">
      <c r="A4570" t="s">
        <v>6329</v>
      </c>
      <c r="B4570" t="s">
        <v>6330</v>
      </c>
      <c r="C4570" s="1">
        <v>44729</v>
      </c>
      <c r="D4570" s="2">
        <v>271362772</v>
      </c>
      <c r="E4570">
        <v>128</v>
      </c>
      <c r="F4570">
        <v>25</v>
      </c>
      <c r="J4570">
        <v>15</v>
      </c>
      <c r="L4570">
        <v>0</v>
      </c>
      <c r="M4570" t="str">
        <f t="shared" si="71"/>
        <v>After 2020</v>
      </c>
    </row>
    <row r="4571" spans="1:13" hidden="1">
      <c r="A4571" t="s">
        <v>6331</v>
      </c>
      <c r="B4571" t="s">
        <v>6332</v>
      </c>
      <c r="C4571" s="1">
        <v>42469</v>
      </c>
      <c r="D4571" s="2">
        <v>21092086</v>
      </c>
      <c r="E4571" s="2">
        <v>3414</v>
      </c>
      <c r="F4571">
        <v>45</v>
      </c>
      <c r="G4571" s="2">
        <v>1235706833</v>
      </c>
      <c r="H4571" s="2">
        <v>4131568</v>
      </c>
      <c r="I4571" s="2">
        <v>258442943</v>
      </c>
      <c r="J4571">
        <v>1</v>
      </c>
      <c r="L4571">
        <v>0</v>
      </c>
      <c r="M4571" t="str">
        <f t="shared" si="71"/>
        <v>2010-2020</v>
      </c>
    </row>
    <row r="4572" spans="1:13" hidden="1">
      <c r="A4572" t="s">
        <v>4642</v>
      </c>
      <c r="B4572" t="s">
        <v>6333</v>
      </c>
      <c r="C4572" s="1">
        <v>44890</v>
      </c>
      <c r="D4572" s="2">
        <v>330280</v>
      </c>
      <c r="E4572">
        <v>174</v>
      </c>
      <c r="F4572">
        <v>20</v>
      </c>
      <c r="G4572" s="2">
        <v>6023690</v>
      </c>
      <c r="H4572" s="2">
        <v>52656</v>
      </c>
      <c r="I4572" s="2">
        <v>267911446</v>
      </c>
      <c r="L4572">
        <v>0</v>
      </c>
      <c r="M4572" t="str">
        <f t="shared" si="71"/>
        <v>After 2020</v>
      </c>
    </row>
    <row r="4573" spans="1:13" hidden="1">
      <c r="A4573" t="s">
        <v>6334</v>
      </c>
      <c r="B4573" t="s">
        <v>360</v>
      </c>
      <c r="C4573" s="1">
        <v>44029</v>
      </c>
      <c r="D4573" s="2">
        <v>256297608</v>
      </c>
      <c r="E4573" s="2">
        <v>58370</v>
      </c>
      <c r="F4573">
        <v>62</v>
      </c>
      <c r="G4573" s="2">
        <v>66278933</v>
      </c>
      <c r="H4573" s="2">
        <v>517295</v>
      </c>
      <c r="J4573">
        <v>90</v>
      </c>
      <c r="L4573">
        <v>0</v>
      </c>
      <c r="M4573" t="str">
        <f t="shared" si="71"/>
        <v>2010-2020</v>
      </c>
    </row>
    <row r="4574" spans="1:13" hidden="1">
      <c r="A4574" t="s">
        <v>6335</v>
      </c>
      <c r="B4574" t="s">
        <v>6336</v>
      </c>
      <c r="C4574" s="1">
        <v>44792</v>
      </c>
      <c r="E4574">
        <v>3</v>
      </c>
      <c r="G4574" s="2">
        <v>322528461</v>
      </c>
      <c r="H4574" s="2">
        <v>298488</v>
      </c>
      <c r="L4574">
        <v>0</v>
      </c>
      <c r="M4574" t="str">
        <f t="shared" si="71"/>
        <v>After 2020</v>
      </c>
    </row>
    <row r="4575" spans="1:13">
      <c r="A4575" t="s">
        <v>6337</v>
      </c>
      <c r="B4575" t="s">
        <v>1770</v>
      </c>
      <c r="C4575" s="1">
        <v>44851</v>
      </c>
      <c r="D4575" s="2">
        <v>172321571</v>
      </c>
      <c r="E4575" s="2">
        <v>38159</v>
      </c>
      <c r="F4575">
        <v>61</v>
      </c>
      <c r="G4575" s="2">
        <v>441247</v>
      </c>
      <c r="H4575" s="2">
        <v>5740</v>
      </c>
      <c r="I4575" s="2">
        <v>164453741</v>
      </c>
      <c r="J4575">
        <v>46</v>
      </c>
      <c r="K4575">
        <v>27</v>
      </c>
      <c r="L4575">
        <v>0</v>
      </c>
      <c r="M4575" t="str">
        <f t="shared" si="71"/>
        <v>After 2020</v>
      </c>
    </row>
    <row r="4576" spans="1:13" hidden="1">
      <c r="A4576" t="s">
        <v>6338</v>
      </c>
      <c r="B4576" t="s">
        <v>2394</v>
      </c>
      <c r="C4576" s="1">
        <v>43111</v>
      </c>
      <c r="D4576" s="2">
        <v>347754650</v>
      </c>
      <c r="E4576" s="2">
        <v>77541</v>
      </c>
      <c r="F4576">
        <v>65</v>
      </c>
      <c r="G4576" s="2">
        <v>262512471</v>
      </c>
      <c r="H4576" s="2">
        <v>1713131</v>
      </c>
      <c r="I4576" s="2">
        <v>44191712</v>
      </c>
      <c r="J4576">
        <v>17</v>
      </c>
      <c r="L4576">
        <v>1</v>
      </c>
      <c r="M4576" t="str">
        <f t="shared" si="71"/>
        <v>2010-2020</v>
      </c>
    </row>
    <row r="4577" spans="1:13" hidden="1">
      <c r="A4577" t="s">
        <v>6339</v>
      </c>
      <c r="B4577" t="s">
        <v>1643</v>
      </c>
      <c r="C4577" s="1">
        <v>40909</v>
      </c>
      <c r="D4577" s="2">
        <v>1088273121</v>
      </c>
      <c r="E4577" s="2">
        <v>203395</v>
      </c>
      <c r="F4577">
        <v>76</v>
      </c>
      <c r="G4577" s="2">
        <v>20942928</v>
      </c>
      <c r="H4577" s="2">
        <v>209498</v>
      </c>
      <c r="I4577" s="2">
        <v>115452865</v>
      </c>
      <c r="J4577">
        <v>142</v>
      </c>
      <c r="L4577">
        <v>0</v>
      </c>
      <c r="M4577" t="str">
        <f t="shared" si="71"/>
        <v>2010-2020</v>
      </c>
    </row>
    <row r="4578" spans="1:13">
      <c r="A4578" t="s">
        <v>6340</v>
      </c>
      <c r="B4578" t="s">
        <v>81</v>
      </c>
      <c r="C4578" s="1">
        <v>42307</v>
      </c>
      <c r="D4578" s="2">
        <v>315697428</v>
      </c>
      <c r="E4578" s="2">
        <v>27166</v>
      </c>
      <c r="F4578">
        <v>57</v>
      </c>
      <c r="G4578" s="2">
        <v>1033104472</v>
      </c>
      <c r="H4578" s="2">
        <v>6459847</v>
      </c>
      <c r="I4578" s="2">
        <v>61451981</v>
      </c>
      <c r="J4578">
        <v>84</v>
      </c>
      <c r="K4578">
        <v>1</v>
      </c>
      <c r="L4578">
        <v>0</v>
      </c>
      <c r="M4578" t="str">
        <f t="shared" si="71"/>
        <v>2010-2020</v>
      </c>
    </row>
    <row r="4579" spans="1:13">
      <c r="A4579" t="s">
        <v>6341</v>
      </c>
      <c r="B4579" t="s">
        <v>6342</v>
      </c>
      <c r="C4579" s="1">
        <v>43161</v>
      </c>
      <c r="D4579" s="2">
        <v>583209382</v>
      </c>
      <c r="E4579" s="2">
        <v>66332</v>
      </c>
      <c r="F4579">
        <v>71</v>
      </c>
      <c r="G4579" s="2">
        <v>561013544</v>
      </c>
      <c r="H4579" s="2">
        <v>4030692</v>
      </c>
      <c r="I4579" s="2">
        <v>187698778</v>
      </c>
      <c r="J4579">
        <v>27</v>
      </c>
      <c r="K4579">
        <v>4</v>
      </c>
      <c r="L4579">
        <v>1</v>
      </c>
      <c r="M4579" t="str">
        <f t="shared" si="71"/>
        <v>2010-2020</v>
      </c>
    </row>
    <row r="4580" spans="1:13" hidden="1">
      <c r="A4580" t="s">
        <v>6343</v>
      </c>
      <c r="B4580" t="s">
        <v>6344</v>
      </c>
      <c r="C4580" s="1">
        <v>44959</v>
      </c>
      <c r="E4580">
        <v>8</v>
      </c>
      <c r="F4580">
        <v>1</v>
      </c>
      <c r="G4580" s="2">
        <v>235195644</v>
      </c>
      <c r="H4580" s="2">
        <v>194030</v>
      </c>
      <c r="L4580">
        <v>0</v>
      </c>
      <c r="M4580" t="str">
        <f t="shared" si="71"/>
        <v>After 2020</v>
      </c>
    </row>
    <row r="4581" spans="1:13" hidden="1">
      <c r="A4581" t="s">
        <v>6345</v>
      </c>
      <c r="B4581" t="s">
        <v>2131</v>
      </c>
      <c r="C4581" s="1">
        <v>45002</v>
      </c>
      <c r="D4581" s="2">
        <v>23388367</v>
      </c>
      <c r="E4581" s="2">
        <v>9896</v>
      </c>
      <c r="F4581">
        <v>50</v>
      </c>
      <c r="G4581" s="2">
        <v>42955563</v>
      </c>
      <c r="H4581" s="2">
        <v>460377</v>
      </c>
      <c r="I4581" s="2">
        <v>511034419</v>
      </c>
      <c r="K4581">
        <v>837</v>
      </c>
      <c r="L4581">
        <v>1</v>
      </c>
      <c r="M4581" t="str">
        <f t="shared" si="71"/>
        <v>After 2020</v>
      </c>
    </row>
    <row r="4582" spans="1:13">
      <c r="A4582" t="s">
        <v>6346</v>
      </c>
      <c r="B4582" t="s">
        <v>3165</v>
      </c>
      <c r="C4582" s="1">
        <v>45100</v>
      </c>
      <c r="D4582" s="2">
        <v>122999909</v>
      </c>
      <c r="E4582" s="2">
        <v>24570</v>
      </c>
      <c r="F4582">
        <v>69</v>
      </c>
      <c r="G4582" s="2">
        <v>16644597</v>
      </c>
      <c r="H4582" s="2">
        <v>357403</v>
      </c>
      <c r="I4582" s="2">
        <v>697596</v>
      </c>
      <c r="J4582">
        <v>23</v>
      </c>
      <c r="K4582">
        <v>314</v>
      </c>
      <c r="L4582">
        <v>0</v>
      </c>
      <c r="M4582" t="str">
        <f t="shared" si="71"/>
        <v>After 2020</v>
      </c>
    </row>
    <row r="4583" spans="1:13" hidden="1">
      <c r="A4583" t="s">
        <v>6347</v>
      </c>
      <c r="B4583" t="s">
        <v>6348</v>
      </c>
      <c r="C4583" s="1">
        <v>44162</v>
      </c>
      <c r="D4583" s="2">
        <v>211596324</v>
      </c>
      <c r="E4583" s="2">
        <v>92484</v>
      </c>
      <c r="F4583">
        <v>61</v>
      </c>
      <c r="G4583" s="2">
        <v>95279761</v>
      </c>
      <c r="H4583" s="2">
        <v>1240432</v>
      </c>
      <c r="I4583" s="2">
        <v>296502190</v>
      </c>
      <c r="J4583">
        <v>3</v>
      </c>
      <c r="L4583">
        <v>1</v>
      </c>
      <c r="M4583" t="str">
        <f t="shared" si="71"/>
        <v>2010-2020</v>
      </c>
    </row>
    <row r="4584" spans="1:13" hidden="1">
      <c r="A4584" t="s">
        <v>6349</v>
      </c>
      <c r="B4584" t="s">
        <v>4619</v>
      </c>
      <c r="C4584" s="1">
        <v>45212</v>
      </c>
      <c r="D4584" s="2">
        <v>63083021</v>
      </c>
      <c r="E4584" s="2">
        <v>18060</v>
      </c>
      <c r="G4584" s="2">
        <v>5393767</v>
      </c>
      <c r="H4584" s="2">
        <v>65609</v>
      </c>
      <c r="I4584" s="2">
        <v>32457</v>
      </c>
      <c r="J4584">
        <v>13</v>
      </c>
      <c r="K4584">
        <v>66</v>
      </c>
      <c r="L4584">
        <v>1</v>
      </c>
      <c r="M4584" t="str">
        <f t="shared" si="71"/>
        <v>After 2020</v>
      </c>
    </row>
    <row r="4585" spans="1:13" hidden="1">
      <c r="A4585" t="s">
        <v>6350</v>
      </c>
      <c r="B4585" t="s">
        <v>4277</v>
      </c>
      <c r="C4585" s="1">
        <v>44365</v>
      </c>
      <c r="D4585" s="2">
        <v>225962467</v>
      </c>
      <c r="E4585" s="2">
        <v>76523</v>
      </c>
      <c r="F4585">
        <v>62</v>
      </c>
      <c r="G4585" s="2">
        <v>25819662</v>
      </c>
      <c r="H4585" s="2">
        <v>466288</v>
      </c>
      <c r="I4585" s="2">
        <v>421102345</v>
      </c>
      <c r="J4585">
        <v>10</v>
      </c>
      <c r="L4585">
        <v>0</v>
      </c>
      <c r="M4585" t="str">
        <f t="shared" si="71"/>
        <v>After 2020</v>
      </c>
    </row>
    <row r="4586" spans="1:13">
      <c r="A4586" t="s">
        <v>6351</v>
      </c>
      <c r="B4586" t="s">
        <v>459</v>
      </c>
      <c r="C4586" s="1">
        <v>43839</v>
      </c>
      <c r="D4586" s="2">
        <v>485274842</v>
      </c>
      <c r="E4586" s="2">
        <v>65140</v>
      </c>
      <c r="F4586">
        <v>58</v>
      </c>
      <c r="G4586" s="2">
        <v>257045287</v>
      </c>
      <c r="H4586" s="2">
        <v>2076627</v>
      </c>
      <c r="I4586" s="2">
        <v>96188508</v>
      </c>
      <c r="J4586">
        <v>76</v>
      </c>
      <c r="K4586">
        <v>116</v>
      </c>
      <c r="L4586">
        <v>0</v>
      </c>
      <c r="M4586" t="str">
        <f t="shared" si="71"/>
        <v>2010-2020</v>
      </c>
    </row>
    <row r="4587" spans="1:13">
      <c r="A4587" t="s">
        <v>6352</v>
      </c>
      <c r="B4587" t="s">
        <v>1480</v>
      </c>
      <c r="C4587" s="1">
        <v>45082</v>
      </c>
      <c r="D4587" s="2">
        <v>59629684</v>
      </c>
      <c r="E4587" s="2">
        <v>29361</v>
      </c>
      <c r="F4587">
        <v>63</v>
      </c>
      <c r="G4587" s="2">
        <v>5737464</v>
      </c>
      <c r="H4587" s="2">
        <v>71512</v>
      </c>
      <c r="I4587" s="2">
        <v>889338</v>
      </c>
      <c r="J4587">
        <v>22</v>
      </c>
      <c r="K4587">
        <v>56</v>
      </c>
      <c r="L4587">
        <v>1</v>
      </c>
      <c r="M4587" t="str">
        <f t="shared" si="71"/>
        <v>After 2020</v>
      </c>
    </row>
    <row r="4588" spans="1:13" hidden="1">
      <c r="A4588" t="s">
        <v>2861</v>
      </c>
      <c r="B4588" t="s">
        <v>6353</v>
      </c>
      <c r="C4588" s="1">
        <v>43069</v>
      </c>
      <c r="D4588" s="2">
        <v>8402</v>
      </c>
      <c r="E4588">
        <v>4</v>
      </c>
      <c r="G4588" s="2">
        <v>1152050786</v>
      </c>
      <c r="H4588" s="2">
        <v>8477904</v>
      </c>
      <c r="L4588">
        <v>0</v>
      </c>
      <c r="M4588" t="str">
        <f t="shared" si="71"/>
        <v>2010-2020</v>
      </c>
    </row>
    <row r="4589" spans="1:13">
      <c r="A4589" t="s">
        <v>6354</v>
      </c>
      <c r="B4589" t="s">
        <v>2472</v>
      </c>
      <c r="C4589" s="1">
        <v>43404</v>
      </c>
      <c r="D4589" s="2">
        <v>285851797</v>
      </c>
      <c r="E4589" s="2">
        <v>41294</v>
      </c>
      <c r="F4589">
        <v>57</v>
      </c>
      <c r="G4589" s="2">
        <v>658375389</v>
      </c>
      <c r="H4589" s="2">
        <v>2669794</v>
      </c>
      <c r="I4589" s="2">
        <v>15966689</v>
      </c>
      <c r="J4589">
        <v>16</v>
      </c>
      <c r="K4589">
        <v>6</v>
      </c>
      <c r="L4589">
        <v>0</v>
      </c>
      <c r="M4589" t="str">
        <f t="shared" si="71"/>
        <v>2010-2020</v>
      </c>
    </row>
    <row r="4590" spans="1:13" hidden="1">
      <c r="A4590" t="s">
        <v>6355</v>
      </c>
      <c r="B4590" t="s">
        <v>6356</v>
      </c>
      <c r="C4590" s="1">
        <v>44917</v>
      </c>
      <c r="D4590" s="2">
        <v>242231</v>
      </c>
      <c r="E4590">
        <v>390</v>
      </c>
      <c r="F4590">
        <v>25</v>
      </c>
      <c r="G4590" s="2">
        <v>240491474</v>
      </c>
      <c r="H4590" s="2">
        <v>1805305</v>
      </c>
      <c r="L4590">
        <v>1</v>
      </c>
      <c r="M4590" t="str">
        <f t="shared" si="71"/>
        <v>After 2020</v>
      </c>
    </row>
    <row r="4591" spans="1:13" hidden="1">
      <c r="A4591" t="s">
        <v>6357</v>
      </c>
      <c r="B4591" t="s">
        <v>6358</v>
      </c>
      <c r="C4591" s="1">
        <v>44991</v>
      </c>
      <c r="D4591" s="2">
        <v>42735162</v>
      </c>
      <c r="E4591" s="2">
        <v>6811</v>
      </c>
      <c r="F4591">
        <v>56</v>
      </c>
      <c r="G4591" s="2">
        <v>152880323</v>
      </c>
      <c r="H4591" s="2">
        <v>477528</v>
      </c>
      <c r="I4591" s="2">
        <v>55394779</v>
      </c>
      <c r="J4591">
        <v>4</v>
      </c>
      <c r="L4591">
        <v>0</v>
      </c>
      <c r="M4591" t="str">
        <f t="shared" si="71"/>
        <v>After 2020</v>
      </c>
    </row>
    <row r="4592" spans="1:13">
      <c r="A4592" t="s">
        <v>107</v>
      </c>
      <c r="B4592" t="s">
        <v>66</v>
      </c>
      <c r="C4592" s="1">
        <v>44701</v>
      </c>
      <c r="D4592" s="2">
        <v>377242486</v>
      </c>
      <c r="E4592" s="2">
        <v>42233</v>
      </c>
      <c r="F4592">
        <v>68</v>
      </c>
      <c r="G4592" s="2">
        <v>46848683</v>
      </c>
      <c r="H4592" s="2">
        <v>1141593</v>
      </c>
      <c r="I4592" s="2">
        <v>224312083</v>
      </c>
      <c r="J4592">
        <v>21</v>
      </c>
      <c r="K4592">
        <v>218</v>
      </c>
      <c r="L4592">
        <v>0</v>
      </c>
      <c r="M4592" t="str">
        <f t="shared" si="71"/>
        <v>After 2020</v>
      </c>
    </row>
    <row r="4593" spans="1:13">
      <c r="A4593" t="s">
        <v>6359</v>
      </c>
      <c r="B4593" t="s">
        <v>1767</v>
      </c>
      <c r="C4593" s="1">
        <v>42909</v>
      </c>
      <c r="D4593" s="2">
        <v>472408276</v>
      </c>
      <c r="E4593" s="2">
        <v>84220</v>
      </c>
      <c r="F4593">
        <v>69</v>
      </c>
      <c r="G4593" s="2">
        <v>181335841</v>
      </c>
      <c r="H4593" s="2">
        <v>2086235</v>
      </c>
      <c r="I4593" s="2">
        <v>3526073258</v>
      </c>
      <c r="J4593">
        <v>33</v>
      </c>
      <c r="K4593">
        <v>13</v>
      </c>
      <c r="L4593">
        <v>0</v>
      </c>
      <c r="M4593" t="str">
        <f t="shared" si="71"/>
        <v>2010-2020</v>
      </c>
    </row>
    <row r="4594" spans="1:13" hidden="1">
      <c r="A4594" t="s">
        <v>6360</v>
      </c>
      <c r="B4594" t="s">
        <v>6361</v>
      </c>
      <c r="C4594" s="1">
        <v>45261</v>
      </c>
      <c r="D4594" s="2">
        <v>25822176</v>
      </c>
      <c r="E4594" s="2">
        <v>15387</v>
      </c>
      <c r="G4594" s="2">
        <v>7041124</v>
      </c>
      <c r="H4594" s="2">
        <v>127998</v>
      </c>
      <c r="I4594" s="2">
        <v>31061916</v>
      </c>
      <c r="J4594">
        <v>8</v>
      </c>
      <c r="L4594">
        <v>0</v>
      </c>
      <c r="M4594" t="str">
        <f t="shared" si="71"/>
        <v>After 2020</v>
      </c>
    </row>
    <row r="4595" spans="1:13" hidden="1">
      <c r="A4595" t="s">
        <v>6362</v>
      </c>
      <c r="B4595" t="s">
        <v>2642</v>
      </c>
      <c r="C4595" s="1">
        <v>45378</v>
      </c>
      <c r="D4595" s="2">
        <v>3754914</v>
      </c>
      <c r="E4595">
        <v>101</v>
      </c>
      <c r="G4595" s="2">
        <v>34315313</v>
      </c>
      <c r="H4595" s="2">
        <v>431343</v>
      </c>
      <c r="J4595">
        <v>1</v>
      </c>
      <c r="L4595">
        <v>0</v>
      </c>
      <c r="M4595" t="str">
        <f t="shared" si="71"/>
        <v>After 2020</v>
      </c>
    </row>
    <row r="4596" spans="1:13" hidden="1">
      <c r="A4596" t="s">
        <v>6363</v>
      </c>
      <c r="B4596" t="s">
        <v>6364</v>
      </c>
      <c r="C4596" s="1">
        <v>45415</v>
      </c>
      <c r="D4596" s="2">
        <v>5092789</v>
      </c>
      <c r="E4596">
        <v>685</v>
      </c>
      <c r="F4596">
        <v>62</v>
      </c>
      <c r="G4596" s="2">
        <v>10423004</v>
      </c>
      <c r="H4596" s="2">
        <v>288976</v>
      </c>
      <c r="I4596" s="2">
        <v>27800</v>
      </c>
      <c r="J4596">
        <v>7</v>
      </c>
      <c r="L4596">
        <v>1</v>
      </c>
      <c r="M4596" t="str">
        <f t="shared" si="71"/>
        <v>After 2020</v>
      </c>
    </row>
    <row r="4597" spans="1:13" hidden="1">
      <c r="A4597" t="s">
        <v>6365</v>
      </c>
      <c r="B4597" t="s">
        <v>2321</v>
      </c>
      <c r="C4597" s="1">
        <v>42983</v>
      </c>
      <c r="D4597" s="2">
        <v>305049963</v>
      </c>
      <c r="E4597" s="2">
        <v>65770</v>
      </c>
      <c r="F4597">
        <v>71</v>
      </c>
      <c r="G4597" s="2">
        <v>149247747</v>
      </c>
      <c r="H4597" s="2">
        <v>1397590</v>
      </c>
      <c r="I4597" s="2">
        <v>143934379</v>
      </c>
      <c r="J4597">
        <v>3</v>
      </c>
      <c r="L4597">
        <v>1</v>
      </c>
      <c r="M4597" t="str">
        <f t="shared" si="71"/>
        <v>2010-2020</v>
      </c>
    </row>
    <row r="4598" spans="1:13" hidden="1">
      <c r="A4598" t="s">
        <v>6366</v>
      </c>
      <c r="B4598" t="s">
        <v>4038</v>
      </c>
      <c r="C4598" s="1">
        <v>43308</v>
      </c>
      <c r="D4598" s="2">
        <v>52282360</v>
      </c>
      <c r="E4598" s="2">
        <v>4602</v>
      </c>
      <c r="F4598">
        <v>56</v>
      </c>
      <c r="G4598" s="2">
        <v>943920245</v>
      </c>
      <c r="H4598" s="2">
        <v>5347766</v>
      </c>
      <c r="I4598" s="2">
        <v>19935</v>
      </c>
      <c r="J4598">
        <v>1</v>
      </c>
      <c r="L4598">
        <v>0</v>
      </c>
      <c r="M4598" t="str">
        <f t="shared" si="71"/>
        <v>2010-2020</v>
      </c>
    </row>
    <row r="4599" spans="1:13" hidden="1">
      <c r="A4599" t="s">
        <v>6367</v>
      </c>
      <c r="B4599" t="s">
        <v>449</v>
      </c>
      <c r="C4599" s="1">
        <v>43889</v>
      </c>
      <c r="D4599" s="2">
        <v>189972685</v>
      </c>
      <c r="E4599" s="2">
        <v>72066</v>
      </c>
      <c r="F4599">
        <v>65</v>
      </c>
      <c r="G4599" s="2">
        <v>201027333</v>
      </c>
      <c r="H4599" s="2">
        <v>1081402</v>
      </c>
      <c r="I4599" s="2">
        <v>36849005</v>
      </c>
      <c r="J4599">
        <v>19</v>
      </c>
      <c r="L4599">
        <v>1</v>
      </c>
      <c r="M4599" t="str">
        <f t="shared" si="71"/>
        <v>2010-2020</v>
      </c>
    </row>
    <row r="4600" spans="1:13" hidden="1">
      <c r="A4600" t="s">
        <v>6368</v>
      </c>
      <c r="B4600" t="s">
        <v>1107</v>
      </c>
      <c r="C4600" s="1">
        <v>42682</v>
      </c>
      <c r="D4600" s="2">
        <v>145467020</v>
      </c>
      <c r="E4600" s="2">
        <v>14037</v>
      </c>
      <c r="F4600">
        <v>66</v>
      </c>
      <c r="G4600" s="2">
        <v>1118595159</v>
      </c>
      <c r="H4600" s="2">
        <v>3868828</v>
      </c>
      <c r="I4600" s="2">
        <v>37757301</v>
      </c>
      <c r="J4600">
        <v>1</v>
      </c>
      <c r="L4600">
        <v>0</v>
      </c>
      <c r="M4600" t="str">
        <f t="shared" si="71"/>
        <v>2010-2020</v>
      </c>
    </row>
    <row r="4601" spans="1:13" hidden="1">
      <c r="A4601" t="s">
        <v>6369</v>
      </c>
      <c r="B4601" t="s">
        <v>1156</v>
      </c>
      <c r="C4601" s="1">
        <v>42836</v>
      </c>
      <c r="D4601" s="2">
        <v>255740653</v>
      </c>
      <c r="E4601" s="2">
        <v>32138</v>
      </c>
      <c r="F4601">
        <v>64</v>
      </c>
      <c r="G4601" s="2">
        <v>866300755</v>
      </c>
      <c r="H4601" s="2">
        <v>3826829</v>
      </c>
      <c r="I4601" s="2">
        <v>70196388</v>
      </c>
      <c r="J4601">
        <v>11</v>
      </c>
      <c r="L4601">
        <v>1</v>
      </c>
      <c r="M4601" t="str">
        <f t="shared" si="71"/>
        <v>2010-2020</v>
      </c>
    </row>
  </sheetData>
  <autoFilter ref="A1:M4601" xr:uid="{36AECC23-CBA1-47F7-A8D7-E0F4294916A5}">
    <filterColumn colId="3">
      <customFilters>
        <customFilter operator="notEqual" val=" "/>
      </customFilters>
    </filterColumn>
    <filterColumn colId="4">
      <customFilters>
        <customFilter operator="notEqual" val=" "/>
      </customFilters>
    </filterColumn>
    <filterColumn colId="5">
      <customFilters>
        <customFilter operator="notEqual" val=" "/>
      </customFilters>
    </filterColumn>
    <filterColumn colId="6">
      <customFilters>
        <customFilter operator="notEqual" val=" "/>
      </customFilters>
    </filterColumn>
    <filterColumn colId="7">
      <customFilters>
        <customFilter operator="notEqual" val=" "/>
      </customFilters>
    </filterColumn>
    <filterColumn colId="8">
      <customFilters>
        <customFilter operator="notEqual" val=" "/>
      </customFilters>
    </filterColumn>
    <filterColumn colId="9">
      <customFilters>
        <customFilter operator="notEqual" val=" "/>
      </customFilters>
    </filterColumn>
    <filterColumn colId="10">
      <customFilters>
        <customFilter operator="notEqual" val=" "/>
      </customFilters>
    </filterColumn>
  </autoFilter>
  <mergeCells count="3">
    <mergeCell ref="S1:W6"/>
    <mergeCell ref="Q15:Q23"/>
    <mergeCell ref="P3:Q3"/>
  </mergeCells>
  <phoneticPr fontId="22" type="noConversion"/>
  <hyperlinks>
    <hyperlink ref="P3" r:id="rId1" xr:uid="{8DE9F6F4-515C-438E-9E81-FCE74457C77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28065-5C66-471F-AFE2-24112D2863C7}">
  <dimension ref="A1:P2135"/>
  <sheetViews>
    <sheetView workbookViewId="0">
      <selection activeCell="O6" sqref="O6"/>
    </sheetView>
  </sheetViews>
  <sheetFormatPr defaultRowHeight="14.5"/>
  <sheetData>
    <row r="1" spans="1:16">
      <c r="A1" t="s">
        <v>0</v>
      </c>
      <c r="B1" t="s">
        <v>1</v>
      </c>
      <c r="C1" t="s">
        <v>2</v>
      </c>
      <c r="D1" t="s">
        <v>3</v>
      </c>
      <c r="E1" t="s">
        <v>4</v>
      </c>
      <c r="F1" t="s">
        <v>5</v>
      </c>
      <c r="G1" t="s">
        <v>6</v>
      </c>
      <c r="H1" t="s">
        <v>7</v>
      </c>
      <c r="I1" t="s">
        <v>8</v>
      </c>
      <c r="J1" t="s">
        <v>9</v>
      </c>
      <c r="K1" t="s">
        <v>10</v>
      </c>
      <c r="L1" t="s">
        <v>11</v>
      </c>
      <c r="M1" t="s">
        <v>12</v>
      </c>
    </row>
    <row r="2" spans="1:16">
      <c r="A2" t="s">
        <v>15</v>
      </c>
      <c r="B2" t="s">
        <v>16</v>
      </c>
      <c r="C2">
        <v>45408</v>
      </c>
      <c r="D2">
        <v>390470936</v>
      </c>
      <c r="E2">
        <v>30716</v>
      </c>
      <c r="F2">
        <v>92</v>
      </c>
      <c r="G2">
        <v>84274754</v>
      </c>
      <c r="H2">
        <v>1713126</v>
      </c>
      <c r="I2">
        <v>5332281936</v>
      </c>
      <c r="J2">
        <v>210</v>
      </c>
      <c r="K2">
        <v>684</v>
      </c>
      <c r="L2">
        <v>0</v>
      </c>
      <c r="M2" t="s">
        <v>6370</v>
      </c>
    </row>
    <row r="3" spans="1:16">
      <c r="A3" t="s">
        <v>18</v>
      </c>
      <c r="B3" t="s">
        <v>19</v>
      </c>
      <c r="C3">
        <v>45416</v>
      </c>
      <c r="D3">
        <v>323703884</v>
      </c>
      <c r="E3">
        <v>28113</v>
      </c>
      <c r="F3">
        <v>92</v>
      </c>
      <c r="G3">
        <v>116347040</v>
      </c>
      <c r="H3">
        <v>3486739</v>
      </c>
      <c r="I3">
        <v>208339025</v>
      </c>
      <c r="J3">
        <v>188</v>
      </c>
      <c r="K3">
        <v>3</v>
      </c>
      <c r="L3">
        <v>1</v>
      </c>
      <c r="M3" t="s">
        <v>6370</v>
      </c>
    </row>
    <row r="4" spans="1:16">
      <c r="A4" t="s">
        <v>21</v>
      </c>
      <c r="B4" t="s">
        <v>22</v>
      </c>
      <c r="C4">
        <v>45370</v>
      </c>
      <c r="D4">
        <v>601309283</v>
      </c>
      <c r="E4">
        <v>54331</v>
      </c>
      <c r="F4">
        <v>92</v>
      </c>
      <c r="G4">
        <v>122599116</v>
      </c>
      <c r="H4">
        <v>2228730</v>
      </c>
      <c r="I4">
        <v>3369120610</v>
      </c>
      <c r="J4">
        <v>190</v>
      </c>
      <c r="K4">
        <v>536</v>
      </c>
      <c r="L4">
        <v>0</v>
      </c>
      <c r="M4" t="s">
        <v>6370</v>
      </c>
      <c r="P4">
        <f>MIN(D2:D2135)</f>
        <v>301362</v>
      </c>
    </row>
    <row r="5" spans="1:16">
      <c r="A5" t="s">
        <v>23</v>
      </c>
      <c r="B5" t="s">
        <v>24</v>
      </c>
      <c r="C5">
        <v>44938</v>
      </c>
      <c r="D5">
        <v>2031280633</v>
      </c>
      <c r="E5">
        <v>269802</v>
      </c>
      <c r="F5">
        <v>85</v>
      </c>
      <c r="G5">
        <v>1096100899</v>
      </c>
      <c r="H5">
        <v>10629796</v>
      </c>
      <c r="I5">
        <v>14603725994</v>
      </c>
      <c r="J5">
        <v>394</v>
      </c>
      <c r="K5">
        <v>2182</v>
      </c>
      <c r="L5">
        <v>0</v>
      </c>
      <c r="M5" t="s">
        <v>6370</v>
      </c>
    </row>
    <row r="6" spans="1:16">
      <c r="A6" t="s">
        <v>29</v>
      </c>
      <c r="B6" t="s">
        <v>30</v>
      </c>
      <c r="C6">
        <v>45240</v>
      </c>
      <c r="D6">
        <v>670665438</v>
      </c>
      <c r="E6">
        <v>105892</v>
      </c>
      <c r="F6">
        <v>83</v>
      </c>
      <c r="G6">
        <v>131148091</v>
      </c>
      <c r="H6">
        <v>1392593</v>
      </c>
      <c r="I6">
        <v>2938686633</v>
      </c>
      <c r="J6">
        <v>138</v>
      </c>
      <c r="K6">
        <v>4654</v>
      </c>
      <c r="L6">
        <v>1</v>
      </c>
      <c r="M6" t="s">
        <v>6370</v>
      </c>
    </row>
    <row r="7" spans="1:16">
      <c r="A7" t="s">
        <v>31</v>
      </c>
      <c r="B7" t="s">
        <v>32</v>
      </c>
      <c r="C7">
        <v>45309</v>
      </c>
      <c r="D7">
        <v>900158751</v>
      </c>
      <c r="E7">
        <v>73118</v>
      </c>
      <c r="F7">
        <v>86</v>
      </c>
      <c r="G7">
        <v>308723145</v>
      </c>
      <c r="H7">
        <v>4120760</v>
      </c>
      <c r="I7">
        <v>534915313</v>
      </c>
      <c r="J7">
        <v>280</v>
      </c>
      <c r="K7">
        <v>429</v>
      </c>
      <c r="L7">
        <v>0</v>
      </c>
      <c r="M7" t="s">
        <v>6370</v>
      </c>
    </row>
    <row r="8" spans="1:16">
      <c r="A8" t="s">
        <v>34</v>
      </c>
      <c r="B8" t="s">
        <v>35</v>
      </c>
      <c r="C8">
        <v>45324</v>
      </c>
      <c r="D8">
        <v>675079153</v>
      </c>
      <c r="E8">
        <v>40094</v>
      </c>
      <c r="F8">
        <v>92</v>
      </c>
      <c r="G8">
        <v>228382568</v>
      </c>
      <c r="H8">
        <v>1439495</v>
      </c>
      <c r="I8">
        <v>3804584163</v>
      </c>
      <c r="J8">
        <v>160</v>
      </c>
      <c r="K8">
        <v>30</v>
      </c>
      <c r="L8">
        <v>1</v>
      </c>
      <c r="M8" t="s">
        <v>6370</v>
      </c>
    </row>
    <row r="9" spans="1:16">
      <c r="A9" t="s">
        <v>42</v>
      </c>
      <c r="B9" t="s">
        <v>43</v>
      </c>
      <c r="C9">
        <v>45435</v>
      </c>
      <c r="D9">
        <v>90676573</v>
      </c>
      <c r="E9">
        <v>10400</v>
      </c>
      <c r="F9">
        <v>86</v>
      </c>
      <c r="G9">
        <v>32735244</v>
      </c>
      <c r="H9">
        <v>988682</v>
      </c>
      <c r="I9">
        <v>974656200</v>
      </c>
      <c r="J9">
        <v>191</v>
      </c>
      <c r="K9">
        <v>117</v>
      </c>
      <c r="L9">
        <v>1</v>
      </c>
      <c r="M9" t="s">
        <v>6370</v>
      </c>
    </row>
    <row r="10" spans="1:16">
      <c r="A10" t="s">
        <v>46</v>
      </c>
      <c r="B10" t="s">
        <v>47</v>
      </c>
      <c r="C10">
        <v>45422</v>
      </c>
      <c r="D10">
        <v>250080413</v>
      </c>
      <c r="E10">
        <v>16219</v>
      </c>
      <c r="F10">
        <v>91</v>
      </c>
      <c r="G10">
        <v>32229063</v>
      </c>
      <c r="H10">
        <v>550191</v>
      </c>
      <c r="I10">
        <v>2100000</v>
      </c>
      <c r="J10">
        <v>157</v>
      </c>
      <c r="K10">
        <v>71</v>
      </c>
      <c r="L10">
        <v>1</v>
      </c>
      <c r="M10" t="s">
        <v>6370</v>
      </c>
    </row>
    <row r="11" spans="1:16">
      <c r="A11" t="s">
        <v>50</v>
      </c>
      <c r="B11" t="s">
        <v>51</v>
      </c>
      <c r="C11">
        <v>45429</v>
      </c>
      <c r="D11">
        <v>221636195</v>
      </c>
      <c r="E11">
        <v>13800</v>
      </c>
      <c r="F11">
        <v>92</v>
      </c>
      <c r="G11">
        <v>40022524</v>
      </c>
      <c r="H11">
        <v>1307290</v>
      </c>
      <c r="I11">
        <v>360017000</v>
      </c>
      <c r="J11">
        <v>244</v>
      </c>
      <c r="K11">
        <v>45</v>
      </c>
      <c r="L11">
        <v>0</v>
      </c>
      <c r="M11" t="s">
        <v>6370</v>
      </c>
    </row>
    <row r="12" spans="1:16">
      <c r="A12" t="s">
        <v>58</v>
      </c>
      <c r="B12" t="s">
        <v>59</v>
      </c>
      <c r="C12">
        <v>45007</v>
      </c>
      <c r="D12">
        <v>925655569</v>
      </c>
      <c r="E12">
        <v>103605</v>
      </c>
      <c r="F12">
        <v>79</v>
      </c>
      <c r="G12">
        <v>934302031</v>
      </c>
      <c r="H12">
        <v>4294166</v>
      </c>
      <c r="I12">
        <v>7499234052</v>
      </c>
      <c r="J12">
        <v>94</v>
      </c>
      <c r="K12">
        <v>228</v>
      </c>
      <c r="L12">
        <v>1</v>
      </c>
      <c r="M12" t="s">
        <v>6370</v>
      </c>
    </row>
    <row r="13" spans="1:16">
      <c r="A13" t="s">
        <v>60</v>
      </c>
      <c r="B13" t="s">
        <v>61</v>
      </c>
      <c r="C13">
        <v>45400</v>
      </c>
      <c r="D13">
        <v>395433400</v>
      </c>
      <c r="E13">
        <v>12784</v>
      </c>
      <c r="F13">
        <v>89</v>
      </c>
      <c r="G13">
        <v>104673836</v>
      </c>
      <c r="H13">
        <v>2484083</v>
      </c>
      <c r="I13">
        <v>207317000</v>
      </c>
      <c r="J13">
        <v>221</v>
      </c>
      <c r="K13">
        <v>3</v>
      </c>
      <c r="L13">
        <v>0</v>
      </c>
      <c r="M13" t="s">
        <v>6370</v>
      </c>
    </row>
    <row r="14" spans="1:16">
      <c r="A14" t="s">
        <v>62</v>
      </c>
      <c r="B14" t="s">
        <v>63</v>
      </c>
      <c r="C14">
        <v>45183</v>
      </c>
      <c r="D14">
        <v>1258569694</v>
      </c>
      <c r="E14">
        <v>105218</v>
      </c>
      <c r="F14">
        <v>87</v>
      </c>
      <c r="G14">
        <v>141646818</v>
      </c>
      <c r="H14">
        <v>1514837</v>
      </c>
      <c r="I14">
        <v>5456156211</v>
      </c>
      <c r="J14">
        <v>207</v>
      </c>
      <c r="K14">
        <v>3310</v>
      </c>
      <c r="L14">
        <v>1</v>
      </c>
      <c r="M14" t="s">
        <v>6370</v>
      </c>
    </row>
    <row r="15" spans="1:16">
      <c r="A15" t="s">
        <v>64</v>
      </c>
      <c r="B15" t="s">
        <v>51</v>
      </c>
      <c r="C15">
        <v>45429</v>
      </c>
      <c r="D15">
        <v>91272461</v>
      </c>
      <c r="E15">
        <v>6499</v>
      </c>
      <c r="F15">
        <v>86</v>
      </c>
      <c r="G15">
        <v>16038053</v>
      </c>
      <c r="H15">
        <v>569377</v>
      </c>
      <c r="I15">
        <v>1225345800</v>
      </c>
      <c r="J15">
        <v>76</v>
      </c>
      <c r="K15">
        <v>1</v>
      </c>
      <c r="L15">
        <v>0</v>
      </c>
      <c r="M15" t="s">
        <v>6370</v>
      </c>
    </row>
    <row r="16" spans="1:16">
      <c r="A16" t="s">
        <v>65</v>
      </c>
      <c r="B16" t="s">
        <v>66</v>
      </c>
      <c r="C16">
        <v>44651</v>
      </c>
      <c r="D16">
        <v>3301814535</v>
      </c>
      <c r="E16">
        <v>407119</v>
      </c>
      <c r="F16">
        <v>87</v>
      </c>
      <c r="G16">
        <v>800899315</v>
      </c>
      <c r="H16">
        <v>9101589</v>
      </c>
      <c r="I16">
        <v>15405881843</v>
      </c>
      <c r="J16">
        <v>455</v>
      </c>
      <c r="K16">
        <v>4909</v>
      </c>
      <c r="L16">
        <v>0</v>
      </c>
      <c r="M16" t="s">
        <v>6370</v>
      </c>
    </row>
    <row r="17" spans="1:13">
      <c r="A17" t="s">
        <v>67</v>
      </c>
      <c r="B17" t="s">
        <v>68</v>
      </c>
      <c r="C17">
        <v>45142</v>
      </c>
      <c r="D17">
        <v>1065399331</v>
      </c>
      <c r="E17">
        <v>170890</v>
      </c>
      <c r="F17">
        <v>78</v>
      </c>
      <c r="G17">
        <v>240970670</v>
      </c>
      <c r="H17">
        <v>2749668</v>
      </c>
      <c r="I17">
        <v>7095564106</v>
      </c>
      <c r="J17">
        <v>158</v>
      </c>
      <c r="K17">
        <v>273</v>
      </c>
      <c r="L17">
        <v>1</v>
      </c>
      <c r="M17" t="s">
        <v>6370</v>
      </c>
    </row>
    <row r="18" spans="1:13">
      <c r="A18" t="s">
        <v>69</v>
      </c>
      <c r="B18" t="s">
        <v>70</v>
      </c>
      <c r="C18">
        <v>45394</v>
      </c>
      <c r="D18">
        <v>547882871</v>
      </c>
      <c r="E18">
        <v>24425</v>
      </c>
      <c r="F18">
        <v>95</v>
      </c>
      <c r="G18">
        <v>107550212</v>
      </c>
      <c r="H18">
        <v>1825761</v>
      </c>
      <c r="I18">
        <v>1379499000</v>
      </c>
      <c r="J18">
        <v>298</v>
      </c>
      <c r="K18">
        <v>236</v>
      </c>
      <c r="L18">
        <v>1</v>
      </c>
      <c r="M18" t="s">
        <v>6370</v>
      </c>
    </row>
    <row r="19" spans="1:13">
      <c r="A19" t="s">
        <v>71</v>
      </c>
      <c r="B19" t="s">
        <v>72</v>
      </c>
      <c r="C19">
        <v>45332</v>
      </c>
      <c r="D19">
        <v>426700979</v>
      </c>
      <c r="E19">
        <v>34044</v>
      </c>
      <c r="F19">
        <v>86</v>
      </c>
      <c r="G19">
        <v>35724356</v>
      </c>
      <c r="H19">
        <v>437980</v>
      </c>
      <c r="I19">
        <v>6518604175</v>
      </c>
      <c r="J19">
        <v>159</v>
      </c>
      <c r="K19">
        <v>257</v>
      </c>
      <c r="L19">
        <v>1</v>
      </c>
      <c r="M19" t="s">
        <v>6370</v>
      </c>
    </row>
    <row r="20" spans="1:13">
      <c r="A20" t="s">
        <v>74</v>
      </c>
      <c r="B20" t="s">
        <v>75</v>
      </c>
      <c r="C20">
        <v>44705</v>
      </c>
      <c r="D20">
        <v>7382759</v>
      </c>
      <c r="E20">
        <v>3504</v>
      </c>
      <c r="F20">
        <v>35</v>
      </c>
      <c r="G20">
        <v>4233958</v>
      </c>
      <c r="H20">
        <v>69990</v>
      </c>
      <c r="I20">
        <v>22918660728</v>
      </c>
      <c r="J20">
        <v>1</v>
      </c>
      <c r="K20">
        <v>439</v>
      </c>
      <c r="L20">
        <v>0</v>
      </c>
      <c r="M20" t="s">
        <v>6370</v>
      </c>
    </row>
    <row r="21" spans="1:13">
      <c r="A21" t="s">
        <v>76</v>
      </c>
      <c r="B21" t="s">
        <v>77</v>
      </c>
      <c r="C21">
        <v>44386</v>
      </c>
      <c r="D21">
        <v>3107100349</v>
      </c>
      <c r="E21">
        <v>451732</v>
      </c>
      <c r="F21">
        <v>78</v>
      </c>
      <c r="G21">
        <v>1256973582</v>
      </c>
      <c r="H21">
        <v>14661425</v>
      </c>
      <c r="I21">
        <v>23712377029</v>
      </c>
      <c r="J21">
        <v>513</v>
      </c>
      <c r="K21">
        <v>4096</v>
      </c>
      <c r="L21">
        <v>1</v>
      </c>
      <c r="M21" t="s">
        <v>6370</v>
      </c>
    </row>
    <row r="22" spans="1:13">
      <c r="A22" t="s">
        <v>78</v>
      </c>
      <c r="B22" t="s">
        <v>79</v>
      </c>
      <c r="C22">
        <v>42339</v>
      </c>
      <c r="D22">
        <v>720822868</v>
      </c>
      <c r="E22">
        <v>60945</v>
      </c>
      <c r="F22">
        <v>71</v>
      </c>
      <c r="G22">
        <v>16322756555</v>
      </c>
      <c r="H22">
        <v>48757673</v>
      </c>
      <c r="I22">
        <v>6577639193</v>
      </c>
      <c r="J22">
        <v>33</v>
      </c>
      <c r="K22">
        <v>142</v>
      </c>
      <c r="L22">
        <v>0</v>
      </c>
      <c r="M22" t="s">
        <v>6371</v>
      </c>
    </row>
    <row r="23" spans="1:13">
      <c r="A23" t="s">
        <v>85</v>
      </c>
      <c r="B23" t="s">
        <v>86</v>
      </c>
      <c r="C23">
        <v>45383</v>
      </c>
      <c r="D23">
        <v>124893397</v>
      </c>
      <c r="E23">
        <v>3479</v>
      </c>
      <c r="F23">
        <v>82</v>
      </c>
      <c r="G23">
        <v>359896095</v>
      </c>
      <c r="H23">
        <v>4907193</v>
      </c>
      <c r="I23">
        <v>390081328</v>
      </c>
      <c r="J23">
        <v>36</v>
      </c>
      <c r="K23">
        <v>32</v>
      </c>
      <c r="L23">
        <v>0</v>
      </c>
      <c r="M23" t="s">
        <v>6370</v>
      </c>
    </row>
    <row r="24" spans="1:13">
      <c r="A24" t="s">
        <v>87</v>
      </c>
      <c r="B24" t="s">
        <v>88</v>
      </c>
      <c r="C24">
        <v>45135</v>
      </c>
      <c r="D24">
        <v>670376179</v>
      </c>
      <c r="E24">
        <v>98450</v>
      </c>
      <c r="F24">
        <v>83</v>
      </c>
      <c r="G24">
        <v>265180930</v>
      </c>
      <c r="H24">
        <v>2566846</v>
      </c>
      <c r="I24">
        <v>3932956380</v>
      </c>
      <c r="J24">
        <v>225</v>
      </c>
      <c r="K24">
        <v>1215</v>
      </c>
      <c r="L24">
        <v>0</v>
      </c>
      <c r="M24" t="s">
        <v>6370</v>
      </c>
    </row>
    <row r="25" spans="1:13">
      <c r="A25" t="s">
        <v>89</v>
      </c>
      <c r="B25" t="s">
        <v>90</v>
      </c>
      <c r="C25">
        <v>45170</v>
      </c>
      <c r="D25">
        <v>750154960</v>
      </c>
      <c r="E25">
        <v>139141</v>
      </c>
      <c r="F25">
        <v>79</v>
      </c>
      <c r="G25">
        <v>118208096</v>
      </c>
      <c r="H25">
        <v>1495758</v>
      </c>
      <c r="I25">
        <v>2231749390</v>
      </c>
      <c r="J25">
        <v>163</v>
      </c>
      <c r="K25">
        <v>856</v>
      </c>
      <c r="L25">
        <v>0</v>
      </c>
      <c r="M25" t="s">
        <v>6370</v>
      </c>
    </row>
    <row r="26" spans="1:13">
      <c r="A26" t="s">
        <v>95</v>
      </c>
      <c r="B26" t="s">
        <v>96</v>
      </c>
      <c r="C26">
        <v>45394</v>
      </c>
      <c r="D26">
        <v>311928522</v>
      </c>
      <c r="E26">
        <v>25766</v>
      </c>
      <c r="F26">
        <v>96</v>
      </c>
      <c r="G26">
        <v>62694868</v>
      </c>
      <c r="H26">
        <v>837616</v>
      </c>
      <c r="I26">
        <v>378313942</v>
      </c>
      <c r="J26">
        <v>149</v>
      </c>
      <c r="K26">
        <v>141</v>
      </c>
      <c r="L26">
        <v>1</v>
      </c>
      <c r="M26" t="s">
        <v>6370</v>
      </c>
    </row>
    <row r="27" spans="1:13">
      <c r="A27" t="s">
        <v>97</v>
      </c>
      <c r="B27" t="s">
        <v>49</v>
      </c>
      <c r="C27">
        <v>45100</v>
      </c>
      <c r="D27">
        <v>775135157</v>
      </c>
      <c r="E27">
        <v>88239</v>
      </c>
      <c r="F27">
        <v>87</v>
      </c>
      <c r="G27">
        <v>139180960</v>
      </c>
      <c r="H27">
        <v>1504385</v>
      </c>
      <c r="I27">
        <v>597513595</v>
      </c>
      <c r="J27">
        <v>215</v>
      </c>
      <c r="K27">
        <v>162</v>
      </c>
      <c r="L27">
        <v>0</v>
      </c>
      <c r="M27" t="s">
        <v>6370</v>
      </c>
    </row>
    <row r="28" spans="1:13">
      <c r="A28" t="s">
        <v>98</v>
      </c>
      <c r="B28" t="s">
        <v>99</v>
      </c>
      <c r="C28">
        <v>45092</v>
      </c>
      <c r="D28">
        <v>759998727</v>
      </c>
      <c r="E28">
        <v>188142</v>
      </c>
      <c r="F28">
        <v>80</v>
      </c>
      <c r="G28">
        <v>94699547</v>
      </c>
      <c r="H28">
        <v>1222012</v>
      </c>
      <c r="I28">
        <v>3281790327</v>
      </c>
      <c r="J28">
        <v>123</v>
      </c>
      <c r="K28">
        <v>4003</v>
      </c>
      <c r="L28">
        <v>1</v>
      </c>
      <c r="M28" t="s">
        <v>6370</v>
      </c>
    </row>
    <row r="29" spans="1:13">
      <c r="A29" t="s">
        <v>100</v>
      </c>
      <c r="B29" t="s">
        <v>101</v>
      </c>
      <c r="C29">
        <v>43595</v>
      </c>
      <c r="D29">
        <v>3071214106</v>
      </c>
      <c r="E29">
        <v>375201</v>
      </c>
      <c r="F29">
        <v>71</v>
      </c>
      <c r="G29">
        <v>3366447481</v>
      </c>
      <c r="H29">
        <v>27240268</v>
      </c>
      <c r="I29">
        <v>5861939942</v>
      </c>
      <c r="J29">
        <v>549</v>
      </c>
      <c r="K29">
        <v>169</v>
      </c>
      <c r="L29">
        <v>0</v>
      </c>
      <c r="M29" t="s">
        <v>6371</v>
      </c>
    </row>
    <row r="30" spans="1:13">
      <c r="A30" t="s">
        <v>102</v>
      </c>
      <c r="B30" t="s">
        <v>51</v>
      </c>
      <c r="C30">
        <v>45429</v>
      </c>
      <c r="D30">
        <v>214237645</v>
      </c>
      <c r="E30">
        <v>10871</v>
      </c>
      <c r="F30">
        <v>92</v>
      </c>
      <c r="G30">
        <v>11033725</v>
      </c>
      <c r="H30">
        <v>251373</v>
      </c>
      <c r="I30">
        <v>443104700</v>
      </c>
      <c r="J30">
        <v>247</v>
      </c>
      <c r="K30">
        <v>8</v>
      </c>
      <c r="L30">
        <v>0</v>
      </c>
      <c r="M30" t="s">
        <v>6370</v>
      </c>
    </row>
    <row r="31" spans="1:13">
      <c r="A31" t="s">
        <v>105</v>
      </c>
      <c r="B31" t="s">
        <v>106</v>
      </c>
      <c r="C31">
        <v>44799</v>
      </c>
      <c r="D31">
        <v>1658229422</v>
      </c>
      <c r="E31">
        <v>262248</v>
      </c>
      <c r="F31">
        <v>83</v>
      </c>
      <c r="G31">
        <v>466080689</v>
      </c>
      <c r="H31">
        <v>4324989</v>
      </c>
      <c r="I31">
        <v>1051836430</v>
      </c>
      <c r="J31">
        <v>285</v>
      </c>
      <c r="K31">
        <v>2487</v>
      </c>
      <c r="L31">
        <v>1</v>
      </c>
      <c r="M31" t="s">
        <v>6370</v>
      </c>
    </row>
    <row r="32" spans="1:13">
      <c r="A32" t="s">
        <v>107</v>
      </c>
      <c r="B32" t="s">
        <v>108</v>
      </c>
      <c r="C32">
        <v>45030</v>
      </c>
      <c r="D32">
        <v>1126820069</v>
      </c>
      <c r="E32">
        <v>177800</v>
      </c>
      <c r="F32">
        <v>82</v>
      </c>
      <c r="G32">
        <v>274070101</v>
      </c>
      <c r="H32">
        <v>3701289</v>
      </c>
      <c r="I32">
        <v>2578518632</v>
      </c>
      <c r="J32">
        <v>163</v>
      </c>
      <c r="K32">
        <v>96</v>
      </c>
      <c r="L32">
        <v>0</v>
      </c>
      <c r="M32" t="s">
        <v>6370</v>
      </c>
    </row>
    <row r="33" spans="1:13">
      <c r="A33" t="s">
        <v>109</v>
      </c>
      <c r="B33" t="s">
        <v>110</v>
      </c>
      <c r="C33">
        <v>45184</v>
      </c>
      <c r="D33">
        <v>997702304</v>
      </c>
      <c r="E33">
        <v>105927</v>
      </c>
      <c r="F33">
        <v>86</v>
      </c>
      <c r="G33">
        <v>48093111</v>
      </c>
      <c r="H33">
        <v>959175</v>
      </c>
      <c r="I33">
        <v>5469808282</v>
      </c>
      <c r="J33">
        <v>91</v>
      </c>
      <c r="K33">
        <v>2676</v>
      </c>
      <c r="L33">
        <v>0</v>
      </c>
      <c r="M33" t="s">
        <v>6370</v>
      </c>
    </row>
    <row r="34" spans="1:13">
      <c r="A34" t="s">
        <v>111</v>
      </c>
      <c r="B34" t="s">
        <v>70</v>
      </c>
      <c r="C34">
        <v>45449</v>
      </c>
      <c r="D34">
        <v>59314441</v>
      </c>
      <c r="E34">
        <v>2572</v>
      </c>
      <c r="F34">
        <v>83</v>
      </c>
      <c r="G34">
        <v>22374807</v>
      </c>
      <c r="H34">
        <v>1026097</v>
      </c>
      <c r="I34">
        <v>1200000</v>
      </c>
      <c r="J34">
        <v>199</v>
      </c>
      <c r="K34">
        <v>2</v>
      </c>
      <c r="L34">
        <v>1</v>
      </c>
      <c r="M34" t="s">
        <v>6370</v>
      </c>
    </row>
    <row r="35" spans="1:13">
      <c r="A35" t="s">
        <v>27</v>
      </c>
      <c r="B35" t="s">
        <v>112</v>
      </c>
      <c r="C35">
        <v>45239</v>
      </c>
      <c r="D35">
        <v>493627071</v>
      </c>
      <c r="E35">
        <v>45300</v>
      </c>
      <c r="F35">
        <v>80</v>
      </c>
      <c r="G35">
        <v>150571504</v>
      </c>
      <c r="H35">
        <v>1575378</v>
      </c>
      <c r="I35">
        <v>386610043</v>
      </c>
      <c r="J35">
        <v>174</v>
      </c>
      <c r="K35">
        <v>405</v>
      </c>
      <c r="L35">
        <v>0</v>
      </c>
      <c r="M35" t="s">
        <v>6370</v>
      </c>
    </row>
    <row r="36" spans="1:13">
      <c r="A36" t="s">
        <v>113</v>
      </c>
      <c r="B36" t="s">
        <v>114</v>
      </c>
      <c r="C36">
        <v>44967</v>
      </c>
      <c r="D36">
        <v>304929492</v>
      </c>
      <c r="E36">
        <v>43923</v>
      </c>
      <c r="F36">
        <v>69</v>
      </c>
      <c r="G36">
        <v>61986821</v>
      </c>
      <c r="H36">
        <v>921044</v>
      </c>
      <c r="I36">
        <v>5684815935</v>
      </c>
      <c r="J36">
        <v>78</v>
      </c>
      <c r="K36">
        <v>822</v>
      </c>
      <c r="L36">
        <v>1</v>
      </c>
      <c r="M36" t="s">
        <v>6370</v>
      </c>
    </row>
    <row r="37" spans="1:13">
      <c r="A37" t="s">
        <v>115</v>
      </c>
      <c r="B37" t="s">
        <v>116</v>
      </c>
      <c r="C37">
        <v>42748</v>
      </c>
      <c r="D37">
        <v>1747093405</v>
      </c>
      <c r="E37">
        <v>178114</v>
      </c>
      <c r="F37">
        <v>74</v>
      </c>
      <c r="G37">
        <v>9537135721</v>
      </c>
      <c r="H37">
        <v>61799279</v>
      </c>
      <c r="I37">
        <v>1143297071</v>
      </c>
      <c r="J37">
        <v>179</v>
      </c>
      <c r="K37">
        <v>116</v>
      </c>
      <c r="L37">
        <v>0</v>
      </c>
      <c r="M37" t="s">
        <v>6371</v>
      </c>
    </row>
    <row r="38" spans="1:13">
      <c r="A38" t="s">
        <v>122</v>
      </c>
      <c r="B38" t="s">
        <v>123</v>
      </c>
      <c r="C38">
        <v>42741</v>
      </c>
      <c r="D38">
        <v>3909458734</v>
      </c>
      <c r="E38">
        <v>316378</v>
      </c>
      <c r="F38">
        <v>80</v>
      </c>
      <c r="G38">
        <v>8013997219</v>
      </c>
      <c r="H38">
        <v>45770887</v>
      </c>
      <c r="I38">
        <v>2320856331</v>
      </c>
      <c r="J38">
        <v>465</v>
      </c>
      <c r="K38">
        <v>282</v>
      </c>
      <c r="L38">
        <v>0</v>
      </c>
      <c r="M38" t="s">
        <v>6371</v>
      </c>
    </row>
    <row r="39" spans="1:13">
      <c r="A39" t="s">
        <v>126</v>
      </c>
      <c r="B39" t="s">
        <v>127</v>
      </c>
      <c r="C39">
        <v>43798</v>
      </c>
      <c r="D39">
        <v>4281468720</v>
      </c>
      <c r="E39">
        <v>590392</v>
      </c>
      <c r="F39">
        <v>83</v>
      </c>
      <c r="G39">
        <v>833807130</v>
      </c>
      <c r="H39">
        <v>10093211</v>
      </c>
      <c r="I39">
        <v>3501177394</v>
      </c>
      <c r="J39">
        <v>859</v>
      </c>
      <c r="K39">
        <v>1116</v>
      </c>
      <c r="L39">
        <v>0</v>
      </c>
      <c r="M39" t="s">
        <v>6371</v>
      </c>
    </row>
    <row r="40" spans="1:13">
      <c r="A40" t="s">
        <v>128</v>
      </c>
      <c r="B40" t="s">
        <v>129</v>
      </c>
      <c r="C40">
        <v>44897</v>
      </c>
      <c r="D40">
        <v>1337619917</v>
      </c>
      <c r="E40">
        <v>228295</v>
      </c>
      <c r="F40">
        <v>80</v>
      </c>
      <c r="G40">
        <v>193982443</v>
      </c>
      <c r="H40">
        <v>2023998</v>
      </c>
      <c r="I40">
        <v>1268862678</v>
      </c>
      <c r="J40">
        <v>152</v>
      </c>
      <c r="K40">
        <v>34</v>
      </c>
      <c r="L40">
        <v>1</v>
      </c>
      <c r="M40" t="s">
        <v>6370</v>
      </c>
    </row>
    <row r="41" spans="1:13">
      <c r="A41" t="s">
        <v>132</v>
      </c>
      <c r="B41" t="s">
        <v>133</v>
      </c>
      <c r="C41">
        <v>44826</v>
      </c>
      <c r="D41">
        <v>1556275789</v>
      </c>
      <c r="E41">
        <v>210583</v>
      </c>
      <c r="F41">
        <v>74</v>
      </c>
      <c r="G41">
        <v>254051906</v>
      </c>
      <c r="H41">
        <v>3364206</v>
      </c>
      <c r="I41">
        <v>7945975878</v>
      </c>
      <c r="J41">
        <v>203</v>
      </c>
      <c r="K41">
        <v>117</v>
      </c>
      <c r="L41">
        <v>0</v>
      </c>
      <c r="M41" t="s">
        <v>6370</v>
      </c>
    </row>
    <row r="42" spans="1:13">
      <c r="A42" t="s">
        <v>138</v>
      </c>
      <c r="B42" t="s">
        <v>139</v>
      </c>
      <c r="C42">
        <v>45425</v>
      </c>
      <c r="D42">
        <v>69729033</v>
      </c>
      <c r="E42">
        <v>2483</v>
      </c>
      <c r="F42">
        <v>81</v>
      </c>
      <c r="G42">
        <v>111310770</v>
      </c>
      <c r="H42">
        <v>1724693</v>
      </c>
      <c r="I42">
        <v>393973528</v>
      </c>
      <c r="J42">
        <v>40</v>
      </c>
      <c r="K42">
        <v>13</v>
      </c>
      <c r="L42">
        <v>0</v>
      </c>
      <c r="M42" t="s">
        <v>6370</v>
      </c>
    </row>
    <row r="43" spans="1:13">
      <c r="A43" t="s">
        <v>140</v>
      </c>
      <c r="B43" t="s">
        <v>141</v>
      </c>
      <c r="C43">
        <v>44687</v>
      </c>
      <c r="D43">
        <v>1811990630</v>
      </c>
      <c r="E43">
        <v>173358</v>
      </c>
      <c r="F43">
        <v>79</v>
      </c>
      <c r="G43">
        <v>1516863120</v>
      </c>
      <c r="H43">
        <v>8870768</v>
      </c>
      <c r="I43">
        <v>6470937272</v>
      </c>
      <c r="J43">
        <v>124</v>
      </c>
      <c r="K43">
        <v>327</v>
      </c>
      <c r="L43">
        <v>1</v>
      </c>
      <c r="M43" t="s">
        <v>6370</v>
      </c>
    </row>
    <row r="44" spans="1:13">
      <c r="A44" t="s">
        <v>144</v>
      </c>
      <c r="B44" t="s">
        <v>121</v>
      </c>
      <c r="C44">
        <v>44602</v>
      </c>
      <c r="D44">
        <v>584427088</v>
      </c>
      <c r="E44">
        <v>182994</v>
      </c>
      <c r="F44">
        <v>68</v>
      </c>
      <c r="G44">
        <v>1141904909</v>
      </c>
      <c r="H44">
        <v>8766235</v>
      </c>
      <c r="I44">
        <v>18216656774</v>
      </c>
      <c r="J44">
        <v>138</v>
      </c>
      <c r="K44">
        <v>759</v>
      </c>
      <c r="L44">
        <v>0</v>
      </c>
      <c r="M44" t="s">
        <v>6370</v>
      </c>
    </row>
    <row r="45" spans="1:13">
      <c r="A45" t="s">
        <v>147</v>
      </c>
      <c r="B45" t="s">
        <v>148</v>
      </c>
      <c r="C45">
        <v>44903</v>
      </c>
      <c r="D45">
        <v>1873746537</v>
      </c>
      <c r="E45">
        <v>190202</v>
      </c>
      <c r="F45">
        <v>82</v>
      </c>
      <c r="G45">
        <v>220538045</v>
      </c>
      <c r="H45">
        <v>3153793</v>
      </c>
      <c r="I45">
        <v>1284413960</v>
      </c>
      <c r="J45">
        <v>214</v>
      </c>
      <c r="K45">
        <v>5448</v>
      </c>
      <c r="L45">
        <v>0</v>
      </c>
      <c r="M45" t="s">
        <v>6370</v>
      </c>
    </row>
    <row r="46" spans="1:13">
      <c r="A46" t="s">
        <v>149</v>
      </c>
      <c r="B46" t="s">
        <v>51</v>
      </c>
      <c r="C46">
        <v>45120</v>
      </c>
      <c r="D46">
        <v>891720245</v>
      </c>
      <c r="E46">
        <v>114560</v>
      </c>
      <c r="F46">
        <v>82</v>
      </c>
      <c r="G46">
        <v>144741616</v>
      </c>
      <c r="H46">
        <v>2761964</v>
      </c>
      <c r="I46">
        <v>3998086216</v>
      </c>
      <c r="J46">
        <v>168</v>
      </c>
      <c r="K46">
        <v>68</v>
      </c>
      <c r="L46">
        <v>0</v>
      </c>
      <c r="M46" t="s">
        <v>6370</v>
      </c>
    </row>
    <row r="47" spans="1:13">
      <c r="A47" t="s">
        <v>152</v>
      </c>
      <c r="B47" t="s">
        <v>153</v>
      </c>
      <c r="C47">
        <v>44011</v>
      </c>
      <c r="D47">
        <v>2996181078</v>
      </c>
      <c r="E47">
        <v>486278</v>
      </c>
      <c r="F47">
        <v>82</v>
      </c>
      <c r="G47">
        <v>1272898075</v>
      </c>
      <c r="H47">
        <v>14947520</v>
      </c>
      <c r="I47">
        <v>5518429969</v>
      </c>
      <c r="J47">
        <v>459</v>
      </c>
      <c r="K47">
        <v>1434</v>
      </c>
      <c r="L47">
        <v>0</v>
      </c>
      <c r="M47" t="s">
        <v>6371</v>
      </c>
    </row>
    <row r="48" spans="1:13">
      <c r="A48" t="s">
        <v>156</v>
      </c>
      <c r="B48" t="s">
        <v>157</v>
      </c>
      <c r="C48">
        <v>44937</v>
      </c>
      <c r="D48">
        <v>946941510</v>
      </c>
      <c r="E48">
        <v>100130</v>
      </c>
      <c r="F48">
        <v>74</v>
      </c>
      <c r="G48">
        <v>776436101</v>
      </c>
      <c r="H48">
        <v>12951756</v>
      </c>
      <c r="I48">
        <v>11936401096</v>
      </c>
      <c r="J48">
        <v>110</v>
      </c>
      <c r="K48">
        <v>180</v>
      </c>
      <c r="L48">
        <v>0</v>
      </c>
      <c r="M48" t="s">
        <v>6370</v>
      </c>
    </row>
    <row r="49" spans="1:13">
      <c r="A49" t="s">
        <v>160</v>
      </c>
      <c r="B49" t="s">
        <v>161</v>
      </c>
      <c r="C49">
        <v>43538</v>
      </c>
      <c r="D49">
        <v>1010494713</v>
      </c>
      <c r="E49">
        <v>127393</v>
      </c>
      <c r="F49">
        <v>67</v>
      </c>
      <c r="G49">
        <v>3203314695</v>
      </c>
      <c r="H49">
        <v>41487213</v>
      </c>
      <c r="I49">
        <v>1981431049</v>
      </c>
      <c r="J49">
        <v>63</v>
      </c>
      <c r="K49">
        <v>2195</v>
      </c>
      <c r="L49">
        <v>0</v>
      </c>
      <c r="M49" t="s">
        <v>6371</v>
      </c>
    </row>
    <row r="50" spans="1:13">
      <c r="A50" t="s">
        <v>162</v>
      </c>
      <c r="B50" t="s">
        <v>163</v>
      </c>
      <c r="C50">
        <v>45033</v>
      </c>
      <c r="D50">
        <v>1008495696</v>
      </c>
      <c r="E50">
        <v>99381</v>
      </c>
      <c r="F50">
        <v>75</v>
      </c>
      <c r="G50">
        <v>878892413</v>
      </c>
      <c r="H50">
        <v>4425283</v>
      </c>
      <c r="I50">
        <v>1669065906</v>
      </c>
      <c r="J50">
        <v>101</v>
      </c>
      <c r="K50">
        <v>225</v>
      </c>
      <c r="L50">
        <v>0</v>
      </c>
      <c r="M50" t="s">
        <v>6370</v>
      </c>
    </row>
    <row r="51" spans="1:13">
      <c r="A51" t="s">
        <v>166</v>
      </c>
      <c r="B51" t="s">
        <v>167</v>
      </c>
      <c r="C51">
        <v>45078</v>
      </c>
      <c r="D51">
        <v>692512930</v>
      </c>
      <c r="E51">
        <v>199828</v>
      </c>
      <c r="F51">
        <v>78</v>
      </c>
      <c r="G51">
        <v>219666692</v>
      </c>
      <c r="H51">
        <v>2332307</v>
      </c>
      <c r="I51">
        <v>1254944697</v>
      </c>
      <c r="J51">
        <v>155</v>
      </c>
      <c r="K51">
        <v>36</v>
      </c>
      <c r="L51">
        <v>1</v>
      </c>
      <c r="M51" t="s">
        <v>6370</v>
      </c>
    </row>
    <row r="52" spans="1:13">
      <c r="A52" t="s">
        <v>169</v>
      </c>
      <c r="B52" t="s">
        <v>170</v>
      </c>
      <c r="C52">
        <v>44980</v>
      </c>
      <c r="D52">
        <v>1024381758</v>
      </c>
      <c r="E52">
        <v>78554</v>
      </c>
      <c r="F52">
        <v>78</v>
      </c>
      <c r="G52">
        <v>1102289596</v>
      </c>
      <c r="H52">
        <v>8953293</v>
      </c>
      <c r="I52">
        <v>248168852</v>
      </c>
      <c r="J52">
        <v>138</v>
      </c>
      <c r="K52">
        <v>38</v>
      </c>
      <c r="L52">
        <v>1</v>
      </c>
      <c r="M52" t="s">
        <v>6370</v>
      </c>
    </row>
    <row r="53" spans="1:13">
      <c r="A53" t="s">
        <v>171</v>
      </c>
      <c r="B53" t="s">
        <v>123</v>
      </c>
      <c r="C53">
        <v>42797</v>
      </c>
      <c r="D53">
        <v>2969999682</v>
      </c>
      <c r="E53">
        <v>280165</v>
      </c>
      <c r="F53">
        <v>81</v>
      </c>
      <c r="G53">
        <v>6473698897</v>
      </c>
      <c r="H53">
        <v>39632673</v>
      </c>
      <c r="I53">
        <v>7647479866</v>
      </c>
      <c r="J53">
        <v>208</v>
      </c>
      <c r="K53">
        <v>129</v>
      </c>
      <c r="L53">
        <v>0</v>
      </c>
      <c r="M53" t="s">
        <v>6371</v>
      </c>
    </row>
    <row r="54" spans="1:13">
      <c r="A54" t="s">
        <v>172</v>
      </c>
      <c r="B54" t="s">
        <v>173</v>
      </c>
      <c r="C54">
        <v>44371</v>
      </c>
      <c r="D54">
        <v>1500499584</v>
      </c>
      <c r="E54">
        <v>359502</v>
      </c>
      <c r="F54">
        <v>74</v>
      </c>
      <c r="G54">
        <v>1431591689</v>
      </c>
      <c r="H54">
        <v>11553088</v>
      </c>
      <c r="I54">
        <v>4067248819</v>
      </c>
      <c r="J54">
        <v>258</v>
      </c>
      <c r="K54">
        <v>438</v>
      </c>
      <c r="L54">
        <v>1</v>
      </c>
      <c r="M54" t="s">
        <v>6370</v>
      </c>
    </row>
    <row r="55" spans="1:13">
      <c r="A55" t="s">
        <v>176</v>
      </c>
      <c r="B55" t="s">
        <v>177</v>
      </c>
      <c r="C55">
        <v>45001</v>
      </c>
      <c r="D55">
        <v>1215336974</v>
      </c>
      <c r="E55">
        <v>129463</v>
      </c>
      <c r="F55">
        <v>74</v>
      </c>
      <c r="G55">
        <v>701880622</v>
      </c>
      <c r="H55">
        <v>3831236</v>
      </c>
      <c r="I55">
        <v>15373104</v>
      </c>
      <c r="J55">
        <v>83</v>
      </c>
      <c r="K55">
        <v>227</v>
      </c>
      <c r="L55">
        <v>0</v>
      </c>
      <c r="M55" t="s">
        <v>6370</v>
      </c>
    </row>
    <row r="56" spans="1:13">
      <c r="A56" t="s">
        <v>178</v>
      </c>
      <c r="B56" t="s">
        <v>112</v>
      </c>
      <c r="C56">
        <v>45071</v>
      </c>
      <c r="D56">
        <v>860026452</v>
      </c>
      <c r="E56">
        <v>74769</v>
      </c>
      <c r="F56">
        <v>80</v>
      </c>
      <c r="G56">
        <v>173044031</v>
      </c>
      <c r="H56">
        <v>1640319</v>
      </c>
      <c r="I56">
        <v>1227837850</v>
      </c>
      <c r="J56">
        <v>7</v>
      </c>
      <c r="K56">
        <v>1100</v>
      </c>
      <c r="L56">
        <v>0</v>
      </c>
      <c r="M56" t="s">
        <v>6370</v>
      </c>
    </row>
    <row r="57" spans="1:13">
      <c r="A57" t="s">
        <v>179</v>
      </c>
      <c r="B57" t="s">
        <v>180</v>
      </c>
      <c r="C57">
        <v>45002</v>
      </c>
      <c r="D57">
        <v>1032225805</v>
      </c>
      <c r="E57">
        <v>94887</v>
      </c>
      <c r="F57">
        <v>79</v>
      </c>
      <c r="G57">
        <v>920878032</v>
      </c>
      <c r="H57">
        <v>3118229</v>
      </c>
      <c r="I57">
        <v>2416141351</v>
      </c>
      <c r="J57">
        <v>83</v>
      </c>
      <c r="K57">
        <v>177</v>
      </c>
      <c r="L57">
        <v>1</v>
      </c>
      <c r="M57" t="s">
        <v>6370</v>
      </c>
    </row>
    <row r="58" spans="1:13">
      <c r="A58" t="s">
        <v>183</v>
      </c>
      <c r="B58" t="s">
        <v>184</v>
      </c>
      <c r="C58">
        <v>44483</v>
      </c>
      <c r="D58">
        <v>1720918065</v>
      </c>
      <c r="E58">
        <v>209635</v>
      </c>
      <c r="F58">
        <v>73</v>
      </c>
      <c r="G58">
        <v>1194846205</v>
      </c>
      <c r="H58">
        <v>13561925</v>
      </c>
      <c r="I58">
        <v>7860224413</v>
      </c>
      <c r="J58">
        <v>325</v>
      </c>
      <c r="K58">
        <v>1316</v>
      </c>
      <c r="L58">
        <v>0</v>
      </c>
      <c r="M58" t="s">
        <v>6370</v>
      </c>
    </row>
    <row r="59" spans="1:13">
      <c r="A59" t="s">
        <v>185</v>
      </c>
      <c r="B59" t="s">
        <v>141</v>
      </c>
      <c r="C59">
        <v>44687</v>
      </c>
      <c r="D59">
        <v>1514239759</v>
      </c>
      <c r="E59">
        <v>190692</v>
      </c>
      <c r="F59">
        <v>77</v>
      </c>
      <c r="G59">
        <v>1366181141</v>
      </c>
      <c r="H59">
        <v>9358441</v>
      </c>
      <c r="I59">
        <v>5249863696</v>
      </c>
      <c r="J59">
        <v>150</v>
      </c>
      <c r="K59">
        <v>920</v>
      </c>
      <c r="L59">
        <v>1</v>
      </c>
      <c r="M59" t="s">
        <v>6370</v>
      </c>
    </row>
    <row r="60" spans="1:13">
      <c r="A60" t="s">
        <v>186</v>
      </c>
      <c r="B60" t="s">
        <v>187</v>
      </c>
      <c r="C60">
        <v>45058</v>
      </c>
      <c r="D60">
        <v>333202114</v>
      </c>
      <c r="E60">
        <v>108322</v>
      </c>
      <c r="F60">
        <v>68</v>
      </c>
      <c r="G60">
        <v>203487345</v>
      </c>
      <c r="H60">
        <v>2084532</v>
      </c>
      <c r="I60">
        <v>748253884</v>
      </c>
      <c r="J60">
        <v>148</v>
      </c>
      <c r="K60">
        <v>146</v>
      </c>
      <c r="L60">
        <v>1</v>
      </c>
      <c r="M60" t="s">
        <v>6370</v>
      </c>
    </row>
    <row r="61" spans="1:13">
      <c r="A61" t="s">
        <v>188</v>
      </c>
      <c r="B61" t="s">
        <v>61</v>
      </c>
      <c r="C61">
        <v>44855</v>
      </c>
      <c r="D61">
        <v>1563224246</v>
      </c>
      <c r="E61">
        <v>117005</v>
      </c>
      <c r="F61">
        <v>80</v>
      </c>
      <c r="G61">
        <v>203259285</v>
      </c>
      <c r="H61">
        <v>3482508</v>
      </c>
      <c r="I61">
        <v>3864505972</v>
      </c>
      <c r="J61">
        <v>261</v>
      </c>
      <c r="K61">
        <v>1088</v>
      </c>
      <c r="L61">
        <v>0</v>
      </c>
      <c r="M61" t="s">
        <v>6370</v>
      </c>
    </row>
    <row r="62" spans="1:13">
      <c r="A62" t="s">
        <v>189</v>
      </c>
      <c r="B62" t="s">
        <v>157</v>
      </c>
      <c r="C62">
        <v>44748</v>
      </c>
      <c r="D62">
        <v>1692951462</v>
      </c>
      <c r="E62">
        <v>209490</v>
      </c>
      <c r="F62">
        <v>78</v>
      </c>
      <c r="G62">
        <v>1132539234</v>
      </c>
      <c r="H62">
        <v>8795731</v>
      </c>
      <c r="I62">
        <v>2054826154</v>
      </c>
      <c r="J62">
        <v>99</v>
      </c>
      <c r="K62">
        <v>37</v>
      </c>
      <c r="L62">
        <v>0</v>
      </c>
      <c r="M62" t="s">
        <v>6370</v>
      </c>
    </row>
    <row r="63" spans="1:13">
      <c r="A63" t="s">
        <v>190</v>
      </c>
      <c r="B63" t="s">
        <v>191</v>
      </c>
      <c r="C63">
        <v>45376</v>
      </c>
      <c r="D63">
        <v>255076355</v>
      </c>
      <c r="E63">
        <v>11500</v>
      </c>
      <c r="F63">
        <v>86</v>
      </c>
      <c r="G63">
        <v>202206901</v>
      </c>
      <c r="H63">
        <v>2596912</v>
      </c>
      <c r="I63">
        <v>506476590</v>
      </c>
      <c r="J63">
        <v>67</v>
      </c>
      <c r="K63">
        <v>137</v>
      </c>
      <c r="L63">
        <v>0</v>
      </c>
      <c r="M63" t="s">
        <v>6370</v>
      </c>
    </row>
    <row r="64" spans="1:13">
      <c r="A64" t="s">
        <v>192</v>
      </c>
      <c r="B64" t="s">
        <v>193</v>
      </c>
      <c r="C64">
        <v>45135</v>
      </c>
      <c r="D64">
        <v>275349653</v>
      </c>
      <c r="E64">
        <v>37806</v>
      </c>
      <c r="F64">
        <v>70</v>
      </c>
      <c r="G64">
        <v>347506860</v>
      </c>
      <c r="H64">
        <v>1553295</v>
      </c>
      <c r="I64">
        <v>4767676439</v>
      </c>
      <c r="J64">
        <v>19</v>
      </c>
      <c r="K64">
        <v>96</v>
      </c>
      <c r="L64">
        <v>1</v>
      </c>
      <c r="M64" t="s">
        <v>6370</v>
      </c>
    </row>
    <row r="65" spans="1:13">
      <c r="A65" t="s">
        <v>194</v>
      </c>
      <c r="B65" t="s">
        <v>195</v>
      </c>
      <c r="C65">
        <v>45262</v>
      </c>
      <c r="D65">
        <v>649404552</v>
      </c>
      <c r="E65">
        <v>27544</v>
      </c>
      <c r="F65">
        <v>83</v>
      </c>
      <c r="G65">
        <v>433839212</v>
      </c>
      <c r="H65">
        <v>2750086</v>
      </c>
      <c r="I65">
        <v>10603563</v>
      </c>
      <c r="J65">
        <v>29</v>
      </c>
      <c r="K65">
        <v>462</v>
      </c>
      <c r="L65">
        <v>0</v>
      </c>
      <c r="M65" t="s">
        <v>6370</v>
      </c>
    </row>
    <row r="66" spans="1:13">
      <c r="A66" t="s">
        <v>196</v>
      </c>
      <c r="B66" t="s">
        <v>197</v>
      </c>
      <c r="C66">
        <v>44960</v>
      </c>
      <c r="D66">
        <v>851085705</v>
      </c>
      <c r="E66">
        <v>129047</v>
      </c>
      <c r="F66">
        <v>70</v>
      </c>
      <c r="G66">
        <v>211810152</v>
      </c>
      <c r="H66">
        <v>2461166</v>
      </c>
      <c r="I66">
        <v>8781020473</v>
      </c>
      <c r="J66">
        <v>162</v>
      </c>
      <c r="K66">
        <v>6243</v>
      </c>
      <c r="L66">
        <v>1</v>
      </c>
      <c r="M66" t="s">
        <v>6370</v>
      </c>
    </row>
    <row r="67" spans="1:13">
      <c r="A67" t="s">
        <v>198</v>
      </c>
      <c r="B67" t="s">
        <v>148</v>
      </c>
      <c r="C67">
        <v>44904</v>
      </c>
      <c r="D67">
        <v>1013350808</v>
      </c>
      <c r="E67">
        <v>108036</v>
      </c>
      <c r="F67">
        <v>84</v>
      </c>
      <c r="G67">
        <v>390677417</v>
      </c>
      <c r="H67">
        <v>2521214</v>
      </c>
      <c r="I67">
        <v>887803828</v>
      </c>
      <c r="J67">
        <v>154</v>
      </c>
      <c r="K67">
        <v>513</v>
      </c>
      <c r="L67">
        <v>1</v>
      </c>
      <c r="M67" t="s">
        <v>6370</v>
      </c>
    </row>
    <row r="68" spans="1:13">
      <c r="A68" t="s">
        <v>199</v>
      </c>
      <c r="B68" t="s">
        <v>200</v>
      </c>
      <c r="C68">
        <v>45267</v>
      </c>
      <c r="D68">
        <v>359803580</v>
      </c>
      <c r="E68">
        <v>26065</v>
      </c>
      <c r="F68">
        <v>86</v>
      </c>
      <c r="G68">
        <v>369321334</v>
      </c>
      <c r="H68">
        <v>1839225</v>
      </c>
      <c r="I68">
        <v>874056250</v>
      </c>
      <c r="J68">
        <v>40</v>
      </c>
      <c r="K68">
        <v>69</v>
      </c>
      <c r="L68">
        <v>1</v>
      </c>
      <c r="M68" t="s">
        <v>6370</v>
      </c>
    </row>
    <row r="69" spans="1:13">
      <c r="A69" t="s">
        <v>202</v>
      </c>
      <c r="B69" t="s">
        <v>203</v>
      </c>
      <c r="C69">
        <v>45149</v>
      </c>
      <c r="D69">
        <v>609699748</v>
      </c>
      <c r="E69">
        <v>128498</v>
      </c>
      <c r="F69">
        <v>83</v>
      </c>
      <c r="G69">
        <v>47611547</v>
      </c>
      <c r="H69">
        <v>418343</v>
      </c>
      <c r="I69">
        <v>1090501901</v>
      </c>
      <c r="J69">
        <v>129</v>
      </c>
      <c r="K69">
        <v>1570</v>
      </c>
      <c r="L69">
        <v>1</v>
      </c>
      <c r="M69" t="s">
        <v>6370</v>
      </c>
    </row>
    <row r="70" spans="1:13">
      <c r="A70" t="s">
        <v>206</v>
      </c>
      <c r="B70" t="s">
        <v>207</v>
      </c>
      <c r="C70">
        <v>45156</v>
      </c>
      <c r="D70">
        <v>242070373</v>
      </c>
      <c r="E70">
        <v>37170</v>
      </c>
      <c r="F70">
        <v>76</v>
      </c>
      <c r="G70">
        <v>22907992</v>
      </c>
      <c r="H70">
        <v>261664</v>
      </c>
      <c r="I70">
        <v>3832221658</v>
      </c>
      <c r="J70">
        <v>106</v>
      </c>
      <c r="K70">
        <v>5999</v>
      </c>
      <c r="L70">
        <v>0</v>
      </c>
      <c r="M70" t="s">
        <v>6370</v>
      </c>
    </row>
    <row r="71" spans="1:13">
      <c r="A71" t="s">
        <v>208</v>
      </c>
      <c r="B71" t="s">
        <v>141</v>
      </c>
      <c r="C71">
        <v>45212</v>
      </c>
      <c r="D71">
        <v>478150858</v>
      </c>
      <c r="E71">
        <v>73306</v>
      </c>
      <c r="F71">
        <v>78</v>
      </c>
      <c r="G71">
        <v>113379734</v>
      </c>
      <c r="H71">
        <v>1312763</v>
      </c>
      <c r="I71">
        <v>2111289492</v>
      </c>
      <c r="J71">
        <v>78</v>
      </c>
      <c r="K71">
        <v>39</v>
      </c>
      <c r="L71">
        <v>1</v>
      </c>
      <c r="M71" t="s">
        <v>6370</v>
      </c>
    </row>
    <row r="72" spans="1:13">
      <c r="A72" t="s">
        <v>212</v>
      </c>
      <c r="B72" t="s">
        <v>112</v>
      </c>
      <c r="C72">
        <v>45337</v>
      </c>
      <c r="D72">
        <v>251153869</v>
      </c>
      <c r="E72">
        <v>16811</v>
      </c>
      <c r="F72">
        <v>76</v>
      </c>
      <c r="G72">
        <v>66691067</v>
      </c>
      <c r="H72">
        <v>961957</v>
      </c>
      <c r="I72">
        <v>431390500</v>
      </c>
      <c r="J72">
        <v>162</v>
      </c>
      <c r="K72">
        <v>57</v>
      </c>
      <c r="L72">
        <v>0</v>
      </c>
      <c r="M72" t="s">
        <v>6370</v>
      </c>
    </row>
    <row r="73" spans="1:13">
      <c r="A73" t="s">
        <v>215</v>
      </c>
      <c r="B73" t="s">
        <v>216</v>
      </c>
      <c r="C73">
        <v>43805</v>
      </c>
      <c r="D73">
        <v>1911559785</v>
      </c>
      <c r="E73">
        <v>317345</v>
      </c>
      <c r="F73">
        <v>78</v>
      </c>
      <c r="G73">
        <v>441257231</v>
      </c>
      <c r="H73">
        <v>4829633</v>
      </c>
      <c r="I73">
        <v>4574447121</v>
      </c>
      <c r="J73">
        <v>255</v>
      </c>
      <c r="K73">
        <v>181</v>
      </c>
      <c r="L73">
        <v>1</v>
      </c>
      <c r="M73" t="s">
        <v>6371</v>
      </c>
    </row>
    <row r="74" spans="1:13">
      <c r="A74" t="s">
        <v>217</v>
      </c>
      <c r="B74" t="s">
        <v>161</v>
      </c>
      <c r="C74">
        <v>44400</v>
      </c>
      <c r="D74">
        <v>2014959725</v>
      </c>
      <c r="E74">
        <v>354831</v>
      </c>
      <c r="F74">
        <v>70</v>
      </c>
      <c r="G74">
        <v>1003346208</v>
      </c>
      <c r="H74">
        <v>16856186</v>
      </c>
      <c r="I74">
        <v>9558947943</v>
      </c>
      <c r="J74">
        <v>360</v>
      </c>
      <c r="K74">
        <v>925</v>
      </c>
      <c r="L74">
        <v>1</v>
      </c>
      <c r="M74" t="s">
        <v>6370</v>
      </c>
    </row>
    <row r="75" spans="1:13">
      <c r="A75" t="s">
        <v>220</v>
      </c>
      <c r="B75" t="s">
        <v>221</v>
      </c>
      <c r="C75">
        <v>45009</v>
      </c>
      <c r="D75">
        <v>518988585</v>
      </c>
      <c r="E75">
        <v>73116</v>
      </c>
      <c r="F75">
        <v>80</v>
      </c>
      <c r="G75">
        <v>107703759</v>
      </c>
      <c r="H75">
        <v>768813</v>
      </c>
      <c r="I75">
        <v>924204888</v>
      </c>
      <c r="J75">
        <v>117</v>
      </c>
      <c r="K75">
        <v>59</v>
      </c>
      <c r="L75">
        <v>0</v>
      </c>
      <c r="M75" t="s">
        <v>6370</v>
      </c>
    </row>
    <row r="76" spans="1:13">
      <c r="A76" t="s">
        <v>232</v>
      </c>
      <c r="B76" t="s">
        <v>233</v>
      </c>
      <c r="C76">
        <v>42766</v>
      </c>
      <c r="D76">
        <v>3006226762</v>
      </c>
      <c r="E76">
        <v>335880</v>
      </c>
      <c r="F76">
        <v>81</v>
      </c>
      <c r="G76">
        <v>4495059988</v>
      </c>
      <c r="H76">
        <v>42240881</v>
      </c>
      <c r="I76">
        <v>5876458723</v>
      </c>
      <c r="J76">
        <v>226</v>
      </c>
      <c r="K76">
        <v>388</v>
      </c>
      <c r="L76">
        <v>0</v>
      </c>
      <c r="M76" t="s">
        <v>6371</v>
      </c>
    </row>
    <row r="77" spans="1:13">
      <c r="A77" t="s">
        <v>234</v>
      </c>
      <c r="B77" t="s">
        <v>53</v>
      </c>
      <c r="C77">
        <v>44678</v>
      </c>
      <c r="D77">
        <v>787155930</v>
      </c>
      <c r="E77">
        <v>183850</v>
      </c>
      <c r="F77">
        <v>77</v>
      </c>
      <c r="G77">
        <v>357772653</v>
      </c>
      <c r="H77">
        <v>2590835</v>
      </c>
      <c r="I77">
        <v>836550889</v>
      </c>
      <c r="J77">
        <v>150</v>
      </c>
      <c r="K77">
        <v>1308</v>
      </c>
      <c r="L77">
        <v>1</v>
      </c>
      <c r="M77" t="s">
        <v>6370</v>
      </c>
    </row>
    <row r="78" spans="1:13">
      <c r="A78" t="s">
        <v>235</v>
      </c>
      <c r="B78" t="s">
        <v>236</v>
      </c>
      <c r="C78">
        <v>45135</v>
      </c>
      <c r="D78">
        <v>532605345</v>
      </c>
      <c r="E78">
        <v>128534</v>
      </c>
      <c r="F78">
        <v>81</v>
      </c>
      <c r="G78">
        <v>97958347</v>
      </c>
      <c r="H78">
        <v>1237197</v>
      </c>
      <c r="I78">
        <v>947194801</v>
      </c>
      <c r="J78">
        <v>46</v>
      </c>
      <c r="K78">
        <v>57</v>
      </c>
      <c r="L78">
        <v>1</v>
      </c>
      <c r="M78" t="s">
        <v>6370</v>
      </c>
    </row>
    <row r="79" spans="1:13">
      <c r="A79" t="s">
        <v>239</v>
      </c>
      <c r="B79" t="s">
        <v>30</v>
      </c>
      <c r="C79">
        <v>44659</v>
      </c>
      <c r="D79">
        <v>818858244</v>
      </c>
      <c r="E79">
        <v>223609</v>
      </c>
      <c r="F79">
        <v>71</v>
      </c>
      <c r="G79">
        <v>231229581</v>
      </c>
      <c r="H79">
        <v>2756840</v>
      </c>
      <c r="I79">
        <v>6890780336</v>
      </c>
      <c r="J79">
        <v>148</v>
      </c>
      <c r="K79">
        <v>4406</v>
      </c>
      <c r="L79">
        <v>1</v>
      </c>
      <c r="M79" t="s">
        <v>6370</v>
      </c>
    </row>
    <row r="80" spans="1:13">
      <c r="A80" t="s">
        <v>240</v>
      </c>
      <c r="B80" t="s">
        <v>236</v>
      </c>
      <c r="C80">
        <v>45135</v>
      </c>
      <c r="D80">
        <v>659010786</v>
      </c>
      <c r="E80">
        <v>129923</v>
      </c>
      <c r="F80">
        <v>86</v>
      </c>
      <c r="G80">
        <v>125203447</v>
      </c>
      <c r="H80">
        <v>1990342</v>
      </c>
      <c r="I80">
        <v>107398826</v>
      </c>
      <c r="J80">
        <v>87</v>
      </c>
      <c r="K80">
        <v>361</v>
      </c>
      <c r="L80">
        <v>1</v>
      </c>
      <c r="M80" t="s">
        <v>6370</v>
      </c>
    </row>
    <row r="81" spans="1:13">
      <c r="A81" t="s">
        <v>244</v>
      </c>
      <c r="B81" t="s">
        <v>245</v>
      </c>
      <c r="C81">
        <v>44694</v>
      </c>
      <c r="D81">
        <v>1607421145</v>
      </c>
      <c r="E81">
        <v>212406</v>
      </c>
      <c r="F81">
        <v>83</v>
      </c>
      <c r="G81">
        <v>409785349</v>
      </c>
      <c r="H81">
        <v>3326477</v>
      </c>
      <c r="I81">
        <v>1825552705</v>
      </c>
      <c r="J81">
        <v>267</v>
      </c>
      <c r="K81">
        <v>3418</v>
      </c>
      <c r="L81">
        <v>0</v>
      </c>
      <c r="M81" t="s">
        <v>6370</v>
      </c>
    </row>
    <row r="82" spans="1:13">
      <c r="A82" t="s">
        <v>246</v>
      </c>
      <c r="B82" t="s">
        <v>170</v>
      </c>
      <c r="C82">
        <v>45148</v>
      </c>
      <c r="D82">
        <v>438796949</v>
      </c>
      <c r="E82">
        <v>23959</v>
      </c>
      <c r="F82">
        <v>78</v>
      </c>
      <c r="G82">
        <v>509727241</v>
      </c>
      <c r="H82">
        <v>2202866</v>
      </c>
      <c r="I82">
        <v>782582119</v>
      </c>
      <c r="J82">
        <v>56</v>
      </c>
      <c r="K82">
        <v>959</v>
      </c>
      <c r="L82">
        <v>0</v>
      </c>
      <c r="M82" t="s">
        <v>6370</v>
      </c>
    </row>
    <row r="83" spans="1:13">
      <c r="A83" t="s">
        <v>249</v>
      </c>
      <c r="B83" t="s">
        <v>250</v>
      </c>
      <c r="C83">
        <v>44036</v>
      </c>
      <c r="D83">
        <v>1867736006</v>
      </c>
      <c r="E83">
        <v>302486</v>
      </c>
      <c r="F83">
        <v>76</v>
      </c>
      <c r="G83">
        <v>747126783</v>
      </c>
      <c r="H83">
        <v>10795292</v>
      </c>
      <c r="I83">
        <v>1768836179</v>
      </c>
      <c r="J83">
        <v>329</v>
      </c>
      <c r="K83">
        <v>1897</v>
      </c>
      <c r="L83">
        <v>1</v>
      </c>
      <c r="M83" t="s">
        <v>6371</v>
      </c>
    </row>
    <row r="84" spans="1:13">
      <c r="A84" t="s">
        <v>251</v>
      </c>
      <c r="B84" t="s">
        <v>252</v>
      </c>
      <c r="C84">
        <v>44064</v>
      </c>
      <c r="D84">
        <v>1872577908</v>
      </c>
      <c r="E84">
        <v>144619</v>
      </c>
      <c r="F84">
        <v>74</v>
      </c>
      <c r="G84">
        <v>2638957320</v>
      </c>
      <c r="H84">
        <v>62311179</v>
      </c>
      <c r="I84">
        <v>5063720138</v>
      </c>
      <c r="J84">
        <v>323</v>
      </c>
      <c r="K84">
        <v>198</v>
      </c>
      <c r="L84">
        <v>0</v>
      </c>
      <c r="M84" t="s">
        <v>6371</v>
      </c>
    </row>
    <row r="85" spans="1:13">
      <c r="A85" t="s">
        <v>255</v>
      </c>
      <c r="B85" t="s">
        <v>256</v>
      </c>
      <c r="C85">
        <v>43412</v>
      </c>
      <c r="D85">
        <v>3427498835</v>
      </c>
      <c r="E85">
        <v>338763</v>
      </c>
      <c r="F85">
        <v>82</v>
      </c>
      <c r="G85">
        <v>2153701892</v>
      </c>
      <c r="H85">
        <v>20891433</v>
      </c>
      <c r="I85">
        <v>2161032034</v>
      </c>
      <c r="J85">
        <v>408</v>
      </c>
      <c r="K85">
        <v>381</v>
      </c>
      <c r="L85">
        <v>0</v>
      </c>
      <c r="M85" t="s">
        <v>6371</v>
      </c>
    </row>
    <row r="86" spans="1:13">
      <c r="A86" t="s">
        <v>257</v>
      </c>
      <c r="B86" t="s">
        <v>258</v>
      </c>
      <c r="C86">
        <v>45057</v>
      </c>
      <c r="D86">
        <v>230849195</v>
      </c>
      <c r="E86">
        <v>23091</v>
      </c>
      <c r="F86">
        <v>64</v>
      </c>
      <c r="G86">
        <v>363082908</v>
      </c>
      <c r="H86">
        <v>5135848</v>
      </c>
      <c r="I86">
        <v>1551501289</v>
      </c>
      <c r="J86">
        <v>49</v>
      </c>
      <c r="K86">
        <v>214</v>
      </c>
      <c r="L86">
        <v>0</v>
      </c>
      <c r="M86" t="s">
        <v>6370</v>
      </c>
    </row>
    <row r="87" spans="1:13">
      <c r="A87" t="s">
        <v>259</v>
      </c>
      <c r="B87" t="s">
        <v>260</v>
      </c>
      <c r="C87">
        <v>44855</v>
      </c>
      <c r="D87">
        <v>720720922</v>
      </c>
      <c r="E87">
        <v>74295</v>
      </c>
      <c r="F87">
        <v>77</v>
      </c>
      <c r="G87">
        <v>221078988</v>
      </c>
      <c r="H87">
        <v>2557839</v>
      </c>
      <c r="I87">
        <v>15247253457</v>
      </c>
      <c r="J87">
        <v>108</v>
      </c>
      <c r="K87">
        <v>5869</v>
      </c>
      <c r="L87">
        <v>0</v>
      </c>
      <c r="M87" t="s">
        <v>6370</v>
      </c>
    </row>
    <row r="88" spans="1:13">
      <c r="A88" t="s">
        <v>265</v>
      </c>
      <c r="B88" t="s">
        <v>266</v>
      </c>
      <c r="C88">
        <v>45107</v>
      </c>
      <c r="D88">
        <v>998964097</v>
      </c>
      <c r="E88">
        <v>90793</v>
      </c>
      <c r="F88">
        <v>18</v>
      </c>
      <c r="G88">
        <v>113450524</v>
      </c>
      <c r="H88">
        <v>2108657</v>
      </c>
      <c r="I88">
        <v>1448207880</v>
      </c>
      <c r="J88">
        <v>173</v>
      </c>
      <c r="K88">
        <v>93</v>
      </c>
      <c r="L88">
        <v>1</v>
      </c>
      <c r="M88" t="s">
        <v>6370</v>
      </c>
    </row>
    <row r="89" spans="1:13">
      <c r="A89" t="s">
        <v>271</v>
      </c>
      <c r="B89" t="s">
        <v>272</v>
      </c>
      <c r="C89">
        <v>44900</v>
      </c>
      <c r="D89">
        <v>631955547</v>
      </c>
      <c r="E89">
        <v>121823</v>
      </c>
      <c r="F89">
        <v>74</v>
      </c>
      <c r="G89">
        <v>305998382</v>
      </c>
      <c r="H89">
        <v>2647341</v>
      </c>
      <c r="I89">
        <v>3233505931</v>
      </c>
      <c r="J89">
        <v>145</v>
      </c>
      <c r="K89">
        <v>202</v>
      </c>
      <c r="L89">
        <v>1</v>
      </c>
      <c r="M89" t="s">
        <v>6370</v>
      </c>
    </row>
    <row r="90" spans="1:13">
      <c r="A90" t="s">
        <v>277</v>
      </c>
      <c r="B90" t="s">
        <v>106</v>
      </c>
      <c r="C90">
        <v>45387</v>
      </c>
      <c r="D90">
        <v>114574238</v>
      </c>
      <c r="E90">
        <v>10564</v>
      </c>
      <c r="F90">
        <v>84</v>
      </c>
      <c r="G90">
        <v>9134225</v>
      </c>
      <c r="H90">
        <v>124326</v>
      </c>
      <c r="I90">
        <v>79796400</v>
      </c>
      <c r="J90">
        <v>87</v>
      </c>
      <c r="K90">
        <v>159</v>
      </c>
      <c r="L90">
        <v>0</v>
      </c>
      <c r="M90" t="s">
        <v>6370</v>
      </c>
    </row>
    <row r="91" spans="1:13">
      <c r="A91" t="s">
        <v>280</v>
      </c>
      <c r="B91" t="s">
        <v>281</v>
      </c>
      <c r="C91">
        <v>44707</v>
      </c>
      <c r="D91">
        <v>1721045197</v>
      </c>
      <c r="E91">
        <v>156941</v>
      </c>
      <c r="F91">
        <v>81</v>
      </c>
      <c r="G91">
        <v>798827877</v>
      </c>
      <c r="H91">
        <v>3379928</v>
      </c>
      <c r="I91">
        <v>2596777974</v>
      </c>
      <c r="J91">
        <v>142</v>
      </c>
      <c r="K91">
        <v>1161</v>
      </c>
      <c r="L91">
        <v>0</v>
      </c>
      <c r="M91" t="s">
        <v>6370</v>
      </c>
    </row>
    <row r="92" spans="1:13">
      <c r="A92" t="s">
        <v>284</v>
      </c>
      <c r="B92" t="s">
        <v>285</v>
      </c>
      <c r="C92">
        <v>44274</v>
      </c>
      <c r="D92">
        <v>1612286123</v>
      </c>
      <c r="E92">
        <v>282719</v>
      </c>
      <c r="F92">
        <v>74</v>
      </c>
      <c r="G92">
        <v>1019256266</v>
      </c>
      <c r="H92">
        <v>10280320</v>
      </c>
      <c r="I92">
        <v>4702037810</v>
      </c>
      <c r="J92">
        <v>348</v>
      </c>
      <c r="K92">
        <v>789</v>
      </c>
      <c r="L92">
        <v>1</v>
      </c>
      <c r="M92" t="s">
        <v>6370</v>
      </c>
    </row>
    <row r="93" spans="1:13">
      <c r="A93" t="s">
        <v>286</v>
      </c>
      <c r="B93" t="s">
        <v>112</v>
      </c>
      <c r="C93">
        <v>43769</v>
      </c>
      <c r="D93">
        <v>2607121959</v>
      </c>
      <c r="E93">
        <v>270230</v>
      </c>
      <c r="F93">
        <v>78</v>
      </c>
      <c r="G93">
        <v>1201600884</v>
      </c>
      <c r="H93">
        <v>10239198</v>
      </c>
      <c r="I93">
        <v>3535661993</v>
      </c>
      <c r="J93">
        <v>581</v>
      </c>
      <c r="K93">
        <v>954</v>
      </c>
      <c r="L93">
        <v>0</v>
      </c>
      <c r="M93" t="s">
        <v>6371</v>
      </c>
    </row>
    <row r="94" spans="1:13">
      <c r="A94" t="s">
        <v>287</v>
      </c>
      <c r="B94" t="s">
        <v>288</v>
      </c>
      <c r="C94">
        <v>43224</v>
      </c>
      <c r="D94">
        <v>2548389305</v>
      </c>
      <c r="E94">
        <v>339306</v>
      </c>
      <c r="F94">
        <v>78</v>
      </c>
      <c r="G94">
        <v>987143411</v>
      </c>
      <c r="H94">
        <v>9384427</v>
      </c>
      <c r="I94">
        <v>338071383</v>
      </c>
      <c r="J94">
        <v>153</v>
      </c>
      <c r="K94">
        <v>132</v>
      </c>
      <c r="L94">
        <v>1</v>
      </c>
      <c r="M94" t="s">
        <v>6371</v>
      </c>
    </row>
    <row r="95" spans="1:13">
      <c r="A95" t="s">
        <v>289</v>
      </c>
      <c r="B95" t="s">
        <v>170</v>
      </c>
      <c r="C95">
        <v>44673</v>
      </c>
      <c r="D95">
        <v>1185929926</v>
      </c>
      <c r="E95">
        <v>103026</v>
      </c>
      <c r="F95">
        <v>76</v>
      </c>
      <c r="G95">
        <v>1229843060</v>
      </c>
      <c r="H95">
        <v>5870729</v>
      </c>
      <c r="I95">
        <v>2829294043</v>
      </c>
      <c r="J95">
        <v>115</v>
      </c>
      <c r="K95">
        <v>688</v>
      </c>
      <c r="L95">
        <v>0</v>
      </c>
      <c r="M95" t="s">
        <v>6370</v>
      </c>
    </row>
    <row r="96" spans="1:13">
      <c r="A96" t="s">
        <v>290</v>
      </c>
      <c r="B96" t="s">
        <v>291</v>
      </c>
      <c r="C96">
        <v>44050</v>
      </c>
      <c r="D96">
        <v>1325725696</v>
      </c>
      <c r="E96">
        <v>171255</v>
      </c>
      <c r="F96">
        <v>72</v>
      </c>
      <c r="G96">
        <v>1329826741</v>
      </c>
      <c r="H96">
        <v>15965491</v>
      </c>
      <c r="I96">
        <v>9539547626</v>
      </c>
      <c r="J96">
        <v>222</v>
      </c>
      <c r="K96">
        <v>306</v>
      </c>
      <c r="L96">
        <v>1</v>
      </c>
      <c r="M96" t="s">
        <v>6371</v>
      </c>
    </row>
    <row r="97" spans="1:13">
      <c r="A97" t="s">
        <v>292</v>
      </c>
      <c r="B97" t="s">
        <v>293</v>
      </c>
      <c r="C97">
        <v>45408</v>
      </c>
      <c r="D97">
        <v>77757035</v>
      </c>
      <c r="E97">
        <v>3407</v>
      </c>
      <c r="F97">
        <v>81</v>
      </c>
      <c r="G97">
        <v>100148771</v>
      </c>
      <c r="H97">
        <v>2531168</v>
      </c>
      <c r="I97">
        <v>366905484</v>
      </c>
      <c r="J97">
        <v>27</v>
      </c>
      <c r="K97">
        <v>51</v>
      </c>
      <c r="L97">
        <v>0</v>
      </c>
      <c r="M97" t="s">
        <v>6370</v>
      </c>
    </row>
    <row r="98" spans="1:13">
      <c r="A98" t="s">
        <v>298</v>
      </c>
      <c r="B98" t="s">
        <v>299</v>
      </c>
      <c r="C98">
        <v>45121</v>
      </c>
      <c r="D98">
        <v>1673557134</v>
      </c>
      <c r="E98">
        <v>54950</v>
      </c>
      <c r="F98">
        <v>80</v>
      </c>
      <c r="G98">
        <v>397523735</v>
      </c>
      <c r="H98">
        <v>10125293</v>
      </c>
      <c r="I98">
        <v>761760624</v>
      </c>
      <c r="J98">
        <v>86</v>
      </c>
      <c r="K98">
        <v>861</v>
      </c>
      <c r="L98">
        <v>1</v>
      </c>
      <c r="M98" t="s">
        <v>6370</v>
      </c>
    </row>
    <row r="99" spans="1:13">
      <c r="A99" t="s">
        <v>300</v>
      </c>
      <c r="B99" t="s">
        <v>301</v>
      </c>
      <c r="C99">
        <v>44957</v>
      </c>
      <c r="D99">
        <v>922010059</v>
      </c>
      <c r="E99">
        <v>107189</v>
      </c>
      <c r="F99">
        <v>79</v>
      </c>
      <c r="G99">
        <v>141852059</v>
      </c>
      <c r="H99">
        <v>567295</v>
      </c>
      <c r="I99">
        <v>811685466</v>
      </c>
      <c r="J99">
        <v>106</v>
      </c>
      <c r="K99">
        <v>1846</v>
      </c>
      <c r="L99">
        <v>1</v>
      </c>
      <c r="M99" t="s">
        <v>6370</v>
      </c>
    </row>
    <row r="100" spans="1:13">
      <c r="A100" t="s">
        <v>302</v>
      </c>
      <c r="B100" t="s">
        <v>123</v>
      </c>
      <c r="C100">
        <v>43831</v>
      </c>
      <c r="D100">
        <v>1754311538</v>
      </c>
      <c r="E100">
        <v>271758</v>
      </c>
      <c r="F100">
        <v>74</v>
      </c>
      <c r="G100">
        <v>958790883</v>
      </c>
      <c r="H100">
        <v>7686994</v>
      </c>
      <c r="I100">
        <v>2658904267</v>
      </c>
      <c r="J100">
        <v>454</v>
      </c>
      <c r="K100">
        <v>1035</v>
      </c>
      <c r="L100">
        <v>0</v>
      </c>
      <c r="M100" t="s">
        <v>6371</v>
      </c>
    </row>
    <row r="101" spans="1:13">
      <c r="A101" t="s">
        <v>303</v>
      </c>
      <c r="B101" t="s">
        <v>170</v>
      </c>
      <c r="C101">
        <v>45148</v>
      </c>
      <c r="D101">
        <v>850810162</v>
      </c>
      <c r="E101">
        <v>56104</v>
      </c>
      <c r="F101">
        <v>82</v>
      </c>
      <c r="G101">
        <v>258553384</v>
      </c>
      <c r="H101">
        <v>1174349</v>
      </c>
      <c r="I101">
        <v>717259721</v>
      </c>
      <c r="J101">
        <v>72</v>
      </c>
      <c r="K101">
        <v>4</v>
      </c>
      <c r="L101">
        <v>1</v>
      </c>
      <c r="M101" t="s">
        <v>6370</v>
      </c>
    </row>
    <row r="102" spans="1:13">
      <c r="A102" t="s">
        <v>304</v>
      </c>
      <c r="B102" t="s">
        <v>305</v>
      </c>
      <c r="C102">
        <v>44260</v>
      </c>
      <c r="D102">
        <v>1312168384</v>
      </c>
      <c r="E102">
        <v>248793</v>
      </c>
      <c r="F102">
        <v>75</v>
      </c>
      <c r="G102">
        <v>993324548</v>
      </c>
      <c r="H102">
        <v>9537455</v>
      </c>
      <c r="I102">
        <v>3350704343</v>
      </c>
      <c r="J102">
        <v>308</v>
      </c>
      <c r="K102">
        <v>309</v>
      </c>
      <c r="L102">
        <v>0</v>
      </c>
      <c r="M102" t="s">
        <v>6370</v>
      </c>
    </row>
    <row r="103" spans="1:13">
      <c r="A103" t="s">
        <v>308</v>
      </c>
      <c r="B103" t="s">
        <v>266</v>
      </c>
      <c r="C103">
        <v>44330</v>
      </c>
      <c r="D103">
        <v>2167768056</v>
      </c>
      <c r="E103">
        <v>309421</v>
      </c>
      <c r="F103">
        <v>79</v>
      </c>
      <c r="G103">
        <v>773591065</v>
      </c>
      <c r="H103">
        <v>11098007</v>
      </c>
      <c r="I103">
        <v>8186754429</v>
      </c>
      <c r="J103">
        <v>355</v>
      </c>
      <c r="K103">
        <v>1283</v>
      </c>
      <c r="L103">
        <v>1</v>
      </c>
      <c r="M103" t="s">
        <v>6370</v>
      </c>
    </row>
    <row r="104" spans="1:13">
      <c r="A104" t="s">
        <v>309</v>
      </c>
      <c r="B104" t="s">
        <v>51</v>
      </c>
      <c r="C104">
        <v>43553</v>
      </c>
      <c r="D104">
        <v>2516804300</v>
      </c>
      <c r="E104">
        <v>296739</v>
      </c>
      <c r="F104">
        <v>76</v>
      </c>
      <c r="G104">
        <v>1779243626</v>
      </c>
      <c r="H104">
        <v>26239833</v>
      </c>
      <c r="I104">
        <v>1409756969</v>
      </c>
      <c r="J104">
        <v>432</v>
      </c>
      <c r="K104">
        <v>1024</v>
      </c>
      <c r="L104">
        <v>0</v>
      </c>
      <c r="M104" t="s">
        <v>6371</v>
      </c>
    </row>
    <row r="105" spans="1:13">
      <c r="A105" t="s">
        <v>310</v>
      </c>
      <c r="B105" t="s">
        <v>311</v>
      </c>
      <c r="C105">
        <v>43245</v>
      </c>
      <c r="D105">
        <v>2738293818</v>
      </c>
      <c r="E105">
        <v>251033</v>
      </c>
      <c r="F105">
        <v>74</v>
      </c>
      <c r="G105">
        <v>2372399124</v>
      </c>
      <c r="H105">
        <v>26919886</v>
      </c>
      <c r="I105">
        <v>1859977153</v>
      </c>
      <c r="J105">
        <v>380</v>
      </c>
      <c r="K105">
        <v>378</v>
      </c>
      <c r="L105">
        <v>0</v>
      </c>
      <c r="M105" t="s">
        <v>6371</v>
      </c>
    </row>
    <row r="106" spans="1:13">
      <c r="A106" t="s">
        <v>312</v>
      </c>
      <c r="B106" t="s">
        <v>313</v>
      </c>
      <c r="C106">
        <v>44770</v>
      </c>
      <c r="D106">
        <v>1003487432</v>
      </c>
      <c r="E106">
        <v>126402</v>
      </c>
      <c r="F106">
        <v>73</v>
      </c>
      <c r="G106">
        <v>621874255</v>
      </c>
      <c r="H106">
        <v>2859234</v>
      </c>
      <c r="I106">
        <v>6208638113</v>
      </c>
      <c r="J106">
        <v>152</v>
      </c>
      <c r="K106">
        <v>1077</v>
      </c>
      <c r="L106">
        <v>1</v>
      </c>
      <c r="M106" t="s">
        <v>6370</v>
      </c>
    </row>
    <row r="107" spans="1:13">
      <c r="A107" t="s">
        <v>314</v>
      </c>
      <c r="B107" t="s">
        <v>315</v>
      </c>
      <c r="C107">
        <v>43938</v>
      </c>
      <c r="D107">
        <v>1638836101</v>
      </c>
      <c r="E107">
        <v>272933</v>
      </c>
      <c r="F107">
        <v>70</v>
      </c>
      <c r="G107">
        <v>1170441361</v>
      </c>
      <c r="H107">
        <v>13667470</v>
      </c>
      <c r="I107">
        <v>3869815694</v>
      </c>
      <c r="J107">
        <v>216</v>
      </c>
      <c r="K107">
        <v>62</v>
      </c>
      <c r="L107">
        <v>1</v>
      </c>
      <c r="M107" t="s">
        <v>6371</v>
      </c>
    </row>
    <row r="108" spans="1:13">
      <c r="A108" t="s">
        <v>316</v>
      </c>
      <c r="B108" t="s">
        <v>123</v>
      </c>
      <c r="C108">
        <v>45008</v>
      </c>
      <c r="D108">
        <v>372423476</v>
      </c>
      <c r="E108">
        <v>44730</v>
      </c>
      <c r="F108">
        <v>71</v>
      </c>
      <c r="G108">
        <v>131308671</v>
      </c>
      <c r="H108">
        <v>1074684</v>
      </c>
      <c r="I108">
        <v>830123390</v>
      </c>
      <c r="J108">
        <v>132</v>
      </c>
      <c r="K108">
        <v>287</v>
      </c>
      <c r="L108">
        <v>0</v>
      </c>
      <c r="M108" t="s">
        <v>6370</v>
      </c>
    </row>
    <row r="109" spans="1:13">
      <c r="A109" t="s">
        <v>317</v>
      </c>
      <c r="B109" t="s">
        <v>318</v>
      </c>
      <c r="C109">
        <v>45162</v>
      </c>
      <c r="D109">
        <v>630373315</v>
      </c>
      <c r="E109">
        <v>70400</v>
      </c>
      <c r="F109">
        <v>84</v>
      </c>
      <c r="G109">
        <v>50938569</v>
      </c>
      <c r="H109">
        <v>246731</v>
      </c>
      <c r="I109">
        <v>586454750</v>
      </c>
      <c r="J109">
        <v>95</v>
      </c>
      <c r="K109">
        <v>35</v>
      </c>
      <c r="L109">
        <v>0</v>
      </c>
      <c r="M109" t="s">
        <v>6370</v>
      </c>
    </row>
    <row r="110" spans="1:13">
      <c r="A110" t="s">
        <v>319</v>
      </c>
      <c r="B110" t="s">
        <v>47</v>
      </c>
      <c r="C110">
        <v>43707</v>
      </c>
      <c r="D110">
        <v>2481391466</v>
      </c>
      <c r="E110">
        <v>332437</v>
      </c>
      <c r="F110">
        <v>80</v>
      </c>
      <c r="G110">
        <v>1116323669</v>
      </c>
      <c r="H110">
        <v>8490012</v>
      </c>
      <c r="I110">
        <v>273522601</v>
      </c>
      <c r="J110">
        <v>355</v>
      </c>
      <c r="K110">
        <v>413</v>
      </c>
      <c r="L110">
        <v>0</v>
      </c>
      <c r="M110" t="s">
        <v>6371</v>
      </c>
    </row>
    <row r="111" spans="1:13">
      <c r="A111" t="s">
        <v>320</v>
      </c>
      <c r="B111" t="s">
        <v>163</v>
      </c>
      <c r="C111">
        <v>45141</v>
      </c>
      <c r="D111">
        <v>474590289</v>
      </c>
      <c r="E111">
        <v>24891</v>
      </c>
      <c r="F111">
        <v>78</v>
      </c>
      <c r="G111">
        <v>577930708</v>
      </c>
      <c r="H111">
        <v>1569516</v>
      </c>
      <c r="I111">
        <v>509287649</v>
      </c>
      <c r="J111">
        <v>27</v>
      </c>
      <c r="K111">
        <v>215</v>
      </c>
      <c r="L111">
        <v>0</v>
      </c>
      <c r="M111" t="s">
        <v>6370</v>
      </c>
    </row>
    <row r="112" spans="1:13">
      <c r="A112" t="s">
        <v>321</v>
      </c>
      <c r="B112" t="s">
        <v>322</v>
      </c>
      <c r="C112">
        <v>44665</v>
      </c>
      <c r="D112">
        <v>847025688</v>
      </c>
      <c r="E112">
        <v>104052</v>
      </c>
      <c r="F112">
        <v>66</v>
      </c>
      <c r="G112">
        <v>106024874</v>
      </c>
      <c r="H112">
        <v>1080393</v>
      </c>
      <c r="I112">
        <v>15665483220</v>
      </c>
      <c r="J112">
        <v>215</v>
      </c>
      <c r="K112">
        <v>2826</v>
      </c>
      <c r="L112">
        <v>1</v>
      </c>
      <c r="M112" t="s">
        <v>6370</v>
      </c>
    </row>
    <row r="113" spans="1:13">
      <c r="A113" t="s">
        <v>323</v>
      </c>
      <c r="B113" t="s">
        <v>324</v>
      </c>
      <c r="C113">
        <v>42580</v>
      </c>
      <c r="D113">
        <v>2880536961</v>
      </c>
      <c r="E113">
        <v>285381</v>
      </c>
      <c r="F113">
        <v>80</v>
      </c>
      <c r="G113">
        <v>4086121880</v>
      </c>
      <c r="H113">
        <v>22091228</v>
      </c>
      <c r="I113">
        <v>514053404</v>
      </c>
      <c r="J113">
        <v>385</v>
      </c>
      <c r="K113">
        <v>467</v>
      </c>
      <c r="L113">
        <v>0</v>
      </c>
      <c r="M113" t="s">
        <v>6371</v>
      </c>
    </row>
    <row r="114" spans="1:13">
      <c r="A114" t="s">
        <v>325</v>
      </c>
      <c r="B114" t="s">
        <v>326</v>
      </c>
      <c r="C114">
        <v>45016</v>
      </c>
      <c r="D114">
        <v>440364356</v>
      </c>
      <c r="E114">
        <v>26107</v>
      </c>
      <c r="F114">
        <v>70</v>
      </c>
      <c r="G114">
        <v>525156884</v>
      </c>
      <c r="H114">
        <v>10820829</v>
      </c>
      <c r="I114">
        <v>6724997940</v>
      </c>
      <c r="J114">
        <v>33</v>
      </c>
      <c r="K114">
        <v>92</v>
      </c>
      <c r="L114">
        <v>0</v>
      </c>
      <c r="M114" t="s">
        <v>6370</v>
      </c>
    </row>
    <row r="115" spans="1:13">
      <c r="A115" t="s">
        <v>327</v>
      </c>
      <c r="B115" t="s">
        <v>141</v>
      </c>
      <c r="C115">
        <v>45212</v>
      </c>
      <c r="D115">
        <v>689181455</v>
      </c>
      <c r="E115">
        <v>61138</v>
      </c>
      <c r="F115">
        <v>83</v>
      </c>
      <c r="G115">
        <v>183381482</v>
      </c>
      <c r="H115">
        <v>738123</v>
      </c>
      <c r="I115">
        <v>487440417</v>
      </c>
      <c r="J115">
        <v>67</v>
      </c>
      <c r="K115">
        <v>175</v>
      </c>
      <c r="L115">
        <v>1</v>
      </c>
      <c r="M115" t="s">
        <v>6370</v>
      </c>
    </row>
    <row r="116" spans="1:13">
      <c r="A116" t="s">
        <v>329</v>
      </c>
      <c r="B116" t="s">
        <v>330</v>
      </c>
      <c r="C116">
        <v>42950</v>
      </c>
      <c r="D116">
        <v>2072182782</v>
      </c>
      <c r="E116">
        <v>194332</v>
      </c>
      <c r="F116">
        <v>75</v>
      </c>
      <c r="G116">
        <v>3952909529</v>
      </c>
      <c r="H116">
        <v>32333846</v>
      </c>
      <c r="I116">
        <v>546650805</v>
      </c>
      <c r="J116">
        <v>342</v>
      </c>
      <c r="K116">
        <v>563</v>
      </c>
      <c r="L116">
        <v>0</v>
      </c>
      <c r="M116" t="s">
        <v>6371</v>
      </c>
    </row>
    <row r="117" spans="1:13">
      <c r="A117" t="s">
        <v>331</v>
      </c>
      <c r="B117" t="s">
        <v>332</v>
      </c>
      <c r="C117">
        <v>45261</v>
      </c>
      <c r="D117">
        <v>606124553</v>
      </c>
      <c r="E117">
        <v>40628</v>
      </c>
      <c r="F117">
        <v>86</v>
      </c>
      <c r="G117">
        <v>166363445</v>
      </c>
      <c r="H117">
        <v>1019744</v>
      </c>
      <c r="I117">
        <v>29601244</v>
      </c>
      <c r="J117">
        <v>80</v>
      </c>
      <c r="K117">
        <v>170</v>
      </c>
      <c r="L117">
        <v>0</v>
      </c>
      <c r="M117" t="s">
        <v>6370</v>
      </c>
    </row>
    <row r="118" spans="1:13">
      <c r="A118" t="s">
        <v>333</v>
      </c>
      <c r="B118" t="s">
        <v>47</v>
      </c>
      <c r="C118">
        <v>44715</v>
      </c>
      <c r="D118">
        <v>827950825</v>
      </c>
      <c r="E118">
        <v>118965</v>
      </c>
      <c r="F118">
        <v>73</v>
      </c>
      <c r="G118">
        <v>299001099</v>
      </c>
      <c r="H118">
        <v>2751490</v>
      </c>
      <c r="I118">
        <v>1359837461</v>
      </c>
      <c r="J118">
        <v>83</v>
      </c>
      <c r="K118">
        <v>2175</v>
      </c>
      <c r="L118">
        <v>1</v>
      </c>
      <c r="M118" t="s">
        <v>6370</v>
      </c>
    </row>
    <row r="119" spans="1:13">
      <c r="A119" t="s">
        <v>334</v>
      </c>
      <c r="B119" t="s">
        <v>233</v>
      </c>
      <c r="C119">
        <v>44631</v>
      </c>
      <c r="D119">
        <v>1227475431</v>
      </c>
      <c r="E119">
        <v>180053</v>
      </c>
      <c r="F119">
        <v>78</v>
      </c>
      <c r="G119">
        <v>584854654</v>
      </c>
      <c r="H119">
        <v>6691488</v>
      </c>
      <c r="I119">
        <v>2255843288</v>
      </c>
      <c r="J119">
        <v>94</v>
      </c>
      <c r="K119">
        <v>1789</v>
      </c>
      <c r="L119">
        <v>0</v>
      </c>
      <c r="M119" t="s">
        <v>6370</v>
      </c>
    </row>
    <row r="120" spans="1:13">
      <c r="A120" t="s">
        <v>339</v>
      </c>
      <c r="B120" t="s">
        <v>340</v>
      </c>
      <c r="C120">
        <v>44757</v>
      </c>
      <c r="D120">
        <v>1126986320</v>
      </c>
      <c r="E120">
        <v>200887</v>
      </c>
      <c r="F120">
        <v>73</v>
      </c>
      <c r="G120">
        <v>293553015</v>
      </c>
      <c r="H120">
        <v>5388022</v>
      </c>
      <c r="I120">
        <v>2305840359</v>
      </c>
      <c r="J120">
        <v>77</v>
      </c>
      <c r="K120">
        <v>719</v>
      </c>
      <c r="L120">
        <v>0</v>
      </c>
      <c r="M120" t="s">
        <v>6370</v>
      </c>
    </row>
    <row r="121" spans="1:13">
      <c r="A121" t="s">
        <v>341</v>
      </c>
      <c r="B121" t="s">
        <v>112</v>
      </c>
      <c r="C121">
        <v>43917</v>
      </c>
      <c r="D121">
        <v>2074721986</v>
      </c>
      <c r="E121">
        <v>255296</v>
      </c>
      <c r="F121">
        <v>77</v>
      </c>
      <c r="G121">
        <v>1665434424</v>
      </c>
      <c r="H121">
        <v>15432964</v>
      </c>
      <c r="I121">
        <v>2649555956</v>
      </c>
      <c r="J121">
        <v>388</v>
      </c>
      <c r="K121">
        <v>659</v>
      </c>
      <c r="L121">
        <v>0</v>
      </c>
      <c r="M121" t="s">
        <v>6371</v>
      </c>
    </row>
    <row r="122" spans="1:13">
      <c r="A122" t="s">
        <v>342</v>
      </c>
      <c r="B122" t="s">
        <v>343</v>
      </c>
      <c r="C122">
        <v>45366</v>
      </c>
      <c r="D122">
        <v>89362910</v>
      </c>
      <c r="E122">
        <v>7377</v>
      </c>
      <c r="F122">
        <v>84</v>
      </c>
      <c r="G122">
        <v>37676729</v>
      </c>
      <c r="H122">
        <v>525264</v>
      </c>
      <c r="I122">
        <v>476545000</v>
      </c>
      <c r="J122">
        <v>52</v>
      </c>
      <c r="K122">
        <v>976</v>
      </c>
      <c r="L122">
        <v>1</v>
      </c>
      <c r="M122" t="s">
        <v>6370</v>
      </c>
    </row>
    <row r="123" spans="1:13">
      <c r="A123" t="s">
        <v>347</v>
      </c>
      <c r="B123" t="s">
        <v>141</v>
      </c>
      <c r="C123">
        <v>44687</v>
      </c>
      <c r="D123">
        <v>1421763497</v>
      </c>
      <c r="E123">
        <v>152592</v>
      </c>
      <c r="F123">
        <v>78</v>
      </c>
      <c r="G123">
        <v>945857087</v>
      </c>
      <c r="H123">
        <v>5587691</v>
      </c>
      <c r="I123">
        <v>225142753</v>
      </c>
      <c r="J123">
        <v>91</v>
      </c>
      <c r="K123">
        <v>191</v>
      </c>
      <c r="L123">
        <v>0</v>
      </c>
      <c r="M123" t="s">
        <v>6370</v>
      </c>
    </row>
    <row r="124" spans="1:13">
      <c r="A124" t="s">
        <v>348</v>
      </c>
      <c r="B124" t="s">
        <v>53</v>
      </c>
      <c r="C124">
        <v>43840</v>
      </c>
      <c r="D124">
        <v>1237874594</v>
      </c>
      <c r="E124">
        <v>276882</v>
      </c>
      <c r="F124">
        <v>67</v>
      </c>
      <c r="G124">
        <v>2430804498</v>
      </c>
      <c r="H124">
        <v>12334565</v>
      </c>
      <c r="I124">
        <v>964755757</v>
      </c>
      <c r="J124">
        <v>187</v>
      </c>
      <c r="K124">
        <v>47</v>
      </c>
      <c r="L124">
        <v>1</v>
      </c>
      <c r="M124" t="s">
        <v>6371</v>
      </c>
    </row>
    <row r="125" spans="1:13">
      <c r="A125" t="s">
        <v>349</v>
      </c>
      <c r="B125" t="s">
        <v>350</v>
      </c>
      <c r="C125">
        <v>44846</v>
      </c>
      <c r="D125">
        <v>804925777</v>
      </c>
      <c r="E125">
        <v>128247</v>
      </c>
      <c r="F125">
        <v>75</v>
      </c>
      <c r="G125">
        <v>175393116</v>
      </c>
      <c r="H125">
        <v>1729347</v>
      </c>
      <c r="I125">
        <v>3209982240</v>
      </c>
      <c r="J125">
        <v>138</v>
      </c>
      <c r="K125">
        <v>65</v>
      </c>
      <c r="L125">
        <v>1</v>
      </c>
      <c r="M125" t="s">
        <v>6370</v>
      </c>
    </row>
    <row r="126" spans="1:13">
      <c r="A126" t="s">
        <v>351</v>
      </c>
      <c r="B126" t="s">
        <v>352</v>
      </c>
      <c r="C126">
        <v>45422</v>
      </c>
      <c r="D126">
        <v>106599323</v>
      </c>
      <c r="E126">
        <v>9406</v>
      </c>
      <c r="F126">
        <v>87</v>
      </c>
      <c r="G126">
        <v>10331471</v>
      </c>
      <c r="H126">
        <v>167936</v>
      </c>
      <c r="I126">
        <v>4700000</v>
      </c>
      <c r="J126">
        <v>120</v>
      </c>
      <c r="K126">
        <v>14</v>
      </c>
      <c r="L126">
        <v>0</v>
      </c>
      <c r="M126" t="s">
        <v>6370</v>
      </c>
    </row>
    <row r="127" spans="1:13">
      <c r="A127" t="s">
        <v>353</v>
      </c>
      <c r="B127" t="s">
        <v>295</v>
      </c>
      <c r="C127">
        <v>44729</v>
      </c>
      <c r="D127">
        <v>971473231</v>
      </c>
      <c r="E127">
        <v>239671</v>
      </c>
      <c r="F127">
        <v>78</v>
      </c>
      <c r="G127">
        <v>198796965</v>
      </c>
      <c r="H127">
        <v>2003253</v>
      </c>
      <c r="I127">
        <v>926300276</v>
      </c>
      <c r="J127">
        <v>110</v>
      </c>
      <c r="K127">
        <v>641</v>
      </c>
      <c r="L127">
        <v>1</v>
      </c>
      <c r="M127" t="s">
        <v>6370</v>
      </c>
    </row>
    <row r="128" spans="1:13">
      <c r="A128" t="s">
        <v>354</v>
      </c>
      <c r="B128" t="s">
        <v>355</v>
      </c>
      <c r="C128">
        <v>44015</v>
      </c>
      <c r="D128">
        <v>1125681368</v>
      </c>
      <c r="E128">
        <v>251023</v>
      </c>
      <c r="F128">
        <v>72</v>
      </c>
      <c r="G128">
        <v>306628096</v>
      </c>
      <c r="H128">
        <v>3322075</v>
      </c>
      <c r="I128">
        <v>2775640343</v>
      </c>
      <c r="J128">
        <v>119</v>
      </c>
      <c r="K128">
        <v>744</v>
      </c>
      <c r="L128">
        <v>1</v>
      </c>
      <c r="M128" t="s">
        <v>6371</v>
      </c>
    </row>
    <row r="129" spans="1:13">
      <c r="A129" t="s">
        <v>356</v>
      </c>
      <c r="B129" t="s">
        <v>357</v>
      </c>
      <c r="C129">
        <v>43728</v>
      </c>
      <c r="D129">
        <v>2011072164</v>
      </c>
      <c r="E129">
        <v>222804</v>
      </c>
      <c r="F129">
        <v>77</v>
      </c>
      <c r="G129">
        <v>1290292327</v>
      </c>
      <c r="H129">
        <v>11720744</v>
      </c>
      <c r="I129">
        <v>1458416059</v>
      </c>
      <c r="J129">
        <v>268</v>
      </c>
      <c r="K129">
        <v>403</v>
      </c>
      <c r="L129">
        <v>0</v>
      </c>
      <c r="M129" t="s">
        <v>6371</v>
      </c>
    </row>
    <row r="130" spans="1:13">
      <c r="A130" t="s">
        <v>358</v>
      </c>
      <c r="B130" t="s">
        <v>332</v>
      </c>
      <c r="C130">
        <v>45016</v>
      </c>
      <c r="D130">
        <v>872148396</v>
      </c>
      <c r="E130">
        <v>90726</v>
      </c>
      <c r="F130">
        <v>78</v>
      </c>
      <c r="G130">
        <v>477047694</v>
      </c>
      <c r="H130">
        <v>1887642</v>
      </c>
      <c r="I130">
        <v>1113541743</v>
      </c>
      <c r="J130">
        <v>94</v>
      </c>
      <c r="K130">
        <v>186</v>
      </c>
      <c r="L130">
        <v>1</v>
      </c>
      <c r="M130" t="s">
        <v>6370</v>
      </c>
    </row>
    <row r="131" spans="1:13">
      <c r="A131" t="s">
        <v>361</v>
      </c>
      <c r="B131" t="s">
        <v>362</v>
      </c>
      <c r="C131">
        <v>45335</v>
      </c>
      <c r="D131">
        <v>207093873</v>
      </c>
      <c r="E131">
        <v>23181</v>
      </c>
      <c r="F131">
        <v>87</v>
      </c>
      <c r="G131">
        <v>19787472</v>
      </c>
      <c r="H131">
        <v>254004</v>
      </c>
      <c r="I131">
        <v>298300000</v>
      </c>
      <c r="J131">
        <v>61</v>
      </c>
      <c r="K131">
        <v>577</v>
      </c>
      <c r="L131">
        <v>1</v>
      </c>
      <c r="M131" t="s">
        <v>6370</v>
      </c>
    </row>
    <row r="132" spans="1:13">
      <c r="A132" t="s">
        <v>366</v>
      </c>
      <c r="B132" t="s">
        <v>367</v>
      </c>
      <c r="C132">
        <v>43377</v>
      </c>
      <c r="D132">
        <v>2042792456</v>
      </c>
      <c r="E132">
        <v>198888</v>
      </c>
      <c r="F132">
        <v>75</v>
      </c>
      <c r="G132">
        <v>2018089906</v>
      </c>
      <c r="H132">
        <v>20528541</v>
      </c>
      <c r="I132">
        <v>2216715741</v>
      </c>
      <c r="J132">
        <v>180</v>
      </c>
      <c r="K132">
        <v>300</v>
      </c>
      <c r="L132">
        <v>1</v>
      </c>
      <c r="M132" t="s">
        <v>6371</v>
      </c>
    </row>
    <row r="133" spans="1:13">
      <c r="A133" t="s">
        <v>370</v>
      </c>
      <c r="B133" t="s">
        <v>371</v>
      </c>
      <c r="C133">
        <v>43370</v>
      </c>
      <c r="D133">
        <v>2447973078</v>
      </c>
      <c r="E133">
        <v>221822</v>
      </c>
      <c r="F133">
        <v>78</v>
      </c>
      <c r="G133">
        <v>2732311956</v>
      </c>
      <c r="H133">
        <v>15274815</v>
      </c>
      <c r="I133">
        <v>168789459</v>
      </c>
      <c r="J133">
        <v>261</v>
      </c>
      <c r="K133">
        <v>135</v>
      </c>
      <c r="L133">
        <v>0</v>
      </c>
      <c r="M133" t="s">
        <v>6371</v>
      </c>
    </row>
    <row r="134" spans="1:13">
      <c r="A134" t="s">
        <v>372</v>
      </c>
      <c r="B134" t="s">
        <v>233</v>
      </c>
      <c r="C134">
        <v>42852</v>
      </c>
      <c r="D134">
        <v>2384768901</v>
      </c>
      <c r="E134">
        <v>244951</v>
      </c>
      <c r="F134">
        <v>79</v>
      </c>
      <c r="G134">
        <v>2707166590</v>
      </c>
      <c r="H134">
        <v>16780231</v>
      </c>
      <c r="I134">
        <v>906537912</v>
      </c>
      <c r="J134">
        <v>225</v>
      </c>
      <c r="K134">
        <v>509</v>
      </c>
      <c r="L134">
        <v>0</v>
      </c>
      <c r="M134" t="s">
        <v>6371</v>
      </c>
    </row>
    <row r="135" spans="1:13">
      <c r="A135" t="s">
        <v>373</v>
      </c>
      <c r="B135" t="s">
        <v>374</v>
      </c>
      <c r="C135">
        <v>44820</v>
      </c>
      <c r="D135">
        <v>371886608</v>
      </c>
      <c r="E135">
        <v>98009</v>
      </c>
      <c r="F135">
        <v>67</v>
      </c>
      <c r="G135">
        <v>361174452</v>
      </c>
      <c r="H135">
        <v>1904397</v>
      </c>
      <c r="I135">
        <v>1454848289</v>
      </c>
      <c r="J135">
        <v>162</v>
      </c>
      <c r="K135">
        <v>230</v>
      </c>
      <c r="L135">
        <v>0</v>
      </c>
      <c r="M135" t="s">
        <v>6370</v>
      </c>
    </row>
    <row r="136" spans="1:13">
      <c r="A136" t="s">
        <v>375</v>
      </c>
      <c r="B136" t="s">
        <v>376</v>
      </c>
      <c r="C136">
        <v>44421</v>
      </c>
      <c r="D136">
        <v>1128273165</v>
      </c>
      <c r="E136">
        <v>193857</v>
      </c>
      <c r="F136">
        <v>70</v>
      </c>
      <c r="G136">
        <v>499895662</v>
      </c>
      <c r="H136">
        <v>6801671</v>
      </c>
      <c r="I136">
        <v>12414681151</v>
      </c>
      <c r="J136">
        <v>209</v>
      </c>
      <c r="K136">
        <v>1509</v>
      </c>
      <c r="L136">
        <v>1</v>
      </c>
      <c r="M136" t="s">
        <v>6370</v>
      </c>
    </row>
    <row r="137" spans="1:13">
      <c r="A137" t="s">
        <v>379</v>
      </c>
      <c r="B137" t="s">
        <v>380</v>
      </c>
      <c r="C137">
        <v>44741</v>
      </c>
      <c r="D137">
        <v>1087938471</v>
      </c>
      <c r="E137">
        <v>220515</v>
      </c>
      <c r="F137">
        <v>73</v>
      </c>
      <c r="G137">
        <v>147472695</v>
      </c>
      <c r="H137">
        <v>2050299</v>
      </c>
      <c r="I137">
        <v>2783442788</v>
      </c>
      <c r="J137">
        <v>132</v>
      </c>
      <c r="K137">
        <v>1461</v>
      </c>
      <c r="L137">
        <v>1</v>
      </c>
      <c r="M137" t="s">
        <v>6370</v>
      </c>
    </row>
    <row r="138" spans="1:13">
      <c r="A138" t="s">
        <v>381</v>
      </c>
      <c r="B138" t="s">
        <v>382</v>
      </c>
      <c r="C138">
        <v>44449</v>
      </c>
      <c r="D138">
        <v>1189335848</v>
      </c>
      <c r="E138">
        <v>103236</v>
      </c>
      <c r="F138">
        <v>73</v>
      </c>
      <c r="G138">
        <v>1323718887</v>
      </c>
      <c r="H138">
        <v>20328622</v>
      </c>
      <c r="I138">
        <v>12516703531</v>
      </c>
      <c r="J138">
        <v>54</v>
      </c>
      <c r="K138">
        <v>461</v>
      </c>
      <c r="L138">
        <v>1</v>
      </c>
      <c r="M138" t="s">
        <v>6370</v>
      </c>
    </row>
    <row r="139" spans="1:13">
      <c r="A139" t="s">
        <v>383</v>
      </c>
      <c r="B139" t="s">
        <v>384</v>
      </c>
      <c r="C139">
        <v>45114</v>
      </c>
      <c r="D139">
        <v>721002940</v>
      </c>
      <c r="E139">
        <v>84161</v>
      </c>
      <c r="F139">
        <v>79</v>
      </c>
      <c r="G139">
        <v>266411536</v>
      </c>
      <c r="H139">
        <v>1343262</v>
      </c>
      <c r="I139">
        <v>752868970</v>
      </c>
      <c r="J139">
        <v>47</v>
      </c>
      <c r="K139">
        <v>44</v>
      </c>
      <c r="L139">
        <v>0</v>
      </c>
      <c r="M139" t="s">
        <v>6370</v>
      </c>
    </row>
    <row r="140" spans="1:13">
      <c r="A140" t="s">
        <v>385</v>
      </c>
      <c r="B140" t="s">
        <v>200</v>
      </c>
      <c r="C140">
        <v>45099</v>
      </c>
      <c r="D140">
        <v>684204777</v>
      </c>
      <c r="E140">
        <v>48370</v>
      </c>
      <c r="F140">
        <v>78</v>
      </c>
      <c r="G140">
        <v>362779953</v>
      </c>
      <c r="H140">
        <v>1617493</v>
      </c>
      <c r="I140">
        <v>1207597707</v>
      </c>
      <c r="J140">
        <v>51</v>
      </c>
      <c r="K140">
        <v>27</v>
      </c>
      <c r="L140">
        <v>1</v>
      </c>
      <c r="M140" t="s">
        <v>6370</v>
      </c>
    </row>
    <row r="141" spans="1:13">
      <c r="A141" t="s">
        <v>386</v>
      </c>
      <c r="B141" t="s">
        <v>68</v>
      </c>
      <c r="C141">
        <v>44372</v>
      </c>
      <c r="D141">
        <v>1606950381</v>
      </c>
      <c r="E141">
        <v>217443</v>
      </c>
      <c r="F141">
        <v>78</v>
      </c>
      <c r="G141">
        <v>641326002</v>
      </c>
      <c r="H141">
        <v>7454749</v>
      </c>
      <c r="I141">
        <v>5944657895</v>
      </c>
      <c r="J141">
        <v>217</v>
      </c>
      <c r="K141">
        <v>1849</v>
      </c>
      <c r="L141">
        <v>1</v>
      </c>
      <c r="M141" t="s">
        <v>6370</v>
      </c>
    </row>
    <row r="142" spans="1:13">
      <c r="A142" t="s">
        <v>387</v>
      </c>
      <c r="B142" t="s">
        <v>72</v>
      </c>
      <c r="C142">
        <v>44771</v>
      </c>
      <c r="D142">
        <v>795960535</v>
      </c>
      <c r="E142">
        <v>100204</v>
      </c>
      <c r="F142">
        <v>73</v>
      </c>
      <c r="G142">
        <v>176996169</v>
      </c>
      <c r="H142">
        <v>1606296</v>
      </c>
      <c r="I142">
        <v>11215597325</v>
      </c>
      <c r="J142">
        <v>182</v>
      </c>
      <c r="K142">
        <v>818</v>
      </c>
      <c r="L142">
        <v>1</v>
      </c>
      <c r="M142" t="s">
        <v>6370</v>
      </c>
    </row>
    <row r="143" spans="1:13">
      <c r="A143" t="s">
        <v>390</v>
      </c>
      <c r="B143" t="s">
        <v>391</v>
      </c>
      <c r="C143">
        <v>44007</v>
      </c>
      <c r="D143">
        <v>1033109188</v>
      </c>
      <c r="E143">
        <v>82170</v>
      </c>
      <c r="F143">
        <v>68</v>
      </c>
      <c r="G143">
        <v>1584676582</v>
      </c>
      <c r="H143">
        <v>29210301</v>
      </c>
      <c r="I143">
        <v>7988463856</v>
      </c>
      <c r="J143">
        <v>96</v>
      </c>
      <c r="K143">
        <v>37</v>
      </c>
      <c r="L143">
        <v>0</v>
      </c>
      <c r="M143" t="s">
        <v>6371</v>
      </c>
    </row>
    <row r="144" spans="1:13">
      <c r="A144" t="s">
        <v>394</v>
      </c>
      <c r="B144" t="s">
        <v>395</v>
      </c>
      <c r="C144">
        <v>45394</v>
      </c>
      <c r="D144">
        <v>31612906</v>
      </c>
      <c r="E144">
        <v>3887</v>
      </c>
      <c r="F144">
        <v>76</v>
      </c>
      <c r="G144">
        <v>6277949</v>
      </c>
      <c r="H144">
        <v>171470</v>
      </c>
      <c r="I144">
        <v>1051026401</v>
      </c>
      <c r="J144">
        <v>38</v>
      </c>
      <c r="K144">
        <v>13</v>
      </c>
      <c r="L144">
        <v>0</v>
      </c>
      <c r="M144" t="s">
        <v>6370</v>
      </c>
    </row>
    <row r="145" spans="1:13">
      <c r="A145" t="s">
        <v>396</v>
      </c>
      <c r="B145" t="s">
        <v>129</v>
      </c>
      <c r="C145">
        <v>44897</v>
      </c>
      <c r="D145">
        <v>706356280</v>
      </c>
      <c r="E145">
        <v>166277</v>
      </c>
      <c r="F145">
        <v>77</v>
      </c>
      <c r="G145">
        <v>172653099</v>
      </c>
      <c r="H145">
        <v>1750863</v>
      </c>
      <c r="I145">
        <v>108461504</v>
      </c>
      <c r="J145">
        <v>56</v>
      </c>
      <c r="K145">
        <v>331</v>
      </c>
      <c r="L145">
        <v>1</v>
      </c>
      <c r="M145" t="s">
        <v>6370</v>
      </c>
    </row>
    <row r="146" spans="1:13">
      <c r="A146" t="s">
        <v>397</v>
      </c>
      <c r="B146" t="s">
        <v>398</v>
      </c>
      <c r="C146">
        <v>42426</v>
      </c>
      <c r="D146">
        <v>1181348550</v>
      </c>
      <c r="E146">
        <v>170002</v>
      </c>
      <c r="F146">
        <v>62</v>
      </c>
      <c r="G146">
        <v>2277330940</v>
      </c>
      <c r="H146">
        <v>22334292</v>
      </c>
      <c r="I146">
        <v>283835852</v>
      </c>
      <c r="J146">
        <v>245</v>
      </c>
      <c r="K146">
        <v>113</v>
      </c>
      <c r="L146">
        <v>1</v>
      </c>
      <c r="M146" t="s">
        <v>6371</v>
      </c>
    </row>
    <row r="147" spans="1:13">
      <c r="A147" t="s">
        <v>402</v>
      </c>
      <c r="B147" t="s">
        <v>68</v>
      </c>
      <c r="C147">
        <v>44295</v>
      </c>
      <c r="D147">
        <v>1823871908</v>
      </c>
      <c r="E147">
        <v>262313</v>
      </c>
      <c r="F147">
        <v>76</v>
      </c>
      <c r="G147">
        <v>307855103</v>
      </c>
      <c r="H147">
        <v>2540592</v>
      </c>
      <c r="I147">
        <v>8035914098</v>
      </c>
      <c r="J147">
        <v>470</v>
      </c>
      <c r="K147">
        <v>650</v>
      </c>
      <c r="L147">
        <v>1</v>
      </c>
      <c r="M147" t="s">
        <v>6370</v>
      </c>
    </row>
    <row r="148" spans="1:13">
      <c r="A148" t="s">
        <v>403</v>
      </c>
      <c r="B148" t="s">
        <v>404</v>
      </c>
      <c r="C148">
        <v>45002</v>
      </c>
      <c r="D148">
        <v>102772879</v>
      </c>
      <c r="E148">
        <v>29487</v>
      </c>
      <c r="F148">
        <v>61</v>
      </c>
      <c r="G148">
        <v>65934972</v>
      </c>
      <c r="H148">
        <v>760669</v>
      </c>
      <c r="I148">
        <v>847338969</v>
      </c>
      <c r="J148">
        <v>29</v>
      </c>
      <c r="K148">
        <v>125</v>
      </c>
      <c r="L148">
        <v>1</v>
      </c>
      <c r="M148" t="s">
        <v>6370</v>
      </c>
    </row>
    <row r="149" spans="1:13">
      <c r="A149" t="s">
        <v>405</v>
      </c>
      <c r="B149" t="s">
        <v>112</v>
      </c>
      <c r="C149">
        <v>45393</v>
      </c>
      <c r="D149">
        <v>108501771</v>
      </c>
      <c r="E149">
        <v>7430</v>
      </c>
      <c r="F149">
        <v>12</v>
      </c>
      <c r="G149">
        <v>3947610</v>
      </c>
      <c r="H149">
        <v>60459</v>
      </c>
      <c r="I149">
        <v>38200</v>
      </c>
      <c r="J149">
        <v>113</v>
      </c>
      <c r="K149">
        <v>66</v>
      </c>
      <c r="L149">
        <v>1</v>
      </c>
      <c r="M149" t="s">
        <v>6370</v>
      </c>
    </row>
    <row r="150" spans="1:13">
      <c r="A150" t="s">
        <v>406</v>
      </c>
      <c r="B150" t="s">
        <v>266</v>
      </c>
      <c r="C150">
        <v>44204</v>
      </c>
      <c r="D150">
        <v>2184754018</v>
      </c>
      <c r="E150">
        <v>250778</v>
      </c>
      <c r="F150">
        <v>79</v>
      </c>
      <c r="G150">
        <v>984811734</v>
      </c>
      <c r="H150">
        <v>18682671</v>
      </c>
      <c r="I150">
        <v>3781894216</v>
      </c>
      <c r="J150">
        <v>347</v>
      </c>
      <c r="K150">
        <v>272</v>
      </c>
      <c r="L150">
        <v>1</v>
      </c>
      <c r="M150" t="s">
        <v>6370</v>
      </c>
    </row>
    <row r="151" spans="1:13">
      <c r="A151" t="s">
        <v>407</v>
      </c>
      <c r="B151" t="s">
        <v>24</v>
      </c>
      <c r="C151">
        <v>45156</v>
      </c>
      <c r="D151">
        <v>205468104</v>
      </c>
      <c r="E151">
        <v>30639</v>
      </c>
      <c r="F151">
        <v>69</v>
      </c>
      <c r="G151">
        <v>61624959</v>
      </c>
      <c r="H151">
        <v>1364492</v>
      </c>
      <c r="I151">
        <v>503074793</v>
      </c>
      <c r="J151">
        <v>97</v>
      </c>
      <c r="K151">
        <v>266</v>
      </c>
      <c r="L151">
        <v>0</v>
      </c>
      <c r="M151" t="s">
        <v>6370</v>
      </c>
    </row>
    <row r="152" spans="1:13">
      <c r="A152" t="s">
        <v>408</v>
      </c>
      <c r="B152" t="s">
        <v>409</v>
      </c>
      <c r="C152">
        <v>44981</v>
      </c>
      <c r="D152">
        <v>861388470</v>
      </c>
      <c r="E152">
        <v>103040</v>
      </c>
      <c r="F152">
        <v>48</v>
      </c>
      <c r="G152">
        <v>15219067</v>
      </c>
      <c r="H152">
        <v>176594</v>
      </c>
      <c r="I152">
        <v>4388576830</v>
      </c>
      <c r="J152">
        <v>110</v>
      </c>
      <c r="K152">
        <v>624</v>
      </c>
      <c r="L152">
        <v>0</v>
      </c>
      <c r="M152" t="s">
        <v>6370</v>
      </c>
    </row>
    <row r="153" spans="1:13">
      <c r="A153" t="s">
        <v>412</v>
      </c>
      <c r="B153" t="s">
        <v>413</v>
      </c>
      <c r="C153">
        <v>44895</v>
      </c>
      <c r="D153">
        <v>465588517</v>
      </c>
      <c r="E153">
        <v>91658</v>
      </c>
      <c r="F153">
        <v>67</v>
      </c>
      <c r="G153">
        <v>109781672</v>
      </c>
      <c r="H153">
        <v>1706148</v>
      </c>
      <c r="I153">
        <v>4784803362</v>
      </c>
      <c r="J153">
        <v>110</v>
      </c>
      <c r="K153">
        <v>7098</v>
      </c>
      <c r="L153">
        <v>1</v>
      </c>
      <c r="M153" t="s">
        <v>6370</v>
      </c>
    </row>
    <row r="154" spans="1:13">
      <c r="A154" t="s">
        <v>414</v>
      </c>
      <c r="B154" t="s">
        <v>47</v>
      </c>
      <c r="C154">
        <v>42993</v>
      </c>
      <c r="D154">
        <v>2960046642</v>
      </c>
      <c r="E154">
        <v>352745</v>
      </c>
      <c r="F154">
        <v>77</v>
      </c>
      <c r="G154">
        <v>2391850868</v>
      </c>
      <c r="H154">
        <v>23334015</v>
      </c>
      <c r="I154">
        <v>456931528</v>
      </c>
      <c r="J154">
        <v>235</v>
      </c>
      <c r="K154">
        <v>393</v>
      </c>
      <c r="L154">
        <v>1</v>
      </c>
      <c r="M154" t="s">
        <v>6371</v>
      </c>
    </row>
    <row r="155" spans="1:13">
      <c r="A155" t="s">
        <v>417</v>
      </c>
      <c r="B155" t="s">
        <v>418</v>
      </c>
      <c r="C155">
        <v>43489</v>
      </c>
      <c r="D155">
        <v>1353028938</v>
      </c>
      <c r="E155">
        <v>160122</v>
      </c>
      <c r="F155">
        <v>73</v>
      </c>
      <c r="G155">
        <v>3207187334</v>
      </c>
      <c r="H155">
        <v>16913257</v>
      </c>
      <c r="I155">
        <v>319615777</v>
      </c>
      <c r="J155">
        <v>184</v>
      </c>
      <c r="K155">
        <v>363</v>
      </c>
      <c r="L155">
        <v>0</v>
      </c>
      <c r="M155" t="s">
        <v>6371</v>
      </c>
    </row>
    <row r="156" spans="1:13">
      <c r="A156" t="s">
        <v>419</v>
      </c>
      <c r="B156" t="s">
        <v>420</v>
      </c>
      <c r="C156">
        <v>44762</v>
      </c>
      <c r="D156">
        <v>1042311849</v>
      </c>
      <c r="E156">
        <v>154178</v>
      </c>
      <c r="F156">
        <v>80</v>
      </c>
      <c r="G156">
        <v>256736243</v>
      </c>
      <c r="H156">
        <v>2649848</v>
      </c>
      <c r="I156">
        <v>3656967030</v>
      </c>
      <c r="J156">
        <v>79</v>
      </c>
      <c r="K156">
        <v>111</v>
      </c>
      <c r="L156">
        <v>0</v>
      </c>
      <c r="M156" t="s">
        <v>6370</v>
      </c>
    </row>
    <row r="157" spans="1:13">
      <c r="A157" t="s">
        <v>421</v>
      </c>
      <c r="B157" t="s">
        <v>422</v>
      </c>
      <c r="C157">
        <v>44974</v>
      </c>
      <c r="D157">
        <v>186579651</v>
      </c>
      <c r="E157">
        <v>45668</v>
      </c>
      <c r="F157">
        <v>62</v>
      </c>
      <c r="G157">
        <v>231699320</v>
      </c>
      <c r="H157">
        <v>1670867</v>
      </c>
      <c r="I157">
        <v>117325107</v>
      </c>
      <c r="J157">
        <v>43</v>
      </c>
      <c r="K157">
        <v>717</v>
      </c>
      <c r="L157">
        <v>0</v>
      </c>
      <c r="M157" t="s">
        <v>6370</v>
      </c>
    </row>
    <row r="158" spans="1:13">
      <c r="A158" t="s">
        <v>423</v>
      </c>
      <c r="B158" t="s">
        <v>424</v>
      </c>
      <c r="C158">
        <v>45360</v>
      </c>
      <c r="D158">
        <v>158131138</v>
      </c>
      <c r="E158">
        <v>5423</v>
      </c>
      <c r="F158">
        <v>85</v>
      </c>
      <c r="G158">
        <v>135893150</v>
      </c>
      <c r="H158">
        <v>889014</v>
      </c>
      <c r="I158">
        <v>147200</v>
      </c>
      <c r="J158">
        <v>34</v>
      </c>
      <c r="K158">
        <v>3</v>
      </c>
      <c r="L158">
        <v>0</v>
      </c>
      <c r="M158" t="s">
        <v>6370</v>
      </c>
    </row>
    <row r="159" spans="1:13">
      <c r="A159" t="s">
        <v>427</v>
      </c>
      <c r="B159" t="s">
        <v>161</v>
      </c>
      <c r="C159">
        <v>44281</v>
      </c>
      <c r="D159">
        <v>1902241314</v>
      </c>
      <c r="E159">
        <v>316054</v>
      </c>
      <c r="F159">
        <v>70</v>
      </c>
      <c r="G159">
        <v>274582854</v>
      </c>
      <c r="H159">
        <v>3603644</v>
      </c>
      <c r="I159">
        <v>7655286423</v>
      </c>
      <c r="J159">
        <v>310</v>
      </c>
      <c r="K159">
        <v>2026</v>
      </c>
      <c r="L159">
        <v>1</v>
      </c>
      <c r="M159" t="s">
        <v>6370</v>
      </c>
    </row>
    <row r="160" spans="1:13">
      <c r="A160" t="s">
        <v>431</v>
      </c>
      <c r="B160" t="s">
        <v>432</v>
      </c>
      <c r="C160">
        <v>44826</v>
      </c>
      <c r="D160">
        <v>665716137</v>
      </c>
      <c r="E160">
        <v>97057</v>
      </c>
      <c r="F160">
        <v>80</v>
      </c>
      <c r="G160">
        <v>358206246</v>
      </c>
      <c r="H160">
        <v>2896698</v>
      </c>
      <c r="I160">
        <v>2653383273</v>
      </c>
      <c r="J160">
        <v>33</v>
      </c>
      <c r="K160">
        <v>119</v>
      </c>
      <c r="L160">
        <v>0</v>
      </c>
      <c r="M160" t="s">
        <v>6370</v>
      </c>
    </row>
    <row r="161" spans="1:13">
      <c r="A161" t="s">
        <v>433</v>
      </c>
      <c r="B161" t="s">
        <v>434</v>
      </c>
      <c r="C161">
        <v>44722</v>
      </c>
      <c r="D161">
        <v>1262308912</v>
      </c>
      <c r="E161">
        <v>234936</v>
      </c>
      <c r="F161">
        <v>74</v>
      </c>
      <c r="G161">
        <v>66246839</v>
      </c>
      <c r="H161">
        <v>2067331</v>
      </c>
      <c r="I161">
        <v>8988453878</v>
      </c>
      <c r="J161">
        <v>97</v>
      </c>
      <c r="K161">
        <v>620</v>
      </c>
      <c r="L161">
        <v>0</v>
      </c>
      <c r="M161" t="s">
        <v>6370</v>
      </c>
    </row>
    <row r="162" spans="1:13">
      <c r="A162" t="s">
        <v>435</v>
      </c>
      <c r="B162" t="s">
        <v>66</v>
      </c>
      <c r="C162">
        <v>43786</v>
      </c>
      <c r="D162">
        <v>2708151499</v>
      </c>
      <c r="E162">
        <v>298135</v>
      </c>
      <c r="F162">
        <v>82</v>
      </c>
      <c r="G162">
        <v>872052223</v>
      </c>
      <c r="H162">
        <v>11269126</v>
      </c>
      <c r="I162">
        <v>2738127473</v>
      </c>
      <c r="J162">
        <v>554</v>
      </c>
      <c r="K162">
        <v>914</v>
      </c>
      <c r="L162">
        <v>0</v>
      </c>
      <c r="M162" t="s">
        <v>6371</v>
      </c>
    </row>
    <row r="163" spans="1:13">
      <c r="A163" t="s">
        <v>437</v>
      </c>
      <c r="B163" t="s">
        <v>438</v>
      </c>
      <c r="C163">
        <v>45287</v>
      </c>
      <c r="D163">
        <v>298853393</v>
      </c>
      <c r="E163">
        <v>50137</v>
      </c>
      <c r="F163">
        <v>70</v>
      </c>
      <c r="G163">
        <v>112961806</v>
      </c>
      <c r="H163">
        <v>2336117</v>
      </c>
      <c r="I163">
        <v>928812348</v>
      </c>
      <c r="J163">
        <v>63</v>
      </c>
      <c r="K163">
        <v>6</v>
      </c>
      <c r="L163">
        <v>1</v>
      </c>
      <c r="M163" t="s">
        <v>6370</v>
      </c>
    </row>
    <row r="164" spans="1:13">
      <c r="A164" t="s">
        <v>439</v>
      </c>
      <c r="B164" t="s">
        <v>141</v>
      </c>
      <c r="C164">
        <v>45064</v>
      </c>
      <c r="D164">
        <v>717849037</v>
      </c>
      <c r="E164">
        <v>98440</v>
      </c>
      <c r="F164">
        <v>72</v>
      </c>
      <c r="G164">
        <v>217687654</v>
      </c>
      <c r="H164">
        <v>1929598</v>
      </c>
      <c r="I164">
        <v>808518802</v>
      </c>
      <c r="J164">
        <v>126</v>
      </c>
      <c r="K164">
        <v>125</v>
      </c>
      <c r="L164">
        <v>1</v>
      </c>
      <c r="M164" t="s">
        <v>6370</v>
      </c>
    </row>
    <row r="165" spans="1:13">
      <c r="A165" t="s">
        <v>440</v>
      </c>
      <c r="B165" t="s">
        <v>441</v>
      </c>
      <c r="C165">
        <v>44915</v>
      </c>
      <c r="D165">
        <v>837576264</v>
      </c>
      <c r="E165">
        <v>102545</v>
      </c>
      <c r="F165">
        <v>70</v>
      </c>
      <c r="G165">
        <v>472335529</v>
      </c>
      <c r="H165">
        <v>1511715</v>
      </c>
      <c r="I165">
        <v>631781362</v>
      </c>
      <c r="J165">
        <v>60</v>
      </c>
      <c r="K165">
        <v>29</v>
      </c>
      <c r="L165">
        <v>1</v>
      </c>
      <c r="M165" t="s">
        <v>6370</v>
      </c>
    </row>
    <row r="166" spans="1:13">
      <c r="A166" t="s">
        <v>442</v>
      </c>
      <c r="B166" t="s">
        <v>161</v>
      </c>
      <c r="C166">
        <v>44456</v>
      </c>
      <c r="D166">
        <v>1062095453</v>
      </c>
      <c r="E166">
        <v>165197</v>
      </c>
      <c r="F166">
        <v>72</v>
      </c>
      <c r="G166">
        <v>194928107</v>
      </c>
      <c r="H166">
        <v>3281325</v>
      </c>
      <c r="I166">
        <v>3501946982</v>
      </c>
      <c r="J166">
        <v>156</v>
      </c>
      <c r="K166">
        <v>2344</v>
      </c>
      <c r="L166">
        <v>1</v>
      </c>
      <c r="M166" t="s">
        <v>6370</v>
      </c>
    </row>
    <row r="167" spans="1:13">
      <c r="A167" t="s">
        <v>443</v>
      </c>
      <c r="B167" t="s">
        <v>444</v>
      </c>
      <c r="C167">
        <v>44336</v>
      </c>
      <c r="D167">
        <v>1339352060</v>
      </c>
      <c r="E167">
        <v>188874</v>
      </c>
      <c r="F167">
        <v>75</v>
      </c>
      <c r="G167">
        <v>873449363</v>
      </c>
      <c r="H167">
        <v>6108611</v>
      </c>
      <c r="I167">
        <v>4445597088</v>
      </c>
      <c r="J167">
        <v>208</v>
      </c>
      <c r="K167">
        <v>295</v>
      </c>
      <c r="L167">
        <v>1</v>
      </c>
      <c r="M167" t="s">
        <v>6370</v>
      </c>
    </row>
    <row r="168" spans="1:13">
      <c r="A168" t="s">
        <v>445</v>
      </c>
      <c r="B168" t="s">
        <v>47</v>
      </c>
      <c r="C168">
        <v>45030</v>
      </c>
      <c r="D168">
        <v>503574147</v>
      </c>
      <c r="E168">
        <v>79679</v>
      </c>
      <c r="F168">
        <v>75</v>
      </c>
      <c r="G168">
        <v>90349145</v>
      </c>
      <c r="H168">
        <v>902237</v>
      </c>
      <c r="I168">
        <v>134469226</v>
      </c>
      <c r="J168">
        <v>94</v>
      </c>
      <c r="K168">
        <v>678</v>
      </c>
      <c r="L168">
        <v>1</v>
      </c>
      <c r="M168" t="s">
        <v>6370</v>
      </c>
    </row>
    <row r="169" spans="1:13">
      <c r="A169" t="s">
        <v>446</v>
      </c>
      <c r="B169" t="s">
        <v>447</v>
      </c>
      <c r="C169">
        <v>42005</v>
      </c>
      <c r="D169">
        <v>1891920348</v>
      </c>
      <c r="E169">
        <v>159571</v>
      </c>
      <c r="F169">
        <v>78</v>
      </c>
      <c r="G169">
        <v>6335989683</v>
      </c>
      <c r="H169">
        <v>43663933</v>
      </c>
      <c r="I169">
        <v>3455170110</v>
      </c>
      <c r="J169">
        <v>137</v>
      </c>
      <c r="K169">
        <v>5</v>
      </c>
      <c r="L169">
        <v>0</v>
      </c>
      <c r="M169" t="s">
        <v>6371</v>
      </c>
    </row>
    <row r="170" spans="1:13">
      <c r="A170" t="s">
        <v>448</v>
      </c>
      <c r="B170" t="s">
        <v>449</v>
      </c>
      <c r="C170">
        <v>43355</v>
      </c>
      <c r="D170">
        <v>1486929795</v>
      </c>
      <c r="E170">
        <v>266128</v>
      </c>
      <c r="F170">
        <v>76</v>
      </c>
      <c r="G170">
        <v>637733433</v>
      </c>
      <c r="H170">
        <v>4719266</v>
      </c>
      <c r="I170">
        <v>523849646</v>
      </c>
      <c r="J170">
        <v>147</v>
      </c>
      <c r="K170">
        <v>581</v>
      </c>
      <c r="L170">
        <v>1</v>
      </c>
      <c r="M170" t="s">
        <v>6371</v>
      </c>
    </row>
    <row r="171" spans="1:13">
      <c r="A171" t="s">
        <v>452</v>
      </c>
      <c r="B171" t="s">
        <v>453</v>
      </c>
      <c r="C171">
        <v>40867</v>
      </c>
      <c r="D171">
        <v>1993030264</v>
      </c>
      <c r="E171">
        <v>256764</v>
      </c>
      <c r="F171">
        <v>77</v>
      </c>
      <c r="G171">
        <v>5644117304</v>
      </c>
      <c r="H171">
        <v>24960395</v>
      </c>
      <c r="I171">
        <v>1268235679</v>
      </c>
      <c r="J171">
        <v>507</v>
      </c>
      <c r="K171">
        <v>366</v>
      </c>
      <c r="L171">
        <v>1</v>
      </c>
      <c r="M171" t="s">
        <v>6371</v>
      </c>
    </row>
    <row r="172" spans="1:13">
      <c r="A172" t="s">
        <v>456</v>
      </c>
      <c r="B172" t="s">
        <v>457</v>
      </c>
      <c r="C172">
        <v>43707</v>
      </c>
      <c r="D172">
        <v>853451422</v>
      </c>
      <c r="E172">
        <v>172458</v>
      </c>
      <c r="F172">
        <v>71</v>
      </c>
      <c r="G172">
        <v>1132006963</v>
      </c>
      <c r="H172">
        <v>25943716</v>
      </c>
      <c r="I172">
        <v>23933379729</v>
      </c>
      <c r="J172">
        <v>77</v>
      </c>
      <c r="K172">
        <v>2726</v>
      </c>
      <c r="L172">
        <v>1</v>
      </c>
      <c r="M172" t="s">
        <v>6371</v>
      </c>
    </row>
    <row r="173" spans="1:13">
      <c r="A173" t="s">
        <v>460</v>
      </c>
      <c r="B173" t="s">
        <v>66</v>
      </c>
      <c r="C173">
        <v>44701</v>
      </c>
      <c r="D173">
        <v>959639297</v>
      </c>
      <c r="E173">
        <v>108806</v>
      </c>
      <c r="F173">
        <v>76</v>
      </c>
      <c r="G173">
        <v>151113156</v>
      </c>
      <c r="H173">
        <v>2809492</v>
      </c>
      <c r="I173">
        <v>580526441</v>
      </c>
      <c r="J173">
        <v>153</v>
      </c>
      <c r="K173">
        <v>2290</v>
      </c>
      <c r="L173">
        <v>0</v>
      </c>
      <c r="M173" t="s">
        <v>6370</v>
      </c>
    </row>
    <row r="174" spans="1:13">
      <c r="A174" t="s">
        <v>461</v>
      </c>
      <c r="B174" t="s">
        <v>462</v>
      </c>
      <c r="C174">
        <v>44778</v>
      </c>
      <c r="D174">
        <v>631378937</v>
      </c>
      <c r="E174">
        <v>165883</v>
      </c>
      <c r="F174">
        <v>51</v>
      </c>
      <c r="G174">
        <v>32628348</v>
      </c>
      <c r="H174">
        <v>615240</v>
      </c>
      <c r="I174">
        <v>5776425361</v>
      </c>
      <c r="J174">
        <v>75</v>
      </c>
      <c r="K174">
        <v>1</v>
      </c>
      <c r="L174">
        <v>1</v>
      </c>
      <c r="M174" t="s">
        <v>6370</v>
      </c>
    </row>
    <row r="175" spans="1:13">
      <c r="A175" t="s">
        <v>463</v>
      </c>
      <c r="B175" t="s">
        <v>464</v>
      </c>
      <c r="C175">
        <v>44840</v>
      </c>
      <c r="D175">
        <v>69931412</v>
      </c>
      <c r="E175">
        <v>13220</v>
      </c>
      <c r="F175">
        <v>61</v>
      </c>
      <c r="G175">
        <v>63786141</v>
      </c>
      <c r="H175">
        <v>759332</v>
      </c>
      <c r="I175">
        <v>6778569349</v>
      </c>
      <c r="J175">
        <v>4</v>
      </c>
      <c r="K175">
        <v>29</v>
      </c>
      <c r="L175">
        <v>0</v>
      </c>
      <c r="M175" t="s">
        <v>6370</v>
      </c>
    </row>
    <row r="176" spans="1:13">
      <c r="A176" t="s">
        <v>467</v>
      </c>
      <c r="B176" t="s">
        <v>141</v>
      </c>
      <c r="C176">
        <v>43831</v>
      </c>
      <c r="D176">
        <v>1977947460</v>
      </c>
      <c r="E176">
        <v>245685</v>
      </c>
      <c r="F176">
        <v>72</v>
      </c>
      <c r="G176">
        <v>1861597184</v>
      </c>
      <c r="H176">
        <v>10999677</v>
      </c>
      <c r="I176">
        <v>21573356</v>
      </c>
      <c r="J176">
        <v>265</v>
      </c>
      <c r="K176">
        <v>241</v>
      </c>
      <c r="L176">
        <v>1</v>
      </c>
      <c r="M176" t="s">
        <v>6371</v>
      </c>
    </row>
    <row r="177" spans="1:13">
      <c r="A177" t="s">
        <v>468</v>
      </c>
      <c r="B177" t="s">
        <v>127</v>
      </c>
      <c r="C177">
        <v>42635</v>
      </c>
      <c r="D177">
        <v>3291262413</v>
      </c>
      <c r="E177">
        <v>366133</v>
      </c>
      <c r="F177">
        <v>84</v>
      </c>
      <c r="G177">
        <v>2829990867</v>
      </c>
      <c r="H177">
        <v>14968547</v>
      </c>
      <c r="I177">
        <v>375498232</v>
      </c>
      <c r="J177">
        <v>341</v>
      </c>
      <c r="K177">
        <v>148</v>
      </c>
      <c r="L177">
        <v>1</v>
      </c>
      <c r="M177" t="s">
        <v>6371</v>
      </c>
    </row>
    <row r="178" spans="1:13">
      <c r="A178" t="s">
        <v>469</v>
      </c>
      <c r="B178" t="s">
        <v>285</v>
      </c>
      <c r="C178">
        <v>42300</v>
      </c>
      <c r="D178">
        <v>2089476497</v>
      </c>
      <c r="E178">
        <v>179545</v>
      </c>
      <c r="F178">
        <v>78</v>
      </c>
      <c r="G178">
        <v>4467507940</v>
      </c>
      <c r="H178">
        <v>22464625</v>
      </c>
      <c r="I178">
        <v>376376728</v>
      </c>
      <c r="J178">
        <v>401</v>
      </c>
      <c r="K178">
        <v>402</v>
      </c>
      <c r="L178">
        <v>0</v>
      </c>
      <c r="M178" t="s">
        <v>6371</v>
      </c>
    </row>
    <row r="179" spans="1:13">
      <c r="A179" t="s">
        <v>470</v>
      </c>
      <c r="B179" t="s">
        <v>471</v>
      </c>
      <c r="C179">
        <v>44239</v>
      </c>
      <c r="D179">
        <v>777064903</v>
      </c>
      <c r="E179">
        <v>213153</v>
      </c>
      <c r="F179">
        <v>71</v>
      </c>
      <c r="G179">
        <v>482028631</v>
      </c>
      <c r="H179">
        <v>5431785</v>
      </c>
      <c r="I179">
        <v>1411545704</v>
      </c>
      <c r="J179">
        <v>118</v>
      </c>
      <c r="K179">
        <v>117</v>
      </c>
      <c r="L179">
        <v>1</v>
      </c>
      <c r="M179" t="s">
        <v>6370</v>
      </c>
    </row>
    <row r="180" spans="1:13">
      <c r="A180" t="s">
        <v>472</v>
      </c>
      <c r="B180" t="s">
        <v>391</v>
      </c>
      <c r="C180">
        <v>44792</v>
      </c>
      <c r="D180">
        <v>736469450</v>
      </c>
      <c r="E180">
        <v>48251</v>
      </c>
      <c r="F180">
        <v>68</v>
      </c>
      <c r="G180">
        <v>868589823</v>
      </c>
      <c r="H180">
        <v>16834955</v>
      </c>
      <c r="I180">
        <v>5828265172</v>
      </c>
      <c r="J180">
        <v>43</v>
      </c>
      <c r="K180">
        <v>406</v>
      </c>
      <c r="L180">
        <v>0</v>
      </c>
      <c r="M180" t="s">
        <v>6370</v>
      </c>
    </row>
    <row r="181" spans="1:13">
      <c r="A181" t="s">
        <v>473</v>
      </c>
      <c r="B181" t="s">
        <v>61</v>
      </c>
      <c r="C181">
        <v>45400</v>
      </c>
      <c r="D181">
        <v>250430303</v>
      </c>
      <c r="E181">
        <v>7079</v>
      </c>
      <c r="F181">
        <v>84</v>
      </c>
      <c r="G181">
        <v>16747466</v>
      </c>
      <c r="H181">
        <v>251549</v>
      </c>
      <c r="I181">
        <v>411722900</v>
      </c>
      <c r="J181">
        <v>72</v>
      </c>
      <c r="K181">
        <v>2</v>
      </c>
      <c r="L181">
        <v>1</v>
      </c>
      <c r="M181" t="s">
        <v>6370</v>
      </c>
    </row>
    <row r="182" spans="1:13">
      <c r="A182" t="s">
        <v>474</v>
      </c>
      <c r="B182" t="s">
        <v>475</v>
      </c>
      <c r="C182">
        <v>43505</v>
      </c>
      <c r="D182">
        <v>1656385770</v>
      </c>
      <c r="E182">
        <v>283938</v>
      </c>
      <c r="F182">
        <v>74</v>
      </c>
      <c r="G182">
        <v>1135382823</v>
      </c>
      <c r="H182">
        <v>15066754</v>
      </c>
      <c r="I182">
        <v>5007036875</v>
      </c>
      <c r="J182">
        <v>219</v>
      </c>
      <c r="K182">
        <v>305</v>
      </c>
      <c r="L182">
        <v>0</v>
      </c>
      <c r="M182" t="s">
        <v>6371</v>
      </c>
    </row>
    <row r="183" spans="1:13">
      <c r="A183" t="s">
        <v>476</v>
      </c>
      <c r="B183" t="s">
        <v>129</v>
      </c>
      <c r="C183">
        <v>44897</v>
      </c>
      <c r="D183">
        <v>682837690</v>
      </c>
      <c r="E183">
        <v>155771</v>
      </c>
      <c r="F183">
        <v>80</v>
      </c>
      <c r="G183">
        <v>191823612</v>
      </c>
      <c r="H183">
        <v>1853827</v>
      </c>
      <c r="I183">
        <v>185584934</v>
      </c>
      <c r="J183">
        <v>56</v>
      </c>
      <c r="K183">
        <v>48</v>
      </c>
      <c r="L183">
        <v>1</v>
      </c>
      <c r="M183" t="s">
        <v>6370</v>
      </c>
    </row>
    <row r="184" spans="1:13">
      <c r="A184" t="s">
        <v>477</v>
      </c>
      <c r="B184" t="s">
        <v>236</v>
      </c>
      <c r="C184">
        <v>45134</v>
      </c>
      <c r="D184">
        <v>347647880</v>
      </c>
      <c r="E184">
        <v>106908</v>
      </c>
      <c r="F184">
        <v>74</v>
      </c>
      <c r="G184">
        <v>30685665</v>
      </c>
      <c r="H184">
        <v>405870</v>
      </c>
      <c r="I184">
        <v>53065653</v>
      </c>
      <c r="J184">
        <v>57</v>
      </c>
      <c r="K184">
        <v>13</v>
      </c>
      <c r="L184">
        <v>1</v>
      </c>
      <c r="M184" t="s">
        <v>6370</v>
      </c>
    </row>
    <row r="185" spans="1:13">
      <c r="A185" t="s">
        <v>480</v>
      </c>
      <c r="B185" t="s">
        <v>141</v>
      </c>
      <c r="C185">
        <v>44687</v>
      </c>
      <c r="D185">
        <v>1108031580</v>
      </c>
      <c r="E185">
        <v>121256</v>
      </c>
      <c r="F185">
        <v>77</v>
      </c>
      <c r="G185">
        <v>765780154</v>
      </c>
      <c r="H185">
        <v>4700638</v>
      </c>
      <c r="I185">
        <v>940630746</v>
      </c>
      <c r="J185">
        <v>104</v>
      </c>
      <c r="K185">
        <v>113</v>
      </c>
      <c r="L185">
        <v>1</v>
      </c>
      <c r="M185" t="s">
        <v>6370</v>
      </c>
    </row>
    <row r="186" spans="1:13">
      <c r="A186" t="s">
        <v>482</v>
      </c>
      <c r="B186" t="s">
        <v>81</v>
      </c>
      <c r="C186">
        <v>43483</v>
      </c>
      <c r="D186">
        <v>2262490403</v>
      </c>
      <c r="E186">
        <v>179865</v>
      </c>
      <c r="F186">
        <v>77</v>
      </c>
      <c r="G186">
        <v>1903198886</v>
      </c>
      <c r="H186">
        <v>22206277</v>
      </c>
      <c r="I186">
        <v>2620954252</v>
      </c>
      <c r="J186">
        <v>220</v>
      </c>
      <c r="K186">
        <v>945</v>
      </c>
      <c r="L186">
        <v>1</v>
      </c>
      <c r="M186" t="s">
        <v>6371</v>
      </c>
    </row>
    <row r="187" spans="1:13">
      <c r="A187" t="s">
        <v>483</v>
      </c>
      <c r="B187" t="s">
        <v>484</v>
      </c>
      <c r="C187">
        <v>44981</v>
      </c>
      <c r="D187">
        <v>701558859</v>
      </c>
      <c r="E187">
        <v>110539</v>
      </c>
      <c r="F187">
        <v>74</v>
      </c>
      <c r="G187">
        <v>209195939</v>
      </c>
      <c r="H187">
        <v>2284142</v>
      </c>
      <c r="I187">
        <v>1114531877</v>
      </c>
      <c r="J187">
        <v>67</v>
      </c>
      <c r="K187">
        <v>126</v>
      </c>
      <c r="L187">
        <v>0</v>
      </c>
      <c r="M187" t="s">
        <v>6370</v>
      </c>
    </row>
    <row r="188" spans="1:13">
      <c r="A188" t="s">
        <v>485</v>
      </c>
      <c r="B188" t="s">
        <v>165</v>
      </c>
      <c r="C188">
        <v>43993</v>
      </c>
      <c r="D188">
        <v>1118038333</v>
      </c>
      <c r="E188">
        <v>142905</v>
      </c>
      <c r="F188">
        <v>67</v>
      </c>
      <c r="G188">
        <v>481447573</v>
      </c>
      <c r="H188">
        <v>3636839</v>
      </c>
      <c r="I188">
        <v>4530095073</v>
      </c>
      <c r="J188">
        <v>198</v>
      </c>
      <c r="K188">
        <v>200</v>
      </c>
      <c r="L188">
        <v>1</v>
      </c>
      <c r="M188" t="s">
        <v>6371</v>
      </c>
    </row>
    <row r="189" spans="1:13">
      <c r="A189" t="s">
        <v>488</v>
      </c>
      <c r="B189" t="s">
        <v>295</v>
      </c>
      <c r="C189">
        <v>43120</v>
      </c>
      <c r="D189">
        <v>2529948475</v>
      </c>
      <c r="E189">
        <v>313741</v>
      </c>
      <c r="F189">
        <v>77</v>
      </c>
      <c r="G189">
        <v>2040639375</v>
      </c>
      <c r="H189">
        <v>19912225</v>
      </c>
      <c r="I189">
        <v>634177218</v>
      </c>
      <c r="J189">
        <v>226</v>
      </c>
      <c r="K189">
        <v>442</v>
      </c>
      <c r="L189">
        <v>1</v>
      </c>
      <c r="M189" t="s">
        <v>6371</v>
      </c>
    </row>
    <row r="190" spans="1:13">
      <c r="A190" t="s">
        <v>489</v>
      </c>
      <c r="B190" t="s">
        <v>490</v>
      </c>
      <c r="C190">
        <v>44526</v>
      </c>
      <c r="D190">
        <v>879708559</v>
      </c>
      <c r="E190">
        <v>44652</v>
      </c>
      <c r="F190">
        <v>12</v>
      </c>
      <c r="G190">
        <v>74610328</v>
      </c>
      <c r="H190">
        <v>807333</v>
      </c>
      <c r="I190">
        <v>22086963233</v>
      </c>
      <c r="J190">
        <v>2</v>
      </c>
      <c r="K190">
        <v>1073</v>
      </c>
      <c r="L190">
        <v>0</v>
      </c>
      <c r="M190" t="s">
        <v>6370</v>
      </c>
    </row>
    <row r="191" spans="1:13">
      <c r="A191" t="s">
        <v>491</v>
      </c>
      <c r="B191" t="s">
        <v>195</v>
      </c>
      <c r="C191">
        <v>45157</v>
      </c>
      <c r="D191">
        <v>521116293</v>
      </c>
      <c r="E191">
        <v>24734</v>
      </c>
      <c r="F191">
        <v>81</v>
      </c>
      <c r="G191">
        <v>427625497</v>
      </c>
      <c r="H191">
        <v>2560068</v>
      </c>
      <c r="I191">
        <v>107781205</v>
      </c>
      <c r="J191">
        <v>18</v>
      </c>
      <c r="K191">
        <v>82</v>
      </c>
      <c r="L191">
        <v>1</v>
      </c>
      <c r="M191" t="s">
        <v>6370</v>
      </c>
    </row>
    <row r="192" spans="1:13">
      <c r="A192" t="s">
        <v>495</v>
      </c>
      <c r="B192" t="s">
        <v>116</v>
      </c>
      <c r="C192">
        <v>42842</v>
      </c>
      <c r="D192">
        <v>1713294983</v>
      </c>
      <c r="E192">
        <v>134700</v>
      </c>
      <c r="F192">
        <v>65</v>
      </c>
      <c r="G192">
        <v>2920155266</v>
      </c>
      <c r="H192">
        <v>17308189</v>
      </c>
      <c r="I192">
        <v>607999568</v>
      </c>
      <c r="J192">
        <v>268</v>
      </c>
      <c r="K192">
        <v>57</v>
      </c>
      <c r="L192">
        <v>0</v>
      </c>
      <c r="M192" t="s">
        <v>6371</v>
      </c>
    </row>
    <row r="193" spans="1:13">
      <c r="A193" t="s">
        <v>496</v>
      </c>
      <c r="B193" t="s">
        <v>285</v>
      </c>
      <c r="C193">
        <v>44274</v>
      </c>
      <c r="D193">
        <v>1586830204</v>
      </c>
      <c r="E193">
        <v>151923</v>
      </c>
      <c r="F193">
        <v>80</v>
      </c>
      <c r="G193">
        <v>476319277</v>
      </c>
      <c r="H193">
        <v>4622504</v>
      </c>
      <c r="I193">
        <v>1180485094</v>
      </c>
      <c r="J193">
        <v>119</v>
      </c>
      <c r="K193">
        <v>3180</v>
      </c>
      <c r="L193">
        <v>0</v>
      </c>
      <c r="M193" t="s">
        <v>6370</v>
      </c>
    </row>
    <row r="194" spans="1:13">
      <c r="A194" t="s">
        <v>497</v>
      </c>
      <c r="B194" t="s">
        <v>355</v>
      </c>
      <c r="C194">
        <v>43672</v>
      </c>
      <c r="D194">
        <v>1070422470</v>
      </c>
      <c r="E194">
        <v>294539</v>
      </c>
      <c r="F194">
        <v>72</v>
      </c>
      <c r="G194">
        <v>909072115</v>
      </c>
      <c r="H194">
        <v>7522969</v>
      </c>
      <c r="I194">
        <v>1077344517</v>
      </c>
      <c r="J194">
        <v>132</v>
      </c>
      <c r="K194">
        <v>53</v>
      </c>
      <c r="L194">
        <v>1</v>
      </c>
      <c r="M194" t="s">
        <v>6371</v>
      </c>
    </row>
    <row r="195" spans="1:13">
      <c r="A195" t="s">
        <v>501</v>
      </c>
      <c r="B195" t="s">
        <v>502</v>
      </c>
      <c r="C195">
        <v>44582</v>
      </c>
      <c r="D195">
        <v>839405565</v>
      </c>
      <c r="E195">
        <v>107431</v>
      </c>
      <c r="F195">
        <v>75</v>
      </c>
      <c r="G195">
        <v>662287768</v>
      </c>
      <c r="H195">
        <v>4695932</v>
      </c>
      <c r="I195">
        <v>4817726878</v>
      </c>
      <c r="J195">
        <v>41</v>
      </c>
      <c r="K195">
        <v>601</v>
      </c>
      <c r="L195">
        <v>1</v>
      </c>
      <c r="M195" t="s">
        <v>6370</v>
      </c>
    </row>
    <row r="196" spans="1:13">
      <c r="A196" t="s">
        <v>503</v>
      </c>
      <c r="B196" t="s">
        <v>504</v>
      </c>
      <c r="C196">
        <v>43161</v>
      </c>
      <c r="D196">
        <v>2218531106</v>
      </c>
      <c r="E196">
        <v>263801</v>
      </c>
      <c r="F196">
        <v>75</v>
      </c>
      <c r="G196">
        <v>1800863873</v>
      </c>
      <c r="H196">
        <v>26301389</v>
      </c>
      <c r="I196">
        <v>435340082</v>
      </c>
      <c r="J196">
        <v>77</v>
      </c>
      <c r="K196">
        <v>107</v>
      </c>
      <c r="L196">
        <v>1</v>
      </c>
      <c r="M196" t="s">
        <v>6371</v>
      </c>
    </row>
    <row r="197" spans="1:13">
      <c r="A197" t="s">
        <v>505</v>
      </c>
      <c r="B197" t="s">
        <v>506</v>
      </c>
      <c r="C197">
        <v>45036</v>
      </c>
      <c r="D197">
        <v>598006591</v>
      </c>
      <c r="E197">
        <v>35842</v>
      </c>
      <c r="F197">
        <v>80</v>
      </c>
      <c r="G197">
        <v>415255950</v>
      </c>
      <c r="H197">
        <v>1480134</v>
      </c>
      <c r="I197">
        <v>1108602382</v>
      </c>
      <c r="J197">
        <v>32</v>
      </c>
      <c r="K197">
        <v>172</v>
      </c>
      <c r="L197">
        <v>0</v>
      </c>
      <c r="M197" t="s">
        <v>6370</v>
      </c>
    </row>
    <row r="198" spans="1:13">
      <c r="A198" t="s">
        <v>507</v>
      </c>
      <c r="B198" t="s">
        <v>141</v>
      </c>
      <c r="C198">
        <v>44687</v>
      </c>
      <c r="D198">
        <v>1293773697</v>
      </c>
      <c r="E198">
        <v>115332</v>
      </c>
      <c r="F198">
        <v>77</v>
      </c>
      <c r="G198">
        <v>501908214</v>
      </c>
      <c r="H198">
        <v>2730759</v>
      </c>
      <c r="I198">
        <v>6046489956</v>
      </c>
      <c r="J198">
        <v>50</v>
      </c>
      <c r="K198">
        <v>48</v>
      </c>
      <c r="L198">
        <v>1</v>
      </c>
      <c r="M198" t="s">
        <v>6370</v>
      </c>
    </row>
    <row r="199" spans="1:13">
      <c r="A199" t="s">
        <v>512</v>
      </c>
      <c r="B199" t="s">
        <v>32</v>
      </c>
      <c r="C199">
        <v>45373</v>
      </c>
      <c r="D199">
        <v>202667139</v>
      </c>
      <c r="E199">
        <v>11945</v>
      </c>
      <c r="F199">
        <v>85</v>
      </c>
      <c r="G199">
        <v>25188125</v>
      </c>
      <c r="H199">
        <v>291189</v>
      </c>
      <c r="I199">
        <v>3500000</v>
      </c>
      <c r="J199">
        <v>56</v>
      </c>
      <c r="K199">
        <v>326</v>
      </c>
      <c r="L199">
        <v>0</v>
      </c>
      <c r="M199" t="s">
        <v>6370</v>
      </c>
    </row>
    <row r="200" spans="1:13">
      <c r="A200" t="s">
        <v>513</v>
      </c>
      <c r="B200" t="s">
        <v>141</v>
      </c>
      <c r="C200">
        <v>44351</v>
      </c>
      <c r="D200">
        <v>1398634184</v>
      </c>
      <c r="E200">
        <v>177082</v>
      </c>
      <c r="F200">
        <v>71</v>
      </c>
      <c r="G200">
        <v>1084871745</v>
      </c>
      <c r="H200">
        <v>7894095</v>
      </c>
      <c r="I200">
        <v>2877719483</v>
      </c>
      <c r="J200">
        <v>145</v>
      </c>
      <c r="K200">
        <v>145</v>
      </c>
      <c r="L200">
        <v>1</v>
      </c>
      <c r="M200" t="s">
        <v>6370</v>
      </c>
    </row>
    <row r="201" spans="1:13">
      <c r="A201" t="s">
        <v>514</v>
      </c>
      <c r="B201" t="s">
        <v>515</v>
      </c>
      <c r="C201">
        <v>42537</v>
      </c>
      <c r="D201">
        <v>1777196966</v>
      </c>
      <c r="E201">
        <v>241108</v>
      </c>
      <c r="F201">
        <v>78</v>
      </c>
      <c r="G201">
        <v>2624180055</v>
      </c>
      <c r="H201">
        <v>21763865</v>
      </c>
      <c r="I201">
        <v>1024805500</v>
      </c>
      <c r="J201">
        <v>125</v>
      </c>
      <c r="K201">
        <v>322</v>
      </c>
      <c r="L201">
        <v>0</v>
      </c>
      <c r="M201" t="s">
        <v>6371</v>
      </c>
    </row>
    <row r="202" spans="1:13">
      <c r="A202" t="s">
        <v>516</v>
      </c>
      <c r="B202" t="s">
        <v>517</v>
      </c>
      <c r="C202">
        <v>44063</v>
      </c>
      <c r="D202">
        <v>775664145</v>
      </c>
      <c r="E202">
        <v>213464</v>
      </c>
      <c r="F202">
        <v>61</v>
      </c>
      <c r="G202">
        <v>810607861</v>
      </c>
      <c r="H202">
        <v>8889460</v>
      </c>
      <c r="I202">
        <v>4864435271</v>
      </c>
      <c r="J202">
        <v>158</v>
      </c>
      <c r="K202">
        <v>533</v>
      </c>
      <c r="L202">
        <v>1</v>
      </c>
      <c r="M202" t="s">
        <v>6371</v>
      </c>
    </row>
    <row r="203" spans="1:13">
      <c r="A203" t="s">
        <v>518</v>
      </c>
      <c r="B203" t="s">
        <v>411</v>
      </c>
      <c r="C203">
        <v>45114</v>
      </c>
      <c r="D203">
        <v>547471596</v>
      </c>
      <c r="E203">
        <v>48103</v>
      </c>
      <c r="F203">
        <v>77</v>
      </c>
      <c r="G203">
        <v>202977396</v>
      </c>
      <c r="H203">
        <v>2705714</v>
      </c>
      <c r="I203">
        <v>1998080214</v>
      </c>
      <c r="J203">
        <v>56</v>
      </c>
      <c r="K203">
        <v>258</v>
      </c>
      <c r="L203">
        <v>0</v>
      </c>
      <c r="M203" t="s">
        <v>6370</v>
      </c>
    </row>
    <row r="204" spans="1:13">
      <c r="A204" t="s">
        <v>519</v>
      </c>
      <c r="B204" t="s">
        <v>520</v>
      </c>
      <c r="C204">
        <v>43328</v>
      </c>
      <c r="D204">
        <v>2143821605</v>
      </c>
      <c r="E204">
        <v>220298</v>
      </c>
      <c r="F204">
        <v>16</v>
      </c>
      <c r="G204">
        <v>1512765689</v>
      </c>
      <c r="H204">
        <v>18732541</v>
      </c>
      <c r="I204">
        <v>809336882</v>
      </c>
      <c r="J204">
        <v>209</v>
      </c>
      <c r="K204">
        <v>293</v>
      </c>
      <c r="L204">
        <v>0</v>
      </c>
      <c r="M204" t="s">
        <v>6371</v>
      </c>
    </row>
    <row r="205" spans="1:13">
      <c r="A205" t="s">
        <v>521</v>
      </c>
      <c r="B205" t="s">
        <v>522</v>
      </c>
      <c r="C205">
        <v>45217</v>
      </c>
      <c r="D205">
        <v>462284590</v>
      </c>
      <c r="E205">
        <v>31617</v>
      </c>
      <c r="F205">
        <v>84</v>
      </c>
      <c r="G205">
        <v>110545167</v>
      </c>
      <c r="H205">
        <v>325395</v>
      </c>
      <c r="I205">
        <v>1947539058</v>
      </c>
      <c r="J205">
        <v>41</v>
      </c>
      <c r="K205">
        <v>721</v>
      </c>
      <c r="L205">
        <v>1</v>
      </c>
      <c r="M205" t="s">
        <v>6370</v>
      </c>
    </row>
    <row r="206" spans="1:13">
      <c r="A206" t="s">
        <v>523</v>
      </c>
      <c r="B206" t="s">
        <v>106</v>
      </c>
      <c r="C206">
        <v>45023</v>
      </c>
      <c r="D206">
        <v>509231024</v>
      </c>
      <c r="E206">
        <v>69486</v>
      </c>
      <c r="F206">
        <v>79</v>
      </c>
      <c r="G206">
        <v>40223001</v>
      </c>
      <c r="H206">
        <v>328421</v>
      </c>
      <c r="I206">
        <v>312</v>
      </c>
      <c r="J206">
        <v>145</v>
      </c>
      <c r="K206">
        <v>425</v>
      </c>
      <c r="L206">
        <v>0</v>
      </c>
      <c r="M206" t="s">
        <v>6370</v>
      </c>
    </row>
    <row r="207" spans="1:13">
      <c r="A207" t="s">
        <v>524</v>
      </c>
      <c r="B207" t="s">
        <v>252</v>
      </c>
      <c r="C207">
        <v>44337</v>
      </c>
      <c r="D207">
        <v>1257974135</v>
      </c>
      <c r="E207">
        <v>90160</v>
      </c>
      <c r="F207">
        <v>70</v>
      </c>
      <c r="G207">
        <v>1175755478</v>
      </c>
      <c r="H207">
        <v>27744989</v>
      </c>
      <c r="I207">
        <v>8120632702</v>
      </c>
      <c r="J207">
        <v>221</v>
      </c>
      <c r="K207">
        <v>545</v>
      </c>
      <c r="L207">
        <v>0</v>
      </c>
      <c r="M207" t="s">
        <v>6370</v>
      </c>
    </row>
    <row r="208" spans="1:13">
      <c r="A208" t="s">
        <v>526</v>
      </c>
      <c r="B208" t="s">
        <v>527</v>
      </c>
      <c r="C208">
        <v>43378</v>
      </c>
      <c r="D208">
        <v>1153753974</v>
      </c>
      <c r="E208">
        <v>118846</v>
      </c>
      <c r="F208">
        <v>67</v>
      </c>
      <c r="G208">
        <v>2890512374</v>
      </c>
      <c r="H208">
        <v>13572964</v>
      </c>
      <c r="I208">
        <v>124640416</v>
      </c>
      <c r="J208">
        <v>152</v>
      </c>
      <c r="K208">
        <v>7</v>
      </c>
      <c r="L208">
        <v>0</v>
      </c>
      <c r="M208" t="s">
        <v>6371</v>
      </c>
    </row>
    <row r="209" spans="1:13">
      <c r="A209" t="s">
        <v>528</v>
      </c>
      <c r="B209" t="s">
        <v>338</v>
      </c>
      <c r="C209">
        <v>42496</v>
      </c>
      <c r="D209">
        <v>1733302434</v>
      </c>
      <c r="E209">
        <v>191065</v>
      </c>
      <c r="F209">
        <v>72</v>
      </c>
      <c r="G209">
        <v>2322229374</v>
      </c>
      <c r="H209">
        <v>9042088</v>
      </c>
      <c r="I209">
        <v>153590873</v>
      </c>
      <c r="J209">
        <v>459</v>
      </c>
      <c r="K209">
        <v>576</v>
      </c>
      <c r="L209">
        <v>0</v>
      </c>
      <c r="M209" t="s">
        <v>6371</v>
      </c>
    </row>
    <row r="210" spans="1:13">
      <c r="A210" t="s">
        <v>529</v>
      </c>
      <c r="B210" t="s">
        <v>68</v>
      </c>
      <c r="C210">
        <v>43776</v>
      </c>
      <c r="D210">
        <v>1199270601</v>
      </c>
      <c r="E210">
        <v>161574</v>
      </c>
      <c r="F210">
        <v>69</v>
      </c>
      <c r="G210">
        <v>879051516</v>
      </c>
      <c r="H210">
        <v>10069968</v>
      </c>
      <c r="I210">
        <v>5494376938</v>
      </c>
      <c r="J210">
        <v>295</v>
      </c>
      <c r="K210">
        <v>531</v>
      </c>
      <c r="L210">
        <v>1</v>
      </c>
      <c r="M210" t="s">
        <v>6371</v>
      </c>
    </row>
    <row r="211" spans="1:13">
      <c r="A211" t="s">
        <v>530</v>
      </c>
      <c r="B211" t="s">
        <v>531</v>
      </c>
      <c r="C211">
        <v>43607</v>
      </c>
      <c r="D211">
        <v>1355971796</v>
      </c>
      <c r="E211">
        <v>198992</v>
      </c>
      <c r="F211">
        <v>77</v>
      </c>
      <c r="G211">
        <v>749040183</v>
      </c>
      <c r="H211">
        <v>8156272</v>
      </c>
      <c r="I211">
        <v>532109309</v>
      </c>
      <c r="J211">
        <v>99</v>
      </c>
      <c r="K211">
        <v>154</v>
      </c>
      <c r="L211">
        <v>1</v>
      </c>
      <c r="M211" t="s">
        <v>6371</v>
      </c>
    </row>
    <row r="212" spans="1:13">
      <c r="A212" t="s">
        <v>532</v>
      </c>
      <c r="B212" t="s">
        <v>420</v>
      </c>
      <c r="C212">
        <v>44762</v>
      </c>
      <c r="D212">
        <v>1136504636</v>
      </c>
      <c r="E212">
        <v>152157</v>
      </c>
      <c r="F212">
        <v>81</v>
      </c>
      <c r="G212">
        <v>154143867</v>
      </c>
      <c r="H212">
        <v>2307573</v>
      </c>
      <c r="I212">
        <v>1306972284</v>
      </c>
      <c r="J212">
        <v>65</v>
      </c>
      <c r="K212">
        <v>43</v>
      </c>
      <c r="L212">
        <v>0</v>
      </c>
      <c r="M212" t="s">
        <v>6370</v>
      </c>
    </row>
    <row r="213" spans="1:13">
      <c r="A213" t="s">
        <v>533</v>
      </c>
      <c r="B213" t="s">
        <v>318</v>
      </c>
      <c r="C213">
        <v>45436</v>
      </c>
      <c r="D213">
        <v>60240739</v>
      </c>
      <c r="E213">
        <v>4611</v>
      </c>
      <c r="F213">
        <v>84</v>
      </c>
      <c r="G213">
        <v>3322959</v>
      </c>
      <c r="H213">
        <v>65840</v>
      </c>
      <c r="I213">
        <v>843600</v>
      </c>
      <c r="J213">
        <v>82</v>
      </c>
      <c r="K213">
        <v>1</v>
      </c>
      <c r="L213">
        <v>0</v>
      </c>
      <c r="M213" t="s">
        <v>6370</v>
      </c>
    </row>
    <row r="214" spans="1:13">
      <c r="A214" t="s">
        <v>534</v>
      </c>
      <c r="B214" t="s">
        <v>535</v>
      </c>
      <c r="C214">
        <v>42664</v>
      </c>
      <c r="D214">
        <v>1528107667</v>
      </c>
      <c r="E214">
        <v>170648</v>
      </c>
      <c r="F214">
        <v>73</v>
      </c>
      <c r="G214">
        <v>3187869227</v>
      </c>
      <c r="H214">
        <v>16180445</v>
      </c>
      <c r="I214">
        <v>595697842</v>
      </c>
      <c r="J214">
        <v>188</v>
      </c>
      <c r="K214">
        <v>83</v>
      </c>
      <c r="L214">
        <v>1</v>
      </c>
      <c r="M214" t="s">
        <v>6371</v>
      </c>
    </row>
    <row r="215" spans="1:13">
      <c r="A215" t="s">
        <v>539</v>
      </c>
      <c r="B215" t="s">
        <v>313</v>
      </c>
      <c r="C215">
        <v>45009</v>
      </c>
      <c r="D215">
        <v>647201484</v>
      </c>
      <c r="E215">
        <v>81393</v>
      </c>
      <c r="F215">
        <v>74</v>
      </c>
      <c r="G215">
        <v>186060248</v>
      </c>
      <c r="H215">
        <v>1524559</v>
      </c>
      <c r="I215">
        <v>1792090770</v>
      </c>
      <c r="J215">
        <v>117</v>
      </c>
      <c r="K215">
        <v>277</v>
      </c>
      <c r="L215">
        <v>0</v>
      </c>
      <c r="M215" t="s">
        <v>6370</v>
      </c>
    </row>
    <row r="216" spans="1:13">
      <c r="A216" t="s">
        <v>542</v>
      </c>
      <c r="B216" t="s">
        <v>506</v>
      </c>
      <c r="C216">
        <v>44904</v>
      </c>
      <c r="D216">
        <v>684853927</v>
      </c>
      <c r="E216">
        <v>42893</v>
      </c>
      <c r="F216">
        <v>73</v>
      </c>
      <c r="G216">
        <v>547937715</v>
      </c>
      <c r="H216">
        <v>1638787</v>
      </c>
      <c r="I216">
        <v>1162186778</v>
      </c>
      <c r="J216">
        <v>45</v>
      </c>
      <c r="K216">
        <v>358</v>
      </c>
      <c r="L216">
        <v>1</v>
      </c>
      <c r="M216" t="s">
        <v>6370</v>
      </c>
    </row>
    <row r="217" spans="1:13">
      <c r="A217" t="s">
        <v>545</v>
      </c>
      <c r="B217" t="s">
        <v>546</v>
      </c>
      <c r="C217">
        <v>44851</v>
      </c>
      <c r="D217">
        <v>665519026</v>
      </c>
      <c r="E217">
        <v>152193</v>
      </c>
      <c r="F217">
        <v>68</v>
      </c>
      <c r="G217">
        <v>187947945</v>
      </c>
      <c r="H217">
        <v>2379515</v>
      </c>
      <c r="I217">
        <v>5516142056</v>
      </c>
      <c r="J217">
        <v>73</v>
      </c>
      <c r="K217">
        <v>5729</v>
      </c>
      <c r="L217">
        <v>1</v>
      </c>
      <c r="M217" t="s">
        <v>6370</v>
      </c>
    </row>
    <row r="218" spans="1:13">
      <c r="A218" t="s">
        <v>547</v>
      </c>
      <c r="B218" t="s">
        <v>355</v>
      </c>
      <c r="C218">
        <v>44015</v>
      </c>
      <c r="D218">
        <v>785016247</v>
      </c>
      <c r="E218">
        <v>210669</v>
      </c>
      <c r="F218">
        <v>70</v>
      </c>
      <c r="G218">
        <v>654629596</v>
      </c>
      <c r="H218">
        <v>5578060</v>
      </c>
      <c r="I218">
        <v>976662212</v>
      </c>
      <c r="J218">
        <v>100</v>
      </c>
      <c r="K218">
        <v>25</v>
      </c>
      <c r="L218">
        <v>1</v>
      </c>
      <c r="M218" t="s">
        <v>6371</v>
      </c>
    </row>
    <row r="219" spans="1:13">
      <c r="A219" t="s">
        <v>549</v>
      </c>
      <c r="B219" t="s">
        <v>295</v>
      </c>
      <c r="C219">
        <v>44869</v>
      </c>
      <c r="D219">
        <v>812274757</v>
      </c>
      <c r="E219">
        <v>185579</v>
      </c>
      <c r="F219">
        <v>73</v>
      </c>
      <c r="G219">
        <v>86053276</v>
      </c>
      <c r="H219">
        <v>651228</v>
      </c>
      <c r="I219">
        <v>1834709832</v>
      </c>
      <c r="J219">
        <v>116</v>
      </c>
      <c r="K219">
        <v>128</v>
      </c>
      <c r="L219">
        <v>1</v>
      </c>
      <c r="M219" t="s">
        <v>6370</v>
      </c>
    </row>
    <row r="220" spans="1:13">
      <c r="A220" t="s">
        <v>550</v>
      </c>
      <c r="B220" t="s">
        <v>299</v>
      </c>
      <c r="C220">
        <v>45233</v>
      </c>
      <c r="D220">
        <v>675865902</v>
      </c>
      <c r="E220">
        <v>23181</v>
      </c>
      <c r="F220">
        <v>85</v>
      </c>
      <c r="G220">
        <v>130563278</v>
      </c>
      <c r="H220">
        <v>4183405</v>
      </c>
      <c r="I220">
        <v>628043802</v>
      </c>
      <c r="J220">
        <v>37</v>
      </c>
      <c r="K220">
        <v>25</v>
      </c>
      <c r="L220">
        <v>0</v>
      </c>
      <c r="M220" t="s">
        <v>6370</v>
      </c>
    </row>
    <row r="221" spans="1:13">
      <c r="A221" t="s">
        <v>551</v>
      </c>
      <c r="B221" t="s">
        <v>47</v>
      </c>
      <c r="C221">
        <v>42678</v>
      </c>
      <c r="D221">
        <v>1984802459</v>
      </c>
      <c r="E221">
        <v>246374</v>
      </c>
      <c r="F221">
        <v>75</v>
      </c>
      <c r="G221">
        <v>1790918527</v>
      </c>
      <c r="H221">
        <v>11063672</v>
      </c>
      <c r="I221">
        <v>811673866</v>
      </c>
      <c r="J221">
        <v>143</v>
      </c>
      <c r="K221">
        <v>57</v>
      </c>
      <c r="L221">
        <v>1</v>
      </c>
      <c r="M221" t="s">
        <v>6371</v>
      </c>
    </row>
    <row r="222" spans="1:13">
      <c r="A222" t="s">
        <v>552</v>
      </c>
      <c r="B222" t="s">
        <v>553</v>
      </c>
      <c r="C222">
        <v>44428</v>
      </c>
      <c r="D222">
        <v>805019111</v>
      </c>
      <c r="E222">
        <v>238887</v>
      </c>
      <c r="F222">
        <v>73</v>
      </c>
      <c r="G222">
        <v>117678524</v>
      </c>
      <c r="H222">
        <v>1540284</v>
      </c>
      <c r="I222">
        <v>10369065597</v>
      </c>
      <c r="J222">
        <v>192</v>
      </c>
      <c r="K222">
        <v>2822</v>
      </c>
      <c r="L222">
        <v>0</v>
      </c>
      <c r="M222" t="s">
        <v>6370</v>
      </c>
    </row>
    <row r="223" spans="1:13">
      <c r="A223" t="s">
        <v>554</v>
      </c>
      <c r="B223" t="s">
        <v>170</v>
      </c>
      <c r="C223">
        <v>43776</v>
      </c>
      <c r="D223">
        <v>1497511486</v>
      </c>
      <c r="E223">
        <v>157185</v>
      </c>
      <c r="F223">
        <v>68</v>
      </c>
      <c r="G223">
        <v>1816772749</v>
      </c>
      <c r="H223">
        <v>12498062</v>
      </c>
      <c r="I223">
        <v>414336041</v>
      </c>
      <c r="J223">
        <v>232</v>
      </c>
      <c r="K223">
        <v>111</v>
      </c>
      <c r="L223">
        <v>0</v>
      </c>
      <c r="M223" t="s">
        <v>6371</v>
      </c>
    </row>
    <row r="224" spans="1:13">
      <c r="A224" t="s">
        <v>555</v>
      </c>
      <c r="B224" t="s">
        <v>355</v>
      </c>
      <c r="C224">
        <v>44015</v>
      </c>
      <c r="D224">
        <v>1119350842</v>
      </c>
      <c r="E224">
        <v>272485</v>
      </c>
      <c r="F224">
        <v>71</v>
      </c>
      <c r="G224">
        <v>767399825</v>
      </c>
      <c r="H224">
        <v>6283245</v>
      </c>
      <c r="I224">
        <v>1505078331</v>
      </c>
      <c r="J224">
        <v>206</v>
      </c>
      <c r="K224">
        <v>234</v>
      </c>
      <c r="L224">
        <v>1</v>
      </c>
      <c r="M224" t="s">
        <v>6371</v>
      </c>
    </row>
    <row r="225" spans="1:13">
      <c r="A225" t="s">
        <v>556</v>
      </c>
      <c r="B225" t="s">
        <v>557</v>
      </c>
      <c r="C225">
        <v>45142</v>
      </c>
      <c r="D225">
        <v>53825007</v>
      </c>
      <c r="E225">
        <v>14742</v>
      </c>
      <c r="F225">
        <v>59</v>
      </c>
      <c r="G225">
        <v>83224436</v>
      </c>
      <c r="H225">
        <v>607267</v>
      </c>
      <c r="I225">
        <v>89022964</v>
      </c>
      <c r="J225">
        <v>22</v>
      </c>
      <c r="K225">
        <v>33</v>
      </c>
      <c r="L225">
        <v>1</v>
      </c>
      <c r="M225" t="s">
        <v>6370</v>
      </c>
    </row>
    <row r="226" spans="1:13">
      <c r="A226" t="s">
        <v>558</v>
      </c>
      <c r="B226" t="s">
        <v>559</v>
      </c>
      <c r="C226">
        <v>45247</v>
      </c>
      <c r="D226">
        <v>273023490</v>
      </c>
      <c r="E226">
        <v>17900</v>
      </c>
      <c r="F226">
        <v>87</v>
      </c>
      <c r="G226">
        <v>28916868</v>
      </c>
      <c r="H226">
        <v>303426</v>
      </c>
      <c r="I226">
        <v>2850135008</v>
      </c>
      <c r="J226">
        <v>99</v>
      </c>
      <c r="K226">
        <v>449</v>
      </c>
      <c r="L226">
        <v>1</v>
      </c>
      <c r="M226" t="s">
        <v>6370</v>
      </c>
    </row>
    <row r="227" spans="1:13">
      <c r="A227" t="s">
        <v>560</v>
      </c>
      <c r="B227" t="s">
        <v>295</v>
      </c>
      <c r="C227">
        <v>45023</v>
      </c>
      <c r="D227">
        <v>337858357</v>
      </c>
      <c r="E227">
        <v>96709</v>
      </c>
      <c r="F227">
        <v>69</v>
      </c>
      <c r="G227">
        <v>40938953</v>
      </c>
      <c r="H227">
        <v>336819</v>
      </c>
      <c r="I227">
        <v>192701225</v>
      </c>
      <c r="J227">
        <v>89</v>
      </c>
      <c r="K227">
        <v>162</v>
      </c>
      <c r="L227">
        <v>1</v>
      </c>
      <c r="M227" t="s">
        <v>6370</v>
      </c>
    </row>
    <row r="228" spans="1:13">
      <c r="A228" t="s">
        <v>561</v>
      </c>
      <c r="B228" t="s">
        <v>200</v>
      </c>
      <c r="C228">
        <v>45105</v>
      </c>
      <c r="D228">
        <v>390182196</v>
      </c>
      <c r="E228">
        <v>36912</v>
      </c>
      <c r="F228">
        <v>74</v>
      </c>
      <c r="G228">
        <v>253468644</v>
      </c>
      <c r="H228">
        <v>1103093</v>
      </c>
      <c r="I228">
        <v>1391833232</v>
      </c>
      <c r="J228">
        <v>44</v>
      </c>
      <c r="K228">
        <v>71</v>
      </c>
      <c r="L228">
        <v>1</v>
      </c>
      <c r="M228" t="s">
        <v>6370</v>
      </c>
    </row>
    <row r="229" spans="1:13">
      <c r="A229" t="s">
        <v>562</v>
      </c>
      <c r="B229" t="s">
        <v>123</v>
      </c>
      <c r="C229">
        <v>43831</v>
      </c>
      <c r="D229">
        <v>1568058093</v>
      </c>
      <c r="E229">
        <v>188855</v>
      </c>
      <c r="F229">
        <v>77</v>
      </c>
      <c r="G229">
        <v>683237554</v>
      </c>
      <c r="H229">
        <v>4641763</v>
      </c>
      <c r="I229">
        <v>1292107474</v>
      </c>
      <c r="J229">
        <v>263</v>
      </c>
      <c r="K229">
        <v>1773</v>
      </c>
      <c r="L229">
        <v>0</v>
      </c>
      <c r="M229" t="s">
        <v>6371</v>
      </c>
    </row>
    <row r="230" spans="1:13">
      <c r="A230" t="s">
        <v>565</v>
      </c>
      <c r="B230" t="s">
        <v>566</v>
      </c>
      <c r="C230">
        <v>44118</v>
      </c>
      <c r="D230">
        <v>90383224</v>
      </c>
      <c r="E230">
        <v>24868</v>
      </c>
      <c r="F230">
        <v>45</v>
      </c>
      <c r="G230">
        <v>29836991</v>
      </c>
      <c r="H230">
        <v>627377</v>
      </c>
      <c r="I230">
        <v>4082175492</v>
      </c>
      <c r="J230">
        <v>20</v>
      </c>
      <c r="K230">
        <v>423</v>
      </c>
      <c r="L230">
        <v>1</v>
      </c>
      <c r="M230" t="s">
        <v>6371</v>
      </c>
    </row>
    <row r="231" spans="1:13">
      <c r="A231" t="s">
        <v>489</v>
      </c>
      <c r="B231" t="s">
        <v>490</v>
      </c>
      <c r="C231">
        <v>44533</v>
      </c>
      <c r="D231">
        <v>890752779</v>
      </c>
      <c r="E231">
        <v>104690</v>
      </c>
      <c r="F231">
        <v>79</v>
      </c>
      <c r="G231">
        <v>169046580</v>
      </c>
      <c r="H231">
        <v>1678946</v>
      </c>
      <c r="I231">
        <v>5807175</v>
      </c>
      <c r="J231">
        <v>149</v>
      </c>
      <c r="K231">
        <v>491</v>
      </c>
      <c r="L231">
        <v>0</v>
      </c>
      <c r="M231" t="s">
        <v>6370</v>
      </c>
    </row>
    <row r="232" spans="1:13">
      <c r="A232" t="s">
        <v>571</v>
      </c>
      <c r="B232" t="s">
        <v>572</v>
      </c>
      <c r="C232">
        <v>45078</v>
      </c>
      <c r="D232">
        <v>373898429</v>
      </c>
      <c r="E232">
        <v>53671</v>
      </c>
      <c r="F232">
        <v>72</v>
      </c>
      <c r="G232">
        <v>314467618</v>
      </c>
      <c r="H232">
        <v>1775081</v>
      </c>
      <c r="I232">
        <v>1715842070</v>
      </c>
      <c r="J232">
        <v>42</v>
      </c>
      <c r="K232">
        <v>3</v>
      </c>
      <c r="L232">
        <v>0</v>
      </c>
      <c r="M232" t="s">
        <v>6370</v>
      </c>
    </row>
    <row r="233" spans="1:13">
      <c r="A233" t="s">
        <v>573</v>
      </c>
      <c r="B233" t="s">
        <v>574</v>
      </c>
      <c r="C233">
        <v>43236</v>
      </c>
      <c r="D233">
        <v>1358105253</v>
      </c>
      <c r="E233">
        <v>217189</v>
      </c>
      <c r="F233">
        <v>69</v>
      </c>
      <c r="G233">
        <v>1875005008</v>
      </c>
      <c r="H233">
        <v>10236903</v>
      </c>
      <c r="I233">
        <v>1981780200</v>
      </c>
      <c r="J233">
        <v>67</v>
      </c>
      <c r="K233">
        <v>142</v>
      </c>
      <c r="L233">
        <v>1</v>
      </c>
      <c r="M233" t="s">
        <v>6371</v>
      </c>
    </row>
    <row r="234" spans="1:13">
      <c r="A234" t="s">
        <v>575</v>
      </c>
      <c r="B234" t="s">
        <v>576</v>
      </c>
      <c r="C234">
        <v>44602</v>
      </c>
      <c r="D234">
        <v>911797058</v>
      </c>
      <c r="E234">
        <v>80109</v>
      </c>
      <c r="F234">
        <v>74</v>
      </c>
      <c r="G234">
        <v>628307968</v>
      </c>
      <c r="H234">
        <v>4924401</v>
      </c>
      <c r="I234">
        <v>3410691967</v>
      </c>
      <c r="J234">
        <v>125</v>
      </c>
      <c r="K234">
        <v>430</v>
      </c>
      <c r="L234">
        <v>1</v>
      </c>
      <c r="M234" t="s">
        <v>6370</v>
      </c>
    </row>
    <row r="235" spans="1:13">
      <c r="A235" t="s">
        <v>577</v>
      </c>
      <c r="B235" t="s">
        <v>578</v>
      </c>
      <c r="C235">
        <v>44440</v>
      </c>
      <c r="D235">
        <v>1020452066</v>
      </c>
      <c r="E235">
        <v>169696</v>
      </c>
      <c r="F235">
        <v>73</v>
      </c>
      <c r="G235">
        <v>385820349</v>
      </c>
      <c r="H235">
        <v>4710732</v>
      </c>
      <c r="I235">
        <v>3320885451</v>
      </c>
      <c r="J235">
        <v>75</v>
      </c>
      <c r="K235">
        <v>1886</v>
      </c>
      <c r="L235">
        <v>0</v>
      </c>
      <c r="M235" t="s">
        <v>6370</v>
      </c>
    </row>
    <row r="236" spans="1:13">
      <c r="A236" t="s">
        <v>580</v>
      </c>
      <c r="B236" t="s">
        <v>581</v>
      </c>
      <c r="C236">
        <v>43693</v>
      </c>
      <c r="D236">
        <v>27747363</v>
      </c>
      <c r="E236">
        <v>9067</v>
      </c>
      <c r="F236">
        <v>41</v>
      </c>
      <c r="G236">
        <v>136028794</v>
      </c>
      <c r="H236">
        <v>1352520</v>
      </c>
      <c r="I236">
        <v>11797196743</v>
      </c>
      <c r="J236">
        <v>12</v>
      </c>
      <c r="K236">
        <v>100</v>
      </c>
      <c r="L236">
        <v>0</v>
      </c>
      <c r="M236" t="s">
        <v>6371</v>
      </c>
    </row>
    <row r="237" spans="1:13">
      <c r="A237" t="s">
        <v>582</v>
      </c>
      <c r="B237" t="s">
        <v>583</v>
      </c>
      <c r="C237">
        <v>44750</v>
      </c>
      <c r="D237">
        <v>965865213</v>
      </c>
      <c r="E237">
        <v>113676</v>
      </c>
      <c r="F237">
        <v>86</v>
      </c>
      <c r="G237">
        <v>89431811</v>
      </c>
      <c r="H237">
        <v>659870</v>
      </c>
      <c r="I237">
        <v>275016537</v>
      </c>
      <c r="J237">
        <v>148</v>
      </c>
      <c r="K237">
        <v>577</v>
      </c>
      <c r="L237">
        <v>0</v>
      </c>
      <c r="M237" t="s">
        <v>6370</v>
      </c>
    </row>
    <row r="238" spans="1:13">
      <c r="A238" t="s">
        <v>584</v>
      </c>
      <c r="B238" t="s">
        <v>68</v>
      </c>
      <c r="C238">
        <v>44358</v>
      </c>
      <c r="D238">
        <v>1178076856</v>
      </c>
      <c r="E238">
        <v>164743</v>
      </c>
      <c r="F238">
        <v>71</v>
      </c>
      <c r="G238">
        <v>507790705</v>
      </c>
      <c r="H238">
        <v>6169368</v>
      </c>
      <c r="I238">
        <v>2422643413</v>
      </c>
      <c r="J238">
        <v>195</v>
      </c>
      <c r="K238">
        <v>1451</v>
      </c>
      <c r="L238">
        <v>1</v>
      </c>
      <c r="M238" t="s">
        <v>6370</v>
      </c>
    </row>
    <row r="239" spans="1:13">
      <c r="A239" t="s">
        <v>587</v>
      </c>
      <c r="B239" t="s">
        <v>588</v>
      </c>
      <c r="C239">
        <v>44854</v>
      </c>
      <c r="D239">
        <v>394381902</v>
      </c>
      <c r="E239">
        <v>22919</v>
      </c>
      <c r="F239">
        <v>73</v>
      </c>
      <c r="G239">
        <v>805683907</v>
      </c>
      <c r="H239">
        <v>2076505</v>
      </c>
      <c r="I239">
        <v>847830213</v>
      </c>
      <c r="J239">
        <v>24</v>
      </c>
      <c r="K239">
        <v>1169</v>
      </c>
      <c r="L239">
        <v>0</v>
      </c>
      <c r="M239" t="s">
        <v>6370</v>
      </c>
    </row>
    <row r="240" spans="1:13">
      <c r="A240" t="s">
        <v>589</v>
      </c>
      <c r="B240" t="s">
        <v>590</v>
      </c>
      <c r="C240">
        <v>44693</v>
      </c>
      <c r="D240">
        <v>410722289</v>
      </c>
      <c r="E240">
        <v>130203</v>
      </c>
      <c r="F240">
        <v>68</v>
      </c>
      <c r="G240">
        <v>332556651</v>
      </c>
      <c r="H240">
        <v>1906835</v>
      </c>
      <c r="I240">
        <v>1049244970</v>
      </c>
      <c r="J240">
        <v>203</v>
      </c>
      <c r="K240">
        <v>2031</v>
      </c>
      <c r="L240">
        <v>0</v>
      </c>
      <c r="M240" t="s">
        <v>6370</v>
      </c>
    </row>
    <row r="241" spans="1:13">
      <c r="A241" t="s">
        <v>593</v>
      </c>
      <c r="B241" t="s">
        <v>531</v>
      </c>
      <c r="C241">
        <v>45128</v>
      </c>
      <c r="D241">
        <v>350584176</v>
      </c>
      <c r="E241">
        <v>79228</v>
      </c>
      <c r="F241">
        <v>68</v>
      </c>
      <c r="G241">
        <v>32342535</v>
      </c>
      <c r="H241">
        <v>452857</v>
      </c>
      <c r="I241">
        <v>11627298</v>
      </c>
      <c r="J241">
        <v>19</v>
      </c>
      <c r="K241">
        <v>1452</v>
      </c>
      <c r="L241">
        <v>1</v>
      </c>
      <c r="M241" t="s">
        <v>6370</v>
      </c>
    </row>
    <row r="242" spans="1:13">
      <c r="A242" t="s">
        <v>594</v>
      </c>
      <c r="B242" t="s">
        <v>295</v>
      </c>
      <c r="C242">
        <v>44442</v>
      </c>
      <c r="D242">
        <v>732652170</v>
      </c>
      <c r="E242">
        <v>217189</v>
      </c>
      <c r="F242">
        <v>72</v>
      </c>
      <c r="G242">
        <v>247680355</v>
      </c>
      <c r="H242">
        <v>2184804</v>
      </c>
      <c r="I242">
        <v>711702658</v>
      </c>
      <c r="J242">
        <v>67</v>
      </c>
      <c r="K242">
        <v>443</v>
      </c>
      <c r="L242">
        <v>1</v>
      </c>
      <c r="M242" t="s">
        <v>6370</v>
      </c>
    </row>
    <row r="243" spans="1:13">
      <c r="A243" t="s">
        <v>595</v>
      </c>
      <c r="B243" t="s">
        <v>596</v>
      </c>
      <c r="C243">
        <v>44700</v>
      </c>
      <c r="D243">
        <v>359416593</v>
      </c>
      <c r="E243">
        <v>91114</v>
      </c>
      <c r="F243">
        <v>64</v>
      </c>
      <c r="G243">
        <v>116400996</v>
      </c>
      <c r="H243">
        <v>2127918</v>
      </c>
      <c r="I243">
        <v>10488403602</v>
      </c>
      <c r="J243">
        <v>40</v>
      </c>
      <c r="K243">
        <v>7064</v>
      </c>
      <c r="L243">
        <v>1</v>
      </c>
      <c r="M243" t="s">
        <v>6370</v>
      </c>
    </row>
    <row r="244" spans="1:13">
      <c r="A244" t="s">
        <v>600</v>
      </c>
      <c r="B244" t="s">
        <v>301</v>
      </c>
      <c r="C244">
        <v>44988</v>
      </c>
      <c r="D244">
        <v>406319778</v>
      </c>
      <c r="E244">
        <v>42283</v>
      </c>
      <c r="F244">
        <v>80</v>
      </c>
      <c r="G244">
        <v>84066193</v>
      </c>
      <c r="H244">
        <v>368256</v>
      </c>
      <c r="I244">
        <v>99492470</v>
      </c>
      <c r="J244">
        <v>50</v>
      </c>
      <c r="K244">
        <v>145</v>
      </c>
      <c r="L244">
        <v>0</v>
      </c>
      <c r="M244" t="s">
        <v>6370</v>
      </c>
    </row>
    <row r="245" spans="1:13">
      <c r="A245" t="s">
        <v>603</v>
      </c>
      <c r="B245" t="s">
        <v>266</v>
      </c>
      <c r="C245">
        <v>44287</v>
      </c>
      <c r="D245">
        <v>1606975517</v>
      </c>
      <c r="E245">
        <v>172376</v>
      </c>
      <c r="F245">
        <v>80</v>
      </c>
      <c r="G245">
        <v>638102695</v>
      </c>
      <c r="H245">
        <v>7847239</v>
      </c>
      <c r="I245">
        <v>3758269019</v>
      </c>
      <c r="J245">
        <v>206</v>
      </c>
      <c r="K245">
        <v>332</v>
      </c>
      <c r="L245">
        <v>1</v>
      </c>
      <c r="M245" t="s">
        <v>6370</v>
      </c>
    </row>
    <row r="246" spans="1:13">
      <c r="A246" t="s">
        <v>610</v>
      </c>
      <c r="B246" t="s">
        <v>43</v>
      </c>
      <c r="C246">
        <v>44763</v>
      </c>
      <c r="D246">
        <v>676519766</v>
      </c>
      <c r="E246">
        <v>192241</v>
      </c>
      <c r="F246">
        <v>74</v>
      </c>
      <c r="G246">
        <v>201326163</v>
      </c>
      <c r="H246">
        <v>3061387</v>
      </c>
      <c r="I246">
        <v>3919404141</v>
      </c>
      <c r="J246">
        <v>66</v>
      </c>
      <c r="K246">
        <v>2699</v>
      </c>
      <c r="L246">
        <v>1</v>
      </c>
      <c r="M246" t="s">
        <v>6370</v>
      </c>
    </row>
    <row r="247" spans="1:13">
      <c r="A247" t="s">
        <v>611</v>
      </c>
      <c r="B247" t="s">
        <v>391</v>
      </c>
      <c r="C247">
        <v>43559</v>
      </c>
      <c r="D247">
        <v>820840650</v>
      </c>
      <c r="E247">
        <v>63934</v>
      </c>
      <c r="F247">
        <v>67</v>
      </c>
      <c r="G247">
        <v>2920436498</v>
      </c>
      <c r="H247">
        <v>40314889</v>
      </c>
      <c r="I247">
        <v>1616215054</v>
      </c>
      <c r="J247">
        <v>67</v>
      </c>
      <c r="K247">
        <v>24</v>
      </c>
      <c r="L247">
        <v>0</v>
      </c>
      <c r="M247" t="s">
        <v>6371</v>
      </c>
    </row>
    <row r="248" spans="1:13">
      <c r="A248" t="s">
        <v>616</v>
      </c>
      <c r="B248" t="s">
        <v>617</v>
      </c>
      <c r="C248">
        <v>43329</v>
      </c>
      <c r="D248">
        <v>1668741024</v>
      </c>
      <c r="E248">
        <v>174052</v>
      </c>
      <c r="F248">
        <v>76</v>
      </c>
      <c r="G248">
        <v>1254501233</v>
      </c>
      <c r="H248">
        <v>9554049</v>
      </c>
      <c r="I248">
        <v>2733847243</v>
      </c>
      <c r="J248">
        <v>192</v>
      </c>
      <c r="K248">
        <v>784</v>
      </c>
      <c r="L248">
        <v>0</v>
      </c>
      <c r="M248" t="s">
        <v>6371</v>
      </c>
    </row>
    <row r="249" spans="1:13">
      <c r="A249" t="s">
        <v>618</v>
      </c>
      <c r="B249" t="s">
        <v>619</v>
      </c>
      <c r="C249">
        <v>44840</v>
      </c>
      <c r="D249">
        <v>986132265</v>
      </c>
      <c r="E249">
        <v>97956</v>
      </c>
      <c r="F249">
        <v>76</v>
      </c>
      <c r="G249">
        <v>383748675</v>
      </c>
      <c r="H249">
        <v>1303919</v>
      </c>
      <c r="I249">
        <v>2145975300</v>
      </c>
      <c r="J249">
        <v>79</v>
      </c>
      <c r="K249">
        <v>79</v>
      </c>
      <c r="L249">
        <v>0</v>
      </c>
      <c r="M249" t="s">
        <v>6370</v>
      </c>
    </row>
    <row r="250" spans="1:13">
      <c r="A250" t="s">
        <v>620</v>
      </c>
      <c r="B250" t="s">
        <v>621</v>
      </c>
      <c r="C250">
        <v>44635</v>
      </c>
      <c r="D250">
        <v>626010147</v>
      </c>
      <c r="E250">
        <v>185422</v>
      </c>
      <c r="F250">
        <v>74</v>
      </c>
      <c r="G250">
        <v>202193289</v>
      </c>
      <c r="H250">
        <v>1277287</v>
      </c>
      <c r="I250">
        <v>368044894</v>
      </c>
      <c r="J250">
        <v>132</v>
      </c>
      <c r="K250">
        <v>332</v>
      </c>
      <c r="L250">
        <v>0</v>
      </c>
      <c r="M250" t="s">
        <v>6370</v>
      </c>
    </row>
    <row r="251" spans="1:13">
      <c r="A251" t="s">
        <v>622</v>
      </c>
      <c r="B251" t="s">
        <v>623</v>
      </c>
      <c r="C251">
        <v>43378</v>
      </c>
      <c r="D251">
        <v>1606023895</v>
      </c>
      <c r="E251">
        <v>225643</v>
      </c>
      <c r="F251">
        <v>71</v>
      </c>
      <c r="G251">
        <v>1151842584</v>
      </c>
      <c r="H251">
        <v>15653870</v>
      </c>
      <c r="I251">
        <v>8742744684</v>
      </c>
      <c r="J251">
        <v>115</v>
      </c>
      <c r="K251">
        <v>126</v>
      </c>
      <c r="L251">
        <v>0</v>
      </c>
      <c r="M251" t="s">
        <v>6371</v>
      </c>
    </row>
    <row r="252" spans="1:13">
      <c r="A252" t="s">
        <v>624</v>
      </c>
      <c r="B252" t="s">
        <v>81</v>
      </c>
      <c r="C252">
        <v>44127</v>
      </c>
      <c r="D252">
        <v>1432830108</v>
      </c>
      <c r="E252">
        <v>139215</v>
      </c>
      <c r="F252">
        <v>74</v>
      </c>
      <c r="G252">
        <v>778340255</v>
      </c>
      <c r="H252">
        <v>10401273</v>
      </c>
      <c r="I252">
        <v>1984520688</v>
      </c>
      <c r="J252">
        <v>283</v>
      </c>
      <c r="K252">
        <v>639</v>
      </c>
      <c r="L252">
        <v>1</v>
      </c>
      <c r="M252" t="s">
        <v>6371</v>
      </c>
    </row>
    <row r="253" spans="1:13">
      <c r="A253" t="s">
        <v>625</v>
      </c>
      <c r="B253" t="s">
        <v>626</v>
      </c>
      <c r="C253">
        <v>44407</v>
      </c>
      <c r="D253">
        <v>1223329465</v>
      </c>
      <c r="E253">
        <v>211823</v>
      </c>
      <c r="F253">
        <v>74</v>
      </c>
      <c r="G253">
        <v>214359669</v>
      </c>
      <c r="H253">
        <v>1467163</v>
      </c>
      <c r="I253">
        <v>413908070</v>
      </c>
      <c r="J253">
        <v>256</v>
      </c>
      <c r="K253">
        <v>308</v>
      </c>
      <c r="L253">
        <v>0</v>
      </c>
      <c r="M253" t="s">
        <v>6370</v>
      </c>
    </row>
    <row r="254" spans="1:13">
      <c r="A254" t="s">
        <v>628</v>
      </c>
      <c r="B254" t="s">
        <v>127</v>
      </c>
      <c r="C254">
        <v>43910</v>
      </c>
      <c r="D254">
        <v>1995511952</v>
      </c>
      <c r="E254">
        <v>304456</v>
      </c>
      <c r="F254">
        <v>80</v>
      </c>
      <c r="G254">
        <v>365257705</v>
      </c>
      <c r="H254">
        <v>2699016</v>
      </c>
      <c r="I254">
        <v>1154403769</v>
      </c>
      <c r="J254">
        <v>285</v>
      </c>
      <c r="K254">
        <v>321</v>
      </c>
      <c r="L254">
        <v>1</v>
      </c>
      <c r="M254" t="s">
        <v>6371</v>
      </c>
    </row>
    <row r="255" spans="1:13">
      <c r="A255" t="s">
        <v>629</v>
      </c>
      <c r="B255" t="s">
        <v>51</v>
      </c>
      <c r="C255">
        <v>44407</v>
      </c>
      <c r="D255">
        <v>1321878145</v>
      </c>
      <c r="E255">
        <v>189487</v>
      </c>
      <c r="F255">
        <v>78</v>
      </c>
      <c r="G255">
        <v>530778926</v>
      </c>
      <c r="H255">
        <v>8470860</v>
      </c>
      <c r="I255">
        <v>2295813182</v>
      </c>
      <c r="J255">
        <v>199</v>
      </c>
      <c r="K255">
        <v>275</v>
      </c>
      <c r="L255">
        <v>1</v>
      </c>
      <c r="M255" t="s">
        <v>6370</v>
      </c>
    </row>
    <row r="256" spans="1:13">
      <c r="A256" t="s">
        <v>630</v>
      </c>
      <c r="B256" t="s">
        <v>631</v>
      </c>
      <c r="C256">
        <v>42489</v>
      </c>
      <c r="D256">
        <v>1746790923</v>
      </c>
      <c r="E256">
        <v>204049</v>
      </c>
      <c r="F256">
        <v>79</v>
      </c>
      <c r="G256">
        <v>3084719501</v>
      </c>
      <c r="H256">
        <v>13411706</v>
      </c>
      <c r="I256">
        <v>137718139</v>
      </c>
      <c r="J256">
        <v>356</v>
      </c>
      <c r="K256">
        <v>81</v>
      </c>
      <c r="L256">
        <v>0</v>
      </c>
      <c r="M256" t="s">
        <v>6371</v>
      </c>
    </row>
    <row r="257" spans="1:13">
      <c r="A257" t="s">
        <v>632</v>
      </c>
      <c r="B257" t="s">
        <v>633</v>
      </c>
      <c r="C257">
        <v>43665</v>
      </c>
      <c r="D257">
        <v>1178076574</v>
      </c>
      <c r="E257">
        <v>137559</v>
      </c>
      <c r="F257">
        <v>68</v>
      </c>
      <c r="G257">
        <v>2324673715</v>
      </c>
      <c r="H257">
        <v>9851235</v>
      </c>
      <c r="I257">
        <v>146747450</v>
      </c>
      <c r="J257">
        <v>182</v>
      </c>
      <c r="K257">
        <v>20</v>
      </c>
      <c r="L257">
        <v>0</v>
      </c>
      <c r="M257" t="s">
        <v>6371</v>
      </c>
    </row>
    <row r="258" spans="1:13">
      <c r="A258" t="s">
        <v>483</v>
      </c>
      <c r="B258" t="s">
        <v>504</v>
      </c>
      <c r="C258">
        <v>43175</v>
      </c>
      <c r="D258">
        <v>1885431727</v>
      </c>
      <c r="E258">
        <v>241112</v>
      </c>
      <c r="F258">
        <v>77</v>
      </c>
      <c r="G258">
        <v>1607650475</v>
      </c>
      <c r="H258">
        <v>24201486</v>
      </c>
      <c r="I258">
        <v>300772720</v>
      </c>
      <c r="J258">
        <v>66</v>
      </c>
      <c r="K258">
        <v>2</v>
      </c>
      <c r="L258">
        <v>1</v>
      </c>
      <c r="M258" t="s">
        <v>6371</v>
      </c>
    </row>
    <row r="259" spans="1:13">
      <c r="A259" t="s">
        <v>636</v>
      </c>
      <c r="B259" t="s">
        <v>637</v>
      </c>
      <c r="C259">
        <v>45341</v>
      </c>
      <c r="D259">
        <v>159256689</v>
      </c>
      <c r="E259">
        <v>6829</v>
      </c>
      <c r="F259">
        <v>74</v>
      </c>
      <c r="G259">
        <v>130698280</v>
      </c>
      <c r="H259">
        <v>1872592</v>
      </c>
      <c r="I259">
        <v>2059824051</v>
      </c>
      <c r="J259">
        <v>13</v>
      </c>
      <c r="K259">
        <v>16</v>
      </c>
      <c r="L259">
        <v>0</v>
      </c>
      <c r="M259" t="s">
        <v>6370</v>
      </c>
    </row>
    <row r="260" spans="1:13">
      <c r="A260" t="s">
        <v>638</v>
      </c>
      <c r="B260" t="s">
        <v>305</v>
      </c>
      <c r="C260">
        <v>42691</v>
      </c>
      <c r="D260">
        <v>2075459887</v>
      </c>
      <c r="E260">
        <v>209632</v>
      </c>
      <c r="F260">
        <v>80</v>
      </c>
      <c r="G260">
        <v>2696139998</v>
      </c>
      <c r="H260">
        <v>17077084</v>
      </c>
      <c r="I260">
        <v>704916578</v>
      </c>
      <c r="J260">
        <v>142</v>
      </c>
      <c r="K260">
        <v>316</v>
      </c>
      <c r="L260">
        <v>0</v>
      </c>
      <c r="M260" t="s">
        <v>6371</v>
      </c>
    </row>
    <row r="261" spans="1:13">
      <c r="A261" t="s">
        <v>641</v>
      </c>
      <c r="B261" t="s">
        <v>642</v>
      </c>
      <c r="C261">
        <v>44090</v>
      </c>
      <c r="D261">
        <v>1191635193</v>
      </c>
      <c r="E261">
        <v>255697</v>
      </c>
      <c r="F261">
        <v>70</v>
      </c>
      <c r="G261">
        <v>539885283</v>
      </c>
      <c r="H261">
        <v>4027102</v>
      </c>
      <c r="I261">
        <v>1435552956</v>
      </c>
      <c r="J261">
        <v>362</v>
      </c>
      <c r="K261">
        <v>484</v>
      </c>
      <c r="L261">
        <v>0</v>
      </c>
      <c r="M261" t="s">
        <v>6371</v>
      </c>
    </row>
    <row r="262" spans="1:13">
      <c r="A262" t="s">
        <v>643</v>
      </c>
      <c r="B262" t="s">
        <v>644</v>
      </c>
      <c r="C262">
        <v>43672</v>
      </c>
      <c r="D262">
        <v>1349427877</v>
      </c>
      <c r="E262">
        <v>220002</v>
      </c>
      <c r="F262">
        <v>76</v>
      </c>
      <c r="G262">
        <v>564022753</v>
      </c>
      <c r="H262">
        <v>3884141</v>
      </c>
      <c r="I262">
        <v>5118900832</v>
      </c>
      <c r="J262">
        <v>357</v>
      </c>
      <c r="K262">
        <v>894</v>
      </c>
      <c r="L262">
        <v>0</v>
      </c>
      <c r="M262" t="s">
        <v>6371</v>
      </c>
    </row>
    <row r="263" spans="1:13">
      <c r="A263" t="s">
        <v>645</v>
      </c>
      <c r="B263" t="s">
        <v>646</v>
      </c>
      <c r="C263">
        <v>45196</v>
      </c>
      <c r="D263">
        <v>121234000</v>
      </c>
      <c r="E263">
        <v>36468</v>
      </c>
      <c r="F263">
        <v>42</v>
      </c>
      <c r="G263">
        <v>78160610</v>
      </c>
      <c r="H263">
        <v>806269</v>
      </c>
      <c r="I263">
        <v>395342206</v>
      </c>
      <c r="J263">
        <v>48</v>
      </c>
      <c r="K263">
        <v>163</v>
      </c>
      <c r="L263">
        <v>0</v>
      </c>
      <c r="M263" t="s">
        <v>6370</v>
      </c>
    </row>
    <row r="264" spans="1:13">
      <c r="A264" t="s">
        <v>647</v>
      </c>
      <c r="B264" t="s">
        <v>170</v>
      </c>
      <c r="C264">
        <v>44127</v>
      </c>
      <c r="D264">
        <v>868091483</v>
      </c>
      <c r="E264">
        <v>86379</v>
      </c>
      <c r="F264">
        <v>64</v>
      </c>
      <c r="G264">
        <v>1591945481</v>
      </c>
      <c r="H264">
        <v>7916193</v>
      </c>
      <c r="I264">
        <v>1153849236</v>
      </c>
      <c r="J264">
        <v>133</v>
      </c>
      <c r="K264">
        <v>239</v>
      </c>
      <c r="L264">
        <v>1</v>
      </c>
      <c r="M264" t="s">
        <v>6371</v>
      </c>
    </row>
    <row r="265" spans="1:13">
      <c r="A265" t="s">
        <v>653</v>
      </c>
      <c r="B265" t="s">
        <v>127</v>
      </c>
      <c r="C265">
        <v>42151</v>
      </c>
      <c r="D265">
        <v>2306740926</v>
      </c>
      <c r="E265">
        <v>333310</v>
      </c>
      <c r="F265">
        <v>80</v>
      </c>
      <c r="G265">
        <v>2404495013</v>
      </c>
      <c r="H265">
        <v>15819333</v>
      </c>
      <c r="I265">
        <v>1174129136</v>
      </c>
      <c r="J265">
        <v>178</v>
      </c>
      <c r="K265">
        <v>131</v>
      </c>
      <c r="L265">
        <v>1</v>
      </c>
      <c r="M265" t="s">
        <v>6371</v>
      </c>
    </row>
    <row r="266" spans="1:13">
      <c r="A266" t="s">
        <v>655</v>
      </c>
      <c r="B266" t="s">
        <v>51</v>
      </c>
      <c r="C266">
        <v>45429</v>
      </c>
      <c r="D266">
        <v>77212437</v>
      </c>
      <c r="E266">
        <v>4083</v>
      </c>
      <c r="F266">
        <v>84</v>
      </c>
      <c r="G266">
        <v>7658766</v>
      </c>
      <c r="H266">
        <v>246884</v>
      </c>
      <c r="I266">
        <v>1423956</v>
      </c>
      <c r="J266">
        <v>52</v>
      </c>
      <c r="K266">
        <v>2</v>
      </c>
      <c r="L266">
        <v>0</v>
      </c>
      <c r="M266" t="s">
        <v>6370</v>
      </c>
    </row>
    <row r="267" spans="1:13">
      <c r="A267" t="s">
        <v>658</v>
      </c>
      <c r="B267" t="s">
        <v>258</v>
      </c>
      <c r="C267">
        <v>44672</v>
      </c>
      <c r="D267">
        <v>719593291</v>
      </c>
      <c r="E267">
        <v>74269</v>
      </c>
      <c r="F267">
        <v>67</v>
      </c>
      <c r="G267">
        <v>719244041</v>
      </c>
      <c r="H267">
        <v>4424400</v>
      </c>
      <c r="I267">
        <v>2594106000</v>
      </c>
      <c r="J267">
        <v>98</v>
      </c>
      <c r="K267">
        <v>455</v>
      </c>
      <c r="L267">
        <v>0</v>
      </c>
      <c r="M267" t="s">
        <v>6370</v>
      </c>
    </row>
    <row r="268" spans="1:13">
      <c r="A268" t="s">
        <v>659</v>
      </c>
      <c r="B268" t="s">
        <v>660</v>
      </c>
      <c r="C268">
        <v>45168</v>
      </c>
      <c r="D268">
        <v>642548537</v>
      </c>
      <c r="E268">
        <v>36781</v>
      </c>
      <c r="F268">
        <v>81</v>
      </c>
      <c r="G268">
        <v>227994801</v>
      </c>
      <c r="H268">
        <v>335112</v>
      </c>
      <c r="I268">
        <v>499670882</v>
      </c>
      <c r="J268">
        <v>34</v>
      </c>
      <c r="K268">
        <v>45</v>
      </c>
      <c r="L268">
        <v>1</v>
      </c>
      <c r="M268" t="s">
        <v>6370</v>
      </c>
    </row>
    <row r="269" spans="1:13">
      <c r="A269" t="s">
        <v>663</v>
      </c>
      <c r="B269" t="s">
        <v>161</v>
      </c>
      <c r="C269">
        <v>44826</v>
      </c>
      <c r="D269">
        <v>428164381</v>
      </c>
      <c r="E269">
        <v>80340</v>
      </c>
      <c r="F269">
        <v>68</v>
      </c>
      <c r="G269">
        <v>138760138</v>
      </c>
      <c r="H269">
        <v>1465825</v>
      </c>
      <c r="I269">
        <v>419346148</v>
      </c>
      <c r="J269">
        <v>69</v>
      </c>
      <c r="K269">
        <v>534</v>
      </c>
      <c r="L269">
        <v>1</v>
      </c>
      <c r="M269" t="s">
        <v>6370</v>
      </c>
    </row>
    <row r="270" spans="1:13">
      <c r="A270" t="s">
        <v>664</v>
      </c>
      <c r="B270" t="s">
        <v>444</v>
      </c>
      <c r="C270">
        <v>44540</v>
      </c>
      <c r="D270">
        <v>1021480638</v>
      </c>
      <c r="E270">
        <v>119558</v>
      </c>
      <c r="F270">
        <v>78</v>
      </c>
      <c r="G270">
        <v>722946861</v>
      </c>
      <c r="H270">
        <v>3591807</v>
      </c>
      <c r="I270">
        <v>2153526389</v>
      </c>
      <c r="J270">
        <v>75</v>
      </c>
      <c r="K270">
        <v>92</v>
      </c>
      <c r="L270">
        <v>1</v>
      </c>
      <c r="M270" t="s">
        <v>6370</v>
      </c>
    </row>
    <row r="271" spans="1:13">
      <c r="A271" t="s">
        <v>666</v>
      </c>
      <c r="B271" t="s">
        <v>357</v>
      </c>
      <c r="C271">
        <v>41880</v>
      </c>
      <c r="D271">
        <v>1838092894</v>
      </c>
      <c r="E271">
        <v>186038</v>
      </c>
      <c r="F271">
        <v>75</v>
      </c>
      <c r="G271">
        <v>4151880976</v>
      </c>
      <c r="H271">
        <v>16983201</v>
      </c>
      <c r="I271">
        <v>406531709</v>
      </c>
      <c r="J271">
        <v>197</v>
      </c>
      <c r="K271">
        <v>240</v>
      </c>
      <c r="L271">
        <v>1</v>
      </c>
      <c r="M271" t="s">
        <v>6371</v>
      </c>
    </row>
    <row r="272" spans="1:13">
      <c r="A272" t="s">
        <v>672</v>
      </c>
      <c r="B272" t="s">
        <v>161</v>
      </c>
      <c r="C272">
        <v>43560</v>
      </c>
      <c r="D272">
        <v>1527106099</v>
      </c>
      <c r="E272">
        <v>186252</v>
      </c>
      <c r="F272">
        <v>68</v>
      </c>
      <c r="G272">
        <v>11512</v>
      </c>
      <c r="H272">
        <v>171</v>
      </c>
      <c r="I272">
        <v>478304071</v>
      </c>
      <c r="J272">
        <v>263</v>
      </c>
      <c r="K272">
        <v>6</v>
      </c>
      <c r="L272">
        <v>0</v>
      </c>
      <c r="M272" t="s">
        <v>6371</v>
      </c>
    </row>
    <row r="273" spans="1:13">
      <c r="A273" t="s">
        <v>673</v>
      </c>
      <c r="B273" t="s">
        <v>674</v>
      </c>
      <c r="C273">
        <v>42587</v>
      </c>
      <c r="D273">
        <v>2147028486</v>
      </c>
      <c r="E273">
        <v>205482</v>
      </c>
      <c r="F273">
        <v>80</v>
      </c>
      <c r="G273">
        <v>2457588032</v>
      </c>
      <c r="H273">
        <v>18290642</v>
      </c>
      <c r="I273">
        <v>528988791</v>
      </c>
      <c r="J273">
        <v>239</v>
      </c>
      <c r="K273">
        <v>208</v>
      </c>
      <c r="L273">
        <v>0</v>
      </c>
      <c r="M273" t="s">
        <v>6371</v>
      </c>
    </row>
    <row r="274" spans="1:13">
      <c r="A274" t="s">
        <v>675</v>
      </c>
      <c r="B274" t="s">
        <v>676</v>
      </c>
      <c r="C274">
        <v>44511</v>
      </c>
      <c r="D274">
        <v>635241142</v>
      </c>
      <c r="E274">
        <v>77669</v>
      </c>
      <c r="F274">
        <v>65</v>
      </c>
      <c r="G274">
        <v>836072339</v>
      </c>
      <c r="H274">
        <v>4909216</v>
      </c>
      <c r="I274">
        <v>9427647770</v>
      </c>
      <c r="J274">
        <v>102</v>
      </c>
      <c r="K274">
        <v>402</v>
      </c>
      <c r="L274">
        <v>0</v>
      </c>
      <c r="M274" t="s">
        <v>6370</v>
      </c>
    </row>
    <row r="275" spans="1:13">
      <c r="A275" t="s">
        <v>684</v>
      </c>
      <c r="B275" t="s">
        <v>63</v>
      </c>
      <c r="C275">
        <v>43938</v>
      </c>
      <c r="D275">
        <v>1439465700</v>
      </c>
      <c r="E275">
        <v>169076</v>
      </c>
      <c r="F275">
        <v>77</v>
      </c>
      <c r="G275">
        <v>706284693</v>
      </c>
      <c r="H275">
        <v>7820244</v>
      </c>
      <c r="I275">
        <v>1383885042</v>
      </c>
      <c r="J275">
        <v>238</v>
      </c>
      <c r="K275">
        <v>776</v>
      </c>
      <c r="L275">
        <v>1</v>
      </c>
      <c r="M275" t="s">
        <v>6371</v>
      </c>
    </row>
    <row r="276" spans="1:13">
      <c r="A276" t="s">
        <v>685</v>
      </c>
      <c r="B276" t="s">
        <v>686</v>
      </c>
      <c r="C276">
        <v>42902</v>
      </c>
      <c r="D276">
        <v>458957128</v>
      </c>
      <c r="E276">
        <v>89812</v>
      </c>
      <c r="F276">
        <v>61</v>
      </c>
      <c r="G276">
        <v>47166510</v>
      </c>
      <c r="H276">
        <v>482132</v>
      </c>
      <c r="I276">
        <v>1069735982</v>
      </c>
      <c r="J276">
        <v>1</v>
      </c>
      <c r="K276">
        <v>12</v>
      </c>
      <c r="L276">
        <v>1</v>
      </c>
      <c r="M276" t="s">
        <v>6371</v>
      </c>
    </row>
    <row r="277" spans="1:13">
      <c r="A277" t="s">
        <v>687</v>
      </c>
      <c r="B277" t="s">
        <v>688</v>
      </c>
      <c r="C277">
        <v>43077</v>
      </c>
      <c r="D277">
        <v>1601293263</v>
      </c>
      <c r="E277">
        <v>358760</v>
      </c>
      <c r="F277">
        <v>79</v>
      </c>
      <c r="G277">
        <v>424132504</v>
      </c>
      <c r="H277">
        <v>4191200</v>
      </c>
      <c r="I277">
        <v>18153723096</v>
      </c>
      <c r="J277">
        <v>271</v>
      </c>
      <c r="K277">
        <v>784</v>
      </c>
      <c r="L277">
        <v>0</v>
      </c>
      <c r="M277" t="s">
        <v>6371</v>
      </c>
    </row>
    <row r="278" spans="1:13">
      <c r="A278" t="s">
        <v>692</v>
      </c>
      <c r="B278" t="s">
        <v>336</v>
      </c>
      <c r="C278">
        <v>44041</v>
      </c>
      <c r="D278">
        <v>1289186767</v>
      </c>
      <c r="E278">
        <v>123303</v>
      </c>
      <c r="F278">
        <v>73</v>
      </c>
      <c r="G278">
        <v>1464055196</v>
      </c>
      <c r="H278">
        <v>7754280</v>
      </c>
      <c r="I278">
        <v>131926571</v>
      </c>
      <c r="J278">
        <v>201</v>
      </c>
      <c r="K278">
        <v>98</v>
      </c>
      <c r="L278">
        <v>0</v>
      </c>
      <c r="M278" t="s">
        <v>6371</v>
      </c>
    </row>
    <row r="279" spans="1:13">
      <c r="A279" t="s">
        <v>693</v>
      </c>
      <c r="B279" t="s">
        <v>59</v>
      </c>
      <c r="C279">
        <v>45252</v>
      </c>
      <c r="D279">
        <v>367399860</v>
      </c>
      <c r="E279">
        <v>29235</v>
      </c>
      <c r="F279">
        <v>82</v>
      </c>
      <c r="G279">
        <v>104584293</v>
      </c>
      <c r="H279">
        <v>726526</v>
      </c>
      <c r="I279">
        <v>14800</v>
      </c>
      <c r="J279">
        <v>57</v>
      </c>
      <c r="K279">
        <v>593</v>
      </c>
      <c r="L279">
        <v>1</v>
      </c>
      <c r="M279" t="s">
        <v>6370</v>
      </c>
    </row>
    <row r="280" spans="1:13">
      <c r="A280" t="s">
        <v>708</v>
      </c>
      <c r="B280" t="s">
        <v>701</v>
      </c>
      <c r="C280">
        <v>43742</v>
      </c>
      <c r="D280">
        <v>1249760413</v>
      </c>
      <c r="E280">
        <v>202465</v>
      </c>
      <c r="F280">
        <v>79</v>
      </c>
      <c r="G280">
        <v>699931779</v>
      </c>
      <c r="H280">
        <v>6139127</v>
      </c>
      <c r="I280">
        <v>2436202278</v>
      </c>
      <c r="J280">
        <v>186</v>
      </c>
      <c r="K280">
        <v>1057</v>
      </c>
      <c r="L280">
        <v>1</v>
      </c>
      <c r="M280" t="s">
        <v>6371</v>
      </c>
    </row>
    <row r="281" spans="1:13">
      <c r="A281" t="s">
        <v>709</v>
      </c>
      <c r="B281" t="s">
        <v>462</v>
      </c>
      <c r="C281">
        <v>44029</v>
      </c>
      <c r="D281">
        <v>568230113</v>
      </c>
      <c r="E281">
        <v>142225</v>
      </c>
      <c r="F281">
        <v>68</v>
      </c>
      <c r="G281">
        <v>531872316</v>
      </c>
      <c r="H281">
        <v>9887683</v>
      </c>
      <c r="I281">
        <v>11938256726</v>
      </c>
      <c r="J281">
        <v>46</v>
      </c>
      <c r="K281">
        <v>774</v>
      </c>
      <c r="L281">
        <v>0</v>
      </c>
      <c r="M281" t="s">
        <v>6371</v>
      </c>
    </row>
    <row r="282" spans="1:13">
      <c r="A282" t="s">
        <v>711</v>
      </c>
      <c r="B282" t="s">
        <v>86</v>
      </c>
      <c r="C282">
        <v>45257</v>
      </c>
      <c r="D282">
        <v>121497542</v>
      </c>
      <c r="E282">
        <v>6748</v>
      </c>
      <c r="F282">
        <v>80</v>
      </c>
      <c r="G282">
        <v>307571207</v>
      </c>
      <c r="H282">
        <v>3994160</v>
      </c>
      <c r="I282">
        <v>136260517</v>
      </c>
      <c r="J282">
        <v>12</v>
      </c>
      <c r="K282">
        <v>8</v>
      </c>
      <c r="L282">
        <v>0</v>
      </c>
      <c r="M282" t="s">
        <v>6370</v>
      </c>
    </row>
    <row r="283" spans="1:13">
      <c r="A283" t="s">
        <v>714</v>
      </c>
      <c r="B283" t="s">
        <v>715</v>
      </c>
      <c r="C283">
        <v>44722</v>
      </c>
      <c r="D283">
        <v>412845771</v>
      </c>
      <c r="E283">
        <v>59749</v>
      </c>
      <c r="F283">
        <v>73</v>
      </c>
      <c r="G283">
        <v>215094924</v>
      </c>
      <c r="H283">
        <v>1522549</v>
      </c>
      <c r="I283">
        <v>777869891</v>
      </c>
      <c r="J283">
        <v>37</v>
      </c>
      <c r="K283">
        <v>84</v>
      </c>
      <c r="L283">
        <v>0</v>
      </c>
      <c r="M283" t="s">
        <v>6370</v>
      </c>
    </row>
    <row r="284" spans="1:13">
      <c r="A284" t="s">
        <v>719</v>
      </c>
      <c r="B284" t="s">
        <v>324</v>
      </c>
      <c r="C284">
        <v>42370</v>
      </c>
      <c r="D284">
        <v>1888829482</v>
      </c>
      <c r="E284">
        <v>206507</v>
      </c>
      <c r="F284">
        <v>76</v>
      </c>
      <c r="G284">
        <v>2813990127</v>
      </c>
      <c r="H284">
        <v>18577555</v>
      </c>
      <c r="I284">
        <v>6097870496</v>
      </c>
      <c r="J284">
        <v>4</v>
      </c>
      <c r="K284">
        <v>72</v>
      </c>
      <c r="L284">
        <v>0</v>
      </c>
      <c r="M284" t="s">
        <v>6371</v>
      </c>
    </row>
    <row r="285" spans="1:13">
      <c r="A285" t="s">
        <v>720</v>
      </c>
      <c r="B285" t="s">
        <v>391</v>
      </c>
      <c r="C285">
        <v>43266</v>
      </c>
      <c r="D285">
        <v>701726499</v>
      </c>
      <c r="E285">
        <v>51129</v>
      </c>
      <c r="F285">
        <v>65</v>
      </c>
      <c r="G285">
        <v>3435321800</v>
      </c>
      <c r="H285">
        <v>41630558</v>
      </c>
      <c r="I285">
        <v>683794564</v>
      </c>
      <c r="J285">
        <v>55</v>
      </c>
      <c r="K285">
        <v>26</v>
      </c>
      <c r="L285">
        <v>0</v>
      </c>
      <c r="M285" t="s">
        <v>6371</v>
      </c>
    </row>
    <row r="286" spans="1:13">
      <c r="A286" t="s">
        <v>721</v>
      </c>
      <c r="B286" t="s">
        <v>484</v>
      </c>
      <c r="C286">
        <v>44153</v>
      </c>
      <c r="D286">
        <v>1151629030</v>
      </c>
      <c r="E286">
        <v>201783</v>
      </c>
      <c r="F286">
        <v>77</v>
      </c>
      <c r="G286">
        <v>456651608</v>
      </c>
      <c r="H286">
        <v>6111089</v>
      </c>
      <c r="I286">
        <v>3401301248</v>
      </c>
      <c r="J286">
        <v>164</v>
      </c>
      <c r="K286">
        <v>1303</v>
      </c>
      <c r="L286">
        <v>0</v>
      </c>
      <c r="M286" t="s">
        <v>6371</v>
      </c>
    </row>
    <row r="287" spans="1:13">
      <c r="A287" t="s">
        <v>722</v>
      </c>
      <c r="B287" t="s">
        <v>723</v>
      </c>
      <c r="C287">
        <v>41275</v>
      </c>
      <c r="D287">
        <v>2325017580</v>
      </c>
      <c r="E287">
        <v>347004</v>
      </c>
      <c r="F287">
        <v>81</v>
      </c>
      <c r="G287">
        <v>3214634614</v>
      </c>
      <c r="H287">
        <v>17924466</v>
      </c>
      <c r="I287">
        <v>360378218</v>
      </c>
      <c r="J287">
        <v>302</v>
      </c>
      <c r="K287">
        <v>230</v>
      </c>
      <c r="L287">
        <v>0</v>
      </c>
      <c r="M287" t="s">
        <v>6371</v>
      </c>
    </row>
    <row r="288" spans="1:13">
      <c r="A288" t="s">
        <v>724</v>
      </c>
      <c r="B288" t="s">
        <v>725</v>
      </c>
      <c r="C288">
        <v>45205</v>
      </c>
      <c r="D288">
        <v>232417498</v>
      </c>
      <c r="E288">
        <v>20983</v>
      </c>
      <c r="F288">
        <v>80</v>
      </c>
      <c r="G288">
        <v>59799293</v>
      </c>
      <c r="H288">
        <v>367721</v>
      </c>
      <c r="I288">
        <v>61820477</v>
      </c>
      <c r="J288">
        <v>60</v>
      </c>
      <c r="K288">
        <v>77</v>
      </c>
      <c r="L288">
        <v>0</v>
      </c>
      <c r="M288" t="s">
        <v>6370</v>
      </c>
    </row>
    <row r="289" spans="1:13">
      <c r="A289" t="s">
        <v>726</v>
      </c>
      <c r="B289" t="s">
        <v>727</v>
      </c>
      <c r="C289">
        <v>45099</v>
      </c>
      <c r="D289">
        <v>318567928</v>
      </c>
      <c r="E289">
        <v>42351</v>
      </c>
      <c r="F289">
        <v>69</v>
      </c>
      <c r="G289">
        <v>313180496</v>
      </c>
      <c r="H289">
        <v>1792729</v>
      </c>
      <c r="I289">
        <v>797526303</v>
      </c>
      <c r="J289">
        <v>43</v>
      </c>
      <c r="K289">
        <v>17</v>
      </c>
      <c r="L289">
        <v>1</v>
      </c>
      <c r="M289" t="s">
        <v>6370</v>
      </c>
    </row>
    <row r="290" spans="1:13">
      <c r="A290" t="s">
        <v>728</v>
      </c>
      <c r="B290" t="s">
        <v>288</v>
      </c>
      <c r="C290">
        <v>43203</v>
      </c>
      <c r="D290">
        <v>1615353665</v>
      </c>
      <c r="E290">
        <v>219797</v>
      </c>
      <c r="F290">
        <v>76</v>
      </c>
      <c r="G290">
        <v>130721152</v>
      </c>
      <c r="H290">
        <v>1378012</v>
      </c>
      <c r="I290">
        <v>294545167</v>
      </c>
      <c r="J290">
        <v>37</v>
      </c>
      <c r="K290">
        <v>31</v>
      </c>
      <c r="L290">
        <v>1</v>
      </c>
      <c r="M290" t="s">
        <v>6371</v>
      </c>
    </row>
    <row r="291" spans="1:13">
      <c r="A291" t="s">
        <v>729</v>
      </c>
      <c r="B291" t="s">
        <v>730</v>
      </c>
      <c r="C291">
        <v>45016</v>
      </c>
      <c r="D291">
        <v>274229438</v>
      </c>
      <c r="E291">
        <v>81319</v>
      </c>
      <c r="F291">
        <v>77</v>
      </c>
      <c r="G291">
        <v>22545691</v>
      </c>
      <c r="H291">
        <v>353908</v>
      </c>
      <c r="I291">
        <v>1182280724</v>
      </c>
      <c r="J291">
        <v>31</v>
      </c>
      <c r="K291">
        <v>33</v>
      </c>
      <c r="L291">
        <v>0</v>
      </c>
      <c r="M291" t="s">
        <v>6370</v>
      </c>
    </row>
    <row r="292" spans="1:13">
      <c r="A292" t="s">
        <v>731</v>
      </c>
      <c r="B292" t="s">
        <v>617</v>
      </c>
      <c r="C292">
        <v>43902</v>
      </c>
      <c r="D292">
        <v>955439608</v>
      </c>
      <c r="E292">
        <v>130031</v>
      </c>
      <c r="F292">
        <v>73</v>
      </c>
      <c r="G292">
        <v>627987518</v>
      </c>
      <c r="H292">
        <v>6208902</v>
      </c>
      <c r="I292">
        <v>2036664297</v>
      </c>
      <c r="J292">
        <v>175</v>
      </c>
      <c r="K292">
        <v>1183</v>
      </c>
      <c r="L292">
        <v>0</v>
      </c>
      <c r="M292" t="s">
        <v>6371</v>
      </c>
    </row>
    <row r="293" spans="1:13">
      <c r="A293" t="s">
        <v>732</v>
      </c>
      <c r="B293" t="s">
        <v>66</v>
      </c>
      <c r="C293">
        <v>43805</v>
      </c>
      <c r="D293">
        <v>1670164200</v>
      </c>
      <c r="E293">
        <v>171120</v>
      </c>
      <c r="F293">
        <v>78</v>
      </c>
      <c r="G293">
        <v>721445001</v>
      </c>
      <c r="H293">
        <v>8290855</v>
      </c>
      <c r="I293">
        <v>805399161</v>
      </c>
      <c r="J293">
        <v>254</v>
      </c>
      <c r="K293">
        <v>408</v>
      </c>
      <c r="L293">
        <v>0</v>
      </c>
      <c r="M293" t="s">
        <v>6371</v>
      </c>
    </row>
    <row r="294" spans="1:13">
      <c r="A294" t="s">
        <v>733</v>
      </c>
      <c r="B294" t="s">
        <v>236</v>
      </c>
      <c r="C294">
        <v>43742</v>
      </c>
      <c r="D294">
        <v>1625149693</v>
      </c>
      <c r="E294">
        <v>304394</v>
      </c>
      <c r="F294">
        <v>78</v>
      </c>
      <c r="G294">
        <v>925241514</v>
      </c>
      <c r="H294">
        <v>9308268</v>
      </c>
      <c r="I294">
        <v>713021988</v>
      </c>
      <c r="J294">
        <v>211</v>
      </c>
      <c r="K294">
        <v>192</v>
      </c>
      <c r="L294">
        <v>1</v>
      </c>
      <c r="M294" t="s">
        <v>6371</v>
      </c>
    </row>
    <row r="295" spans="1:13">
      <c r="A295" t="s">
        <v>734</v>
      </c>
      <c r="B295" t="s">
        <v>735</v>
      </c>
      <c r="C295">
        <v>45015</v>
      </c>
      <c r="D295">
        <v>155390490</v>
      </c>
      <c r="E295">
        <v>51032</v>
      </c>
      <c r="F295">
        <v>68</v>
      </c>
      <c r="G295">
        <v>135400007</v>
      </c>
      <c r="H295">
        <v>1021624</v>
      </c>
      <c r="I295">
        <v>1043240094</v>
      </c>
      <c r="J295">
        <v>99</v>
      </c>
      <c r="K295">
        <v>339</v>
      </c>
      <c r="L295">
        <v>1</v>
      </c>
      <c r="M295" t="s">
        <v>6370</v>
      </c>
    </row>
    <row r="296" spans="1:13">
      <c r="A296" t="s">
        <v>740</v>
      </c>
      <c r="B296" t="s">
        <v>299</v>
      </c>
      <c r="C296">
        <v>44885</v>
      </c>
      <c r="D296">
        <v>419016792</v>
      </c>
      <c r="E296">
        <v>24878</v>
      </c>
      <c r="F296">
        <v>42</v>
      </c>
      <c r="G296">
        <v>299024405</v>
      </c>
      <c r="H296">
        <v>6706233</v>
      </c>
      <c r="I296">
        <v>5766443841</v>
      </c>
      <c r="J296">
        <v>13</v>
      </c>
      <c r="K296">
        <v>42</v>
      </c>
      <c r="L296">
        <v>0</v>
      </c>
      <c r="M296" t="s">
        <v>6370</v>
      </c>
    </row>
    <row r="297" spans="1:13">
      <c r="A297" t="s">
        <v>744</v>
      </c>
      <c r="B297" t="s">
        <v>61</v>
      </c>
      <c r="C297">
        <v>43700</v>
      </c>
      <c r="D297">
        <v>2188247133</v>
      </c>
      <c r="E297">
        <v>121479</v>
      </c>
      <c r="F297">
        <v>88</v>
      </c>
      <c r="G297">
        <v>342388433</v>
      </c>
      <c r="H297">
        <v>2291619</v>
      </c>
      <c r="I297">
        <v>4967025679</v>
      </c>
      <c r="J297">
        <v>273</v>
      </c>
      <c r="K297">
        <v>1264</v>
      </c>
      <c r="L297">
        <v>0</v>
      </c>
      <c r="M297" t="s">
        <v>6371</v>
      </c>
    </row>
    <row r="298" spans="1:13">
      <c r="A298" t="s">
        <v>748</v>
      </c>
      <c r="B298" t="s">
        <v>749</v>
      </c>
      <c r="C298">
        <v>42736</v>
      </c>
      <c r="D298">
        <v>2065697126</v>
      </c>
      <c r="E298">
        <v>275044</v>
      </c>
      <c r="F298">
        <v>82</v>
      </c>
      <c r="G298">
        <v>2173793028</v>
      </c>
      <c r="H298">
        <v>11604315</v>
      </c>
      <c r="I298">
        <v>631867114</v>
      </c>
      <c r="J298">
        <v>191</v>
      </c>
      <c r="K298">
        <v>267</v>
      </c>
      <c r="L298">
        <v>1</v>
      </c>
      <c r="M298" t="s">
        <v>6371</v>
      </c>
    </row>
    <row r="299" spans="1:13">
      <c r="A299" t="s">
        <v>750</v>
      </c>
      <c r="B299" t="s">
        <v>637</v>
      </c>
      <c r="C299">
        <v>45341</v>
      </c>
      <c r="D299">
        <v>141803939</v>
      </c>
      <c r="E299">
        <v>7192</v>
      </c>
      <c r="F299">
        <v>78</v>
      </c>
      <c r="G299">
        <v>139498636</v>
      </c>
      <c r="H299">
        <v>1771124</v>
      </c>
      <c r="I299">
        <v>80625682</v>
      </c>
      <c r="J299">
        <v>20</v>
      </c>
      <c r="K299">
        <v>46</v>
      </c>
      <c r="L299">
        <v>0</v>
      </c>
      <c r="M299" t="s">
        <v>6370</v>
      </c>
    </row>
    <row r="300" spans="1:13">
      <c r="A300" t="s">
        <v>754</v>
      </c>
      <c r="B300" t="s">
        <v>755</v>
      </c>
      <c r="C300">
        <v>45422</v>
      </c>
      <c r="D300">
        <v>29994527</v>
      </c>
      <c r="E300">
        <v>1665</v>
      </c>
      <c r="F300">
        <v>57</v>
      </c>
      <c r="G300">
        <v>39678645</v>
      </c>
      <c r="H300">
        <v>1520092</v>
      </c>
      <c r="I300">
        <v>5347400</v>
      </c>
      <c r="J300">
        <v>12</v>
      </c>
      <c r="K300">
        <v>12</v>
      </c>
      <c r="L300">
        <v>0</v>
      </c>
      <c r="M300" t="s">
        <v>6370</v>
      </c>
    </row>
    <row r="301" spans="1:13">
      <c r="A301" t="s">
        <v>758</v>
      </c>
      <c r="B301" t="s">
        <v>759</v>
      </c>
      <c r="C301">
        <v>45450</v>
      </c>
      <c r="D301">
        <v>5917083</v>
      </c>
      <c r="E301">
        <v>1348</v>
      </c>
      <c r="F301">
        <v>67</v>
      </c>
      <c r="G301">
        <v>1541922</v>
      </c>
      <c r="H301">
        <v>39879</v>
      </c>
      <c r="I301">
        <v>53279473</v>
      </c>
      <c r="J301">
        <v>45</v>
      </c>
      <c r="K301">
        <v>3</v>
      </c>
      <c r="L301">
        <v>0</v>
      </c>
      <c r="M301" t="s">
        <v>6370</v>
      </c>
    </row>
    <row r="302" spans="1:13">
      <c r="A302" t="s">
        <v>760</v>
      </c>
      <c r="B302" t="s">
        <v>471</v>
      </c>
      <c r="C302">
        <v>43686</v>
      </c>
      <c r="D302">
        <v>731933924</v>
      </c>
      <c r="E302">
        <v>186835</v>
      </c>
      <c r="F302">
        <v>70</v>
      </c>
      <c r="G302">
        <v>534384489</v>
      </c>
      <c r="H302">
        <v>4951977</v>
      </c>
      <c r="I302">
        <v>173278256</v>
      </c>
      <c r="J302">
        <v>40</v>
      </c>
      <c r="K302">
        <v>51</v>
      </c>
      <c r="L302">
        <v>1</v>
      </c>
      <c r="M302" t="s">
        <v>6371</v>
      </c>
    </row>
    <row r="303" spans="1:13">
      <c r="A303" t="s">
        <v>761</v>
      </c>
      <c r="B303" t="s">
        <v>762</v>
      </c>
      <c r="C303">
        <v>42622</v>
      </c>
      <c r="D303">
        <v>2830962669</v>
      </c>
      <c r="E303">
        <v>233504</v>
      </c>
      <c r="F303">
        <v>82</v>
      </c>
      <c r="G303">
        <v>2083619058</v>
      </c>
      <c r="H303">
        <v>11898213</v>
      </c>
      <c r="I303">
        <v>792720612</v>
      </c>
      <c r="J303">
        <v>218</v>
      </c>
      <c r="K303">
        <v>68</v>
      </c>
      <c r="L303">
        <v>0</v>
      </c>
      <c r="M303" t="s">
        <v>6371</v>
      </c>
    </row>
    <row r="304" spans="1:13">
      <c r="A304" t="s">
        <v>763</v>
      </c>
      <c r="B304" t="s">
        <v>61</v>
      </c>
      <c r="C304">
        <v>41640</v>
      </c>
      <c r="D304">
        <v>1829733410</v>
      </c>
      <c r="E304">
        <v>157465</v>
      </c>
      <c r="F304">
        <v>76</v>
      </c>
      <c r="G304">
        <v>3624778617</v>
      </c>
      <c r="H304">
        <v>16916871</v>
      </c>
      <c r="I304">
        <v>346032878</v>
      </c>
      <c r="J304">
        <v>154</v>
      </c>
      <c r="K304">
        <v>123</v>
      </c>
      <c r="L304">
        <v>0</v>
      </c>
      <c r="M304" t="s">
        <v>6371</v>
      </c>
    </row>
    <row r="305" spans="1:13">
      <c r="A305" t="s">
        <v>765</v>
      </c>
      <c r="B305" t="s">
        <v>19</v>
      </c>
      <c r="C305">
        <v>42825</v>
      </c>
      <c r="D305">
        <v>2226869580</v>
      </c>
      <c r="E305">
        <v>311766</v>
      </c>
      <c r="F305">
        <v>80</v>
      </c>
      <c r="G305">
        <v>1281355260</v>
      </c>
      <c r="H305">
        <v>11551257</v>
      </c>
      <c r="I305">
        <v>769720113</v>
      </c>
      <c r="J305">
        <v>357</v>
      </c>
      <c r="K305">
        <v>692</v>
      </c>
      <c r="L305">
        <v>1</v>
      </c>
      <c r="M305" t="s">
        <v>6371</v>
      </c>
    </row>
    <row r="306" spans="1:13">
      <c r="A306" t="s">
        <v>766</v>
      </c>
      <c r="B306" t="s">
        <v>256</v>
      </c>
      <c r="C306">
        <v>44813</v>
      </c>
      <c r="D306">
        <v>343556188</v>
      </c>
      <c r="E306">
        <v>53783</v>
      </c>
      <c r="F306">
        <v>69</v>
      </c>
      <c r="G306">
        <v>78559130</v>
      </c>
      <c r="H306">
        <v>611379</v>
      </c>
      <c r="I306">
        <v>268283723</v>
      </c>
      <c r="J306">
        <v>76</v>
      </c>
      <c r="K306">
        <v>220</v>
      </c>
      <c r="L306">
        <v>0</v>
      </c>
      <c r="M306" t="s">
        <v>6370</v>
      </c>
    </row>
    <row r="307" spans="1:13">
      <c r="A307" t="s">
        <v>769</v>
      </c>
      <c r="B307" t="s">
        <v>770</v>
      </c>
      <c r="C307">
        <v>45303</v>
      </c>
      <c r="D307">
        <v>284119669</v>
      </c>
      <c r="E307">
        <v>23417</v>
      </c>
      <c r="F307">
        <v>84</v>
      </c>
      <c r="G307">
        <v>14777855</v>
      </c>
      <c r="H307">
        <v>145459</v>
      </c>
      <c r="I307">
        <v>18832300</v>
      </c>
      <c r="J307">
        <v>71</v>
      </c>
      <c r="K307">
        <v>327</v>
      </c>
      <c r="L307">
        <v>0</v>
      </c>
      <c r="M307" t="s">
        <v>6370</v>
      </c>
    </row>
    <row r="308" spans="1:13">
      <c r="A308" t="s">
        <v>771</v>
      </c>
      <c r="B308" t="s">
        <v>772</v>
      </c>
      <c r="C308">
        <v>44785</v>
      </c>
      <c r="D308">
        <v>549382975</v>
      </c>
      <c r="E308">
        <v>88241</v>
      </c>
      <c r="F308">
        <v>64</v>
      </c>
      <c r="G308">
        <v>128432797</v>
      </c>
      <c r="H308">
        <v>2507944</v>
      </c>
      <c r="I308">
        <v>5107877505</v>
      </c>
      <c r="J308">
        <v>93</v>
      </c>
      <c r="K308">
        <v>3028</v>
      </c>
      <c r="L308">
        <v>1</v>
      </c>
      <c r="M308" t="s">
        <v>6370</v>
      </c>
    </row>
    <row r="309" spans="1:13">
      <c r="A309" t="s">
        <v>773</v>
      </c>
      <c r="B309" t="s">
        <v>631</v>
      </c>
      <c r="C309">
        <v>44995</v>
      </c>
      <c r="D309">
        <v>425999315</v>
      </c>
      <c r="E309">
        <v>91229</v>
      </c>
      <c r="F309">
        <v>74</v>
      </c>
      <c r="G309">
        <v>81238584</v>
      </c>
      <c r="H309">
        <v>760116</v>
      </c>
      <c r="I309">
        <v>342295893</v>
      </c>
      <c r="J309">
        <v>183</v>
      </c>
      <c r="K309">
        <v>40</v>
      </c>
      <c r="L309">
        <v>0</v>
      </c>
      <c r="M309" t="s">
        <v>6370</v>
      </c>
    </row>
    <row r="310" spans="1:13">
      <c r="A310" t="s">
        <v>774</v>
      </c>
      <c r="B310" t="s">
        <v>775</v>
      </c>
      <c r="C310">
        <v>40544</v>
      </c>
      <c r="D310">
        <v>1752826514</v>
      </c>
      <c r="E310">
        <v>352833</v>
      </c>
      <c r="F310">
        <v>74</v>
      </c>
      <c r="G310">
        <v>2729174469</v>
      </c>
      <c r="H310">
        <v>22532779</v>
      </c>
      <c r="I310">
        <v>4679645090</v>
      </c>
      <c r="J310">
        <v>202</v>
      </c>
      <c r="K310">
        <v>474</v>
      </c>
      <c r="L310">
        <v>0</v>
      </c>
      <c r="M310" t="s">
        <v>6371</v>
      </c>
    </row>
    <row r="311" spans="1:13">
      <c r="A311" t="s">
        <v>776</v>
      </c>
      <c r="B311" t="s">
        <v>777</v>
      </c>
      <c r="C311">
        <v>42313</v>
      </c>
      <c r="D311">
        <v>1859886400</v>
      </c>
      <c r="E311">
        <v>161156</v>
      </c>
      <c r="F311">
        <v>78</v>
      </c>
      <c r="G311">
        <v>3951663770</v>
      </c>
      <c r="H311">
        <v>23086917</v>
      </c>
      <c r="I311">
        <v>265917250</v>
      </c>
      <c r="J311">
        <v>2</v>
      </c>
      <c r="K311">
        <v>52</v>
      </c>
      <c r="L311">
        <v>0</v>
      </c>
      <c r="M311" t="s">
        <v>6371</v>
      </c>
    </row>
    <row r="312" spans="1:13">
      <c r="A312" t="s">
        <v>778</v>
      </c>
      <c r="B312" t="s">
        <v>779</v>
      </c>
      <c r="C312">
        <v>43812</v>
      </c>
      <c r="D312">
        <v>40284121</v>
      </c>
      <c r="E312">
        <v>14548</v>
      </c>
      <c r="F312">
        <v>41</v>
      </c>
      <c r="G312">
        <v>17978707</v>
      </c>
      <c r="H312">
        <v>466425</v>
      </c>
      <c r="I312">
        <v>61088562861</v>
      </c>
      <c r="J312">
        <v>15</v>
      </c>
      <c r="K312">
        <v>333</v>
      </c>
      <c r="L312">
        <v>1</v>
      </c>
      <c r="M312" t="s">
        <v>6371</v>
      </c>
    </row>
    <row r="313" spans="1:13">
      <c r="A313" t="s">
        <v>780</v>
      </c>
      <c r="B313" t="s">
        <v>781</v>
      </c>
      <c r="C313">
        <v>43503</v>
      </c>
      <c r="D313">
        <v>858059276</v>
      </c>
      <c r="E313">
        <v>181654</v>
      </c>
      <c r="F313">
        <v>70</v>
      </c>
      <c r="G313">
        <v>464768581</v>
      </c>
      <c r="H313">
        <v>3626173</v>
      </c>
      <c r="I313">
        <v>417831392</v>
      </c>
      <c r="J313">
        <v>46</v>
      </c>
      <c r="K313">
        <v>73</v>
      </c>
      <c r="L313">
        <v>1</v>
      </c>
      <c r="M313" t="s">
        <v>6371</v>
      </c>
    </row>
    <row r="314" spans="1:13">
      <c r="A314" t="s">
        <v>782</v>
      </c>
      <c r="B314" t="s">
        <v>783</v>
      </c>
      <c r="C314">
        <v>42171</v>
      </c>
      <c r="D314">
        <v>1916203330</v>
      </c>
      <c r="E314">
        <v>218955</v>
      </c>
      <c r="F314">
        <v>78</v>
      </c>
      <c r="G314">
        <v>2155590787</v>
      </c>
      <c r="H314">
        <v>17104498</v>
      </c>
      <c r="I314">
        <v>877998186</v>
      </c>
      <c r="J314">
        <v>176</v>
      </c>
      <c r="K314">
        <v>79</v>
      </c>
      <c r="L314">
        <v>0</v>
      </c>
      <c r="M314" t="s">
        <v>6371</v>
      </c>
    </row>
    <row r="315" spans="1:13">
      <c r="A315" t="s">
        <v>784</v>
      </c>
      <c r="B315" t="s">
        <v>318</v>
      </c>
      <c r="C315">
        <v>44673</v>
      </c>
      <c r="D315">
        <v>891578597</v>
      </c>
      <c r="E315">
        <v>134151</v>
      </c>
      <c r="F315">
        <v>82</v>
      </c>
      <c r="G315">
        <v>121756122</v>
      </c>
      <c r="H315">
        <v>612540</v>
      </c>
      <c r="I315">
        <v>536850823</v>
      </c>
      <c r="J315">
        <v>78</v>
      </c>
      <c r="K315">
        <v>86</v>
      </c>
      <c r="L315">
        <v>0</v>
      </c>
      <c r="M315" t="s">
        <v>6370</v>
      </c>
    </row>
    <row r="316" spans="1:13">
      <c r="A316" t="s">
        <v>785</v>
      </c>
      <c r="B316" t="s">
        <v>170</v>
      </c>
      <c r="C316">
        <v>44981</v>
      </c>
      <c r="D316">
        <v>629102459</v>
      </c>
      <c r="E316">
        <v>31206</v>
      </c>
      <c r="F316">
        <v>81</v>
      </c>
      <c r="G316">
        <v>317295184</v>
      </c>
      <c r="H316">
        <v>924600</v>
      </c>
      <c r="I316">
        <v>404330162</v>
      </c>
      <c r="J316">
        <v>45</v>
      </c>
      <c r="K316">
        <v>387</v>
      </c>
      <c r="L316">
        <v>1</v>
      </c>
      <c r="M316" t="s">
        <v>6370</v>
      </c>
    </row>
    <row r="317" spans="1:13">
      <c r="A317" t="s">
        <v>789</v>
      </c>
      <c r="B317" t="s">
        <v>790</v>
      </c>
      <c r="C317">
        <v>45071</v>
      </c>
      <c r="D317">
        <v>136724343</v>
      </c>
      <c r="E317">
        <v>15391</v>
      </c>
      <c r="F317">
        <v>72</v>
      </c>
      <c r="G317">
        <v>252644706</v>
      </c>
      <c r="H317">
        <v>1115099</v>
      </c>
      <c r="I317">
        <v>525208493</v>
      </c>
      <c r="J317">
        <v>18</v>
      </c>
      <c r="K317">
        <v>4</v>
      </c>
      <c r="L317">
        <v>0</v>
      </c>
      <c r="M317" t="s">
        <v>6370</v>
      </c>
    </row>
    <row r="318" spans="1:13">
      <c r="A318" t="s">
        <v>792</v>
      </c>
      <c r="B318" t="s">
        <v>311</v>
      </c>
      <c r="C318">
        <v>42524</v>
      </c>
      <c r="D318">
        <v>2164074552</v>
      </c>
      <c r="E318">
        <v>183260</v>
      </c>
      <c r="F318">
        <v>80</v>
      </c>
      <c r="G318">
        <v>2766700889</v>
      </c>
      <c r="H318">
        <v>14538731</v>
      </c>
      <c r="I318">
        <v>218876789</v>
      </c>
      <c r="J318">
        <v>110</v>
      </c>
      <c r="K318">
        <v>361</v>
      </c>
      <c r="L318">
        <v>0</v>
      </c>
      <c r="M318" t="s">
        <v>6371</v>
      </c>
    </row>
    <row r="319" spans="1:13">
      <c r="A319" t="s">
        <v>793</v>
      </c>
      <c r="B319" t="s">
        <v>332</v>
      </c>
      <c r="C319">
        <v>44792</v>
      </c>
      <c r="D319">
        <v>944833760</v>
      </c>
      <c r="E319">
        <v>84300</v>
      </c>
      <c r="F319">
        <v>78</v>
      </c>
      <c r="G319">
        <v>442672273</v>
      </c>
      <c r="H319">
        <v>1382190</v>
      </c>
      <c r="I319">
        <v>1137735925</v>
      </c>
      <c r="J319">
        <v>58</v>
      </c>
      <c r="K319">
        <v>847</v>
      </c>
      <c r="L319">
        <v>0</v>
      </c>
      <c r="M319" t="s">
        <v>6370</v>
      </c>
    </row>
    <row r="320" spans="1:13">
      <c r="A320" t="s">
        <v>798</v>
      </c>
      <c r="B320" t="s">
        <v>515</v>
      </c>
      <c r="C320">
        <v>42122</v>
      </c>
      <c r="D320">
        <v>2313532702</v>
      </c>
      <c r="E320">
        <v>333612</v>
      </c>
      <c r="F320">
        <v>79</v>
      </c>
      <c r="G320">
        <v>3241796669</v>
      </c>
      <c r="H320">
        <v>22573742</v>
      </c>
      <c r="I320">
        <v>664725202</v>
      </c>
      <c r="J320">
        <v>10</v>
      </c>
      <c r="K320">
        <v>288</v>
      </c>
      <c r="L320">
        <v>0</v>
      </c>
      <c r="M320" t="s">
        <v>6371</v>
      </c>
    </row>
    <row r="321" spans="1:13">
      <c r="A321" t="s">
        <v>799</v>
      </c>
      <c r="B321" t="s">
        <v>800</v>
      </c>
      <c r="C321">
        <v>43466</v>
      </c>
      <c r="D321">
        <v>1251675613</v>
      </c>
      <c r="E321">
        <v>233472</v>
      </c>
      <c r="F321">
        <v>67</v>
      </c>
      <c r="G321">
        <v>1001433936</v>
      </c>
      <c r="H321">
        <v>13378087</v>
      </c>
      <c r="I321">
        <v>338873585</v>
      </c>
      <c r="J321">
        <v>245</v>
      </c>
      <c r="K321">
        <v>1544</v>
      </c>
      <c r="L321">
        <v>1</v>
      </c>
      <c r="M321" t="s">
        <v>6371</v>
      </c>
    </row>
    <row r="322" spans="1:13">
      <c r="A322" t="s">
        <v>801</v>
      </c>
      <c r="B322" t="s">
        <v>802</v>
      </c>
      <c r="C322">
        <v>40909</v>
      </c>
      <c r="D322">
        <v>2382407025</v>
      </c>
      <c r="E322">
        <v>259202</v>
      </c>
      <c r="F322">
        <v>80</v>
      </c>
      <c r="G322">
        <v>3064193777</v>
      </c>
      <c r="H322">
        <v>17820289</v>
      </c>
      <c r="I322">
        <v>643209321</v>
      </c>
      <c r="J322">
        <v>295</v>
      </c>
      <c r="K322">
        <v>341</v>
      </c>
      <c r="L322">
        <v>0</v>
      </c>
      <c r="M322" t="s">
        <v>6371</v>
      </c>
    </row>
    <row r="323" spans="1:13">
      <c r="A323">
        <v>2055</v>
      </c>
      <c r="B323" t="s">
        <v>803</v>
      </c>
      <c r="C323">
        <v>44300</v>
      </c>
      <c r="D323">
        <v>811700245</v>
      </c>
      <c r="E323">
        <v>195603</v>
      </c>
      <c r="F323">
        <v>77</v>
      </c>
      <c r="G323">
        <v>168936854</v>
      </c>
      <c r="H323">
        <v>1450642</v>
      </c>
      <c r="I323">
        <v>752325431</v>
      </c>
      <c r="J323">
        <v>39</v>
      </c>
      <c r="K323">
        <v>232</v>
      </c>
      <c r="L323">
        <v>1</v>
      </c>
      <c r="M323" t="s">
        <v>6370</v>
      </c>
    </row>
    <row r="324" spans="1:13">
      <c r="A324" t="s">
        <v>804</v>
      </c>
      <c r="B324" t="s">
        <v>805</v>
      </c>
      <c r="C324">
        <v>45323</v>
      </c>
      <c r="D324">
        <v>152597421</v>
      </c>
      <c r="E324">
        <v>19834</v>
      </c>
      <c r="F324">
        <v>12</v>
      </c>
      <c r="G324">
        <v>6556571</v>
      </c>
      <c r="H324">
        <v>181948</v>
      </c>
      <c r="I324">
        <v>98100600</v>
      </c>
      <c r="J324">
        <v>27</v>
      </c>
      <c r="K324">
        <v>1312</v>
      </c>
      <c r="L324">
        <v>1</v>
      </c>
      <c r="M324" t="s">
        <v>6370</v>
      </c>
    </row>
    <row r="325" spans="1:13">
      <c r="A325" t="s">
        <v>806</v>
      </c>
      <c r="B325" t="s">
        <v>807</v>
      </c>
      <c r="C325">
        <v>42691</v>
      </c>
      <c r="D325">
        <v>1615152539</v>
      </c>
      <c r="E325">
        <v>377159</v>
      </c>
      <c r="F325">
        <v>76</v>
      </c>
      <c r="G325">
        <v>887924965</v>
      </c>
      <c r="H325">
        <v>7755679</v>
      </c>
      <c r="I325">
        <v>430258743</v>
      </c>
      <c r="J325">
        <v>271</v>
      </c>
      <c r="K325">
        <v>137</v>
      </c>
      <c r="L325">
        <v>1</v>
      </c>
      <c r="M325" t="s">
        <v>6371</v>
      </c>
    </row>
    <row r="326" spans="1:13">
      <c r="A326" t="s">
        <v>814</v>
      </c>
      <c r="B326" t="s">
        <v>301</v>
      </c>
      <c r="C326">
        <v>44694</v>
      </c>
      <c r="D326">
        <v>644437397</v>
      </c>
      <c r="E326">
        <v>64367</v>
      </c>
      <c r="F326">
        <v>79</v>
      </c>
      <c r="G326">
        <v>141964689</v>
      </c>
      <c r="H326">
        <v>814824</v>
      </c>
      <c r="I326">
        <v>327463451</v>
      </c>
      <c r="J326">
        <v>49</v>
      </c>
      <c r="K326">
        <v>301</v>
      </c>
      <c r="L326">
        <v>0</v>
      </c>
      <c r="M326" t="s">
        <v>6370</v>
      </c>
    </row>
    <row r="327" spans="1:13">
      <c r="A327" t="s">
        <v>816</v>
      </c>
      <c r="B327" t="s">
        <v>112</v>
      </c>
      <c r="C327">
        <v>43915</v>
      </c>
      <c r="D327">
        <v>1198689895</v>
      </c>
      <c r="E327">
        <v>130486</v>
      </c>
      <c r="F327">
        <v>71</v>
      </c>
      <c r="G327">
        <v>761387435</v>
      </c>
      <c r="H327">
        <v>6874611</v>
      </c>
      <c r="I327">
        <v>1509626629</v>
      </c>
      <c r="J327">
        <v>203</v>
      </c>
      <c r="K327">
        <v>348</v>
      </c>
      <c r="L327">
        <v>0</v>
      </c>
      <c r="M327" t="s">
        <v>6371</v>
      </c>
    </row>
    <row r="328" spans="1:13">
      <c r="A328" t="s">
        <v>817</v>
      </c>
      <c r="B328" t="s">
        <v>391</v>
      </c>
      <c r="C328">
        <v>44820</v>
      </c>
      <c r="D328">
        <v>654818451</v>
      </c>
      <c r="E328">
        <v>39852</v>
      </c>
      <c r="F328">
        <v>67</v>
      </c>
      <c r="G328">
        <v>633781726</v>
      </c>
      <c r="H328">
        <v>11421404</v>
      </c>
      <c r="I328">
        <v>3365539262</v>
      </c>
      <c r="J328">
        <v>34</v>
      </c>
      <c r="K328">
        <v>201</v>
      </c>
      <c r="L328">
        <v>0</v>
      </c>
      <c r="M328" t="s">
        <v>6370</v>
      </c>
    </row>
    <row r="329" spans="1:13">
      <c r="A329" t="s">
        <v>824</v>
      </c>
      <c r="B329" t="s">
        <v>141</v>
      </c>
      <c r="C329">
        <v>43384</v>
      </c>
      <c r="D329">
        <v>1318254846</v>
      </c>
      <c r="E329">
        <v>159832</v>
      </c>
      <c r="F329">
        <v>71</v>
      </c>
      <c r="G329">
        <v>1572511545</v>
      </c>
      <c r="H329">
        <v>8633372</v>
      </c>
      <c r="I329">
        <v>244589825</v>
      </c>
      <c r="J329">
        <v>163</v>
      </c>
      <c r="K329">
        <v>100</v>
      </c>
      <c r="L329">
        <v>0</v>
      </c>
      <c r="M329" t="s">
        <v>6371</v>
      </c>
    </row>
    <row r="330" spans="1:13">
      <c r="A330" t="s">
        <v>825</v>
      </c>
      <c r="B330" t="s">
        <v>295</v>
      </c>
      <c r="C330">
        <v>43924</v>
      </c>
      <c r="D330">
        <v>1059262917</v>
      </c>
      <c r="E330">
        <v>200623</v>
      </c>
      <c r="F330">
        <v>64</v>
      </c>
      <c r="G330">
        <v>507137305</v>
      </c>
      <c r="H330">
        <v>5604031</v>
      </c>
      <c r="I330">
        <v>3734881670</v>
      </c>
      <c r="J330">
        <v>146</v>
      </c>
      <c r="K330">
        <v>31</v>
      </c>
      <c r="L330">
        <v>1</v>
      </c>
      <c r="M330" t="s">
        <v>6371</v>
      </c>
    </row>
    <row r="331" spans="1:13">
      <c r="A331" t="s">
        <v>826</v>
      </c>
      <c r="B331" t="s">
        <v>170</v>
      </c>
      <c r="C331">
        <v>44981</v>
      </c>
      <c r="D331">
        <v>426341106</v>
      </c>
      <c r="E331">
        <v>29511</v>
      </c>
      <c r="F331">
        <v>76</v>
      </c>
      <c r="G331">
        <v>304538874</v>
      </c>
      <c r="H331">
        <v>2238586</v>
      </c>
      <c r="I331">
        <v>871654140</v>
      </c>
      <c r="J331">
        <v>22</v>
      </c>
      <c r="K331">
        <v>131</v>
      </c>
      <c r="L331">
        <v>0</v>
      </c>
      <c r="M331" t="s">
        <v>6370</v>
      </c>
    </row>
    <row r="332" spans="1:13">
      <c r="A332" t="s">
        <v>828</v>
      </c>
      <c r="B332" t="s">
        <v>829</v>
      </c>
      <c r="C332">
        <v>43644</v>
      </c>
      <c r="D332">
        <v>907346612</v>
      </c>
      <c r="E332">
        <v>200091</v>
      </c>
      <c r="F332">
        <v>69</v>
      </c>
      <c r="G332">
        <v>372311322</v>
      </c>
      <c r="H332">
        <v>3400085</v>
      </c>
      <c r="I332">
        <v>245290801</v>
      </c>
      <c r="J332">
        <v>91</v>
      </c>
      <c r="K332">
        <v>34</v>
      </c>
      <c r="L332">
        <v>1</v>
      </c>
      <c r="M332" t="s">
        <v>6371</v>
      </c>
    </row>
    <row r="333" spans="1:13">
      <c r="A333" t="s">
        <v>832</v>
      </c>
      <c r="B333" t="s">
        <v>221</v>
      </c>
      <c r="C333">
        <v>45428</v>
      </c>
      <c r="D333">
        <v>33661899</v>
      </c>
      <c r="E333">
        <v>3565</v>
      </c>
      <c r="F333">
        <v>79</v>
      </c>
      <c r="G333">
        <v>3729783</v>
      </c>
      <c r="H333">
        <v>62696</v>
      </c>
      <c r="I333">
        <v>1441200</v>
      </c>
      <c r="J333">
        <v>8</v>
      </c>
      <c r="K333">
        <v>1</v>
      </c>
      <c r="L333">
        <v>0</v>
      </c>
      <c r="M333" t="s">
        <v>6370</v>
      </c>
    </row>
    <row r="334" spans="1:13">
      <c r="A334" t="s">
        <v>833</v>
      </c>
      <c r="B334" t="s">
        <v>68</v>
      </c>
      <c r="C334">
        <v>44687</v>
      </c>
      <c r="D334">
        <v>553783547</v>
      </c>
      <c r="E334">
        <v>83450</v>
      </c>
      <c r="F334">
        <v>68</v>
      </c>
      <c r="G334">
        <v>238368386</v>
      </c>
      <c r="H334">
        <v>2671201</v>
      </c>
      <c r="I334">
        <v>2994040421</v>
      </c>
      <c r="J334">
        <v>57</v>
      </c>
      <c r="K334">
        <v>1832</v>
      </c>
      <c r="L334">
        <v>1</v>
      </c>
      <c r="M334" t="s">
        <v>6370</v>
      </c>
    </row>
    <row r="335" spans="1:13">
      <c r="A335" t="s">
        <v>834</v>
      </c>
      <c r="B335" t="s">
        <v>520</v>
      </c>
      <c r="C335">
        <v>44988</v>
      </c>
      <c r="D335">
        <v>528420867</v>
      </c>
      <c r="E335">
        <v>59791</v>
      </c>
      <c r="F335">
        <v>75</v>
      </c>
      <c r="G335">
        <v>211317309</v>
      </c>
      <c r="H335">
        <v>842146</v>
      </c>
      <c r="I335">
        <v>451806178</v>
      </c>
      <c r="J335">
        <v>84</v>
      </c>
      <c r="K335">
        <v>117</v>
      </c>
      <c r="L335">
        <v>0</v>
      </c>
      <c r="M335" t="s">
        <v>6370</v>
      </c>
    </row>
    <row r="336" spans="1:13">
      <c r="A336" t="s">
        <v>835</v>
      </c>
      <c r="B336" t="s">
        <v>836</v>
      </c>
      <c r="C336">
        <v>45184</v>
      </c>
      <c r="D336">
        <v>142945230</v>
      </c>
      <c r="E336">
        <v>13253</v>
      </c>
      <c r="F336">
        <v>76</v>
      </c>
      <c r="G336">
        <v>66893881</v>
      </c>
      <c r="H336">
        <v>833116</v>
      </c>
      <c r="I336">
        <v>17122064</v>
      </c>
      <c r="J336">
        <v>59</v>
      </c>
      <c r="K336">
        <v>401</v>
      </c>
      <c r="L336">
        <v>0</v>
      </c>
      <c r="M336" t="s">
        <v>6370</v>
      </c>
    </row>
    <row r="337" spans="1:13">
      <c r="A337" t="s">
        <v>842</v>
      </c>
      <c r="B337" t="s">
        <v>781</v>
      </c>
      <c r="C337">
        <v>43966</v>
      </c>
      <c r="D337">
        <v>885756212</v>
      </c>
      <c r="E337">
        <v>212406</v>
      </c>
      <c r="F337">
        <v>76</v>
      </c>
      <c r="G337">
        <v>226717718</v>
      </c>
      <c r="H337">
        <v>2205890</v>
      </c>
      <c r="I337">
        <v>200329006</v>
      </c>
      <c r="J337">
        <v>46</v>
      </c>
      <c r="K337">
        <v>51</v>
      </c>
      <c r="L337">
        <v>1</v>
      </c>
      <c r="M337" t="s">
        <v>6371</v>
      </c>
    </row>
    <row r="338" spans="1:13">
      <c r="A338" t="s">
        <v>843</v>
      </c>
      <c r="B338" t="s">
        <v>81</v>
      </c>
      <c r="C338">
        <v>43407</v>
      </c>
      <c r="D338">
        <v>1878196824</v>
      </c>
      <c r="E338">
        <v>134913</v>
      </c>
      <c r="F338">
        <v>73</v>
      </c>
      <c r="G338">
        <v>1479999649</v>
      </c>
      <c r="H338">
        <v>20977857</v>
      </c>
      <c r="I338">
        <v>982464070</v>
      </c>
      <c r="J338">
        <v>238</v>
      </c>
      <c r="K338">
        <v>400</v>
      </c>
      <c r="L338">
        <v>1</v>
      </c>
      <c r="M338" t="s">
        <v>6371</v>
      </c>
    </row>
    <row r="339" spans="1:13">
      <c r="A339" t="s">
        <v>844</v>
      </c>
      <c r="B339" t="s">
        <v>295</v>
      </c>
      <c r="C339">
        <v>42464</v>
      </c>
      <c r="D339">
        <v>3192204066</v>
      </c>
      <c r="E339">
        <v>379853</v>
      </c>
      <c r="F339">
        <v>82</v>
      </c>
      <c r="G339">
        <v>456806913</v>
      </c>
      <c r="H339">
        <v>5068762</v>
      </c>
      <c r="I339">
        <v>388544079</v>
      </c>
      <c r="J339">
        <v>550</v>
      </c>
      <c r="K339">
        <v>932</v>
      </c>
      <c r="L339">
        <v>0</v>
      </c>
      <c r="M339" t="s">
        <v>6371</v>
      </c>
    </row>
    <row r="340" spans="1:13">
      <c r="A340" t="s">
        <v>845</v>
      </c>
      <c r="B340" t="s">
        <v>846</v>
      </c>
      <c r="C340">
        <v>43795</v>
      </c>
      <c r="D340">
        <v>912461674</v>
      </c>
      <c r="E340">
        <v>160875</v>
      </c>
      <c r="F340">
        <v>70</v>
      </c>
      <c r="G340">
        <v>200055211</v>
      </c>
      <c r="H340">
        <v>2666083</v>
      </c>
      <c r="I340">
        <v>3076620938</v>
      </c>
      <c r="J340">
        <v>210</v>
      </c>
      <c r="K340">
        <v>389</v>
      </c>
      <c r="L340">
        <v>0</v>
      </c>
      <c r="M340" t="s">
        <v>6371</v>
      </c>
    </row>
    <row r="341" spans="1:13">
      <c r="A341" t="s">
        <v>847</v>
      </c>
      <c r="B341" t="s">
        <v>504</v>
      </c>
      <c r="C341">
        <v>43175</v>
      </c>
      <c r="D341">
        <v>1442703001</v>
      </c>
      <c r="E341">
        <v>201082</v>
      </c>
      <c r="F341">
        <v>78</v>
      </c>
      <c r="G341">
        <v>460915912</v>
      </c>
      <c r="H341">
        <v>7439249</v>
      </c>
      <c r="I341">
        <v>325870631</v>
      </c>
      <c r="J341">
        <v>15</v>
      </c>
      <c r="K341">
        <v>4</v>
      </c>
      <c r="L341">
        <v>1</v>
      </c>
      <c r="M341" t="s">
        <v>6371</v>
      </c>
    </row>
    <row r="342" spans="1:13">
      <c r="A342" t="s">
        <v>848</v>
      </c>
      <c r="B342" t="s">
        <v>849</v>
      </c>
      <c r="C342">
        <v>44953</v>
      </c>
      <c r="D342">
        <v>255898884</v>
      </c>
      <c r="E342">
        <v>35610</v>
      </c>
      <c r="F342">
        <v>65</v>
      </c>
      <c r="G342">
        <v>95799266</v>
      </c>
      <c r="H342">
        <v>746279</v>
      </c>
      <c r="I342">
        <v>112935118</v>
      </c>
      <c r="J342">
        <v>80</v>
      </c>
      <c r="K342">
        <v>74</v>
      </c>
      <c r="L342">
        <v>0</v>
      </c>
      <c r="M342" t="s">
        <v>6370</v>
      </c>
    </row>
    <row r="343" spans="1:13">
      <c r="A343" t="s">
        <v>850</v>
      </c>
      <c r="B343" t="s">
        <v>285</v>
      </c>
      <c r="C343">
        <v>43868</v>
      </c>
      <c r="D343">
        <v>1177960398</v>
      </c>
      <c r="E343">
        <v>124387</v>
      </c>
      <c r="F343">
        <v>69</v>
      </c>
      <c r="G343">
        <v>1048571287</v>
      </c>
      <c r="H343">
        <v>8326026</v>
      </c>
      <c r="I343">
        <v>517889307</v>
      </c>
      <c r="J343">
        <v>250</v>
      </c>
      <c r="K343">
        <v>147</v>
      </c>
      <c r="L343">
        <v>0</v>
      </c>
      <c r="M343" t="s">
        <v>6371</v>
      </c>
    </row>
    <row r="344" spans="1:13">
      <c r="A344" t="s">
        <v>851</v>
      </c>
      <c r="B344" t="s">
        <v>200</v>
      </c>
      <c r="C344">
        <v>44950</v>
      </c>
      <c r="D344">
        <v>668103212</v>
      </c>
      <c r="E344">
        <v>52040</v>
      </c>
      <c r="F344">
        <v>69</v>
      </c>
      <c r="G344">
        <v>417352534</v>
      </c>
      <c r="H344">
        <v>2399654</v>
      </c>
      <c r="I344">
        <v>1213</v>
      </c>
      <c r="J344">
        <v>52</v>
      </c>
      <c r="K344">
        <v>3</v>
      </c>
      <c r="L344">
        <v>1</v>
      </c>
      <c r="M344" t="s">
        <v>6370</v>
      </c>
    </row>
    <row r="345" spans="1:13">
      <c r="A345" t="s">
        <v>852</v>
      </c>
      <c r="B345" t="s">
        <v>853</v>
      </c>
      <c r="C345">
        <v>44057</v>
      </c>
      <c r="D345">
        <v>1320495311</v>
      </c>
      <c r="E345">
        <v>280937</v>
      </c>
      <c r="F345">
        <v>12</v>
      </c>
      <c r="G345">
        <v>446997037</v>
      </c>
      <c r="H345">
        <v>4911417</v>
      </c>
      <c r="I345">
        <v>1355578291</v>
      </c>
      <c r="J345">
        <v>191</v>
      </c>
      <c r="K345">
        <v>147</v>
      </c>
      <c r="L345">
        <v>1</v>
      </c>
      <c r="M345" t="s">
        <v>6371</v>
      </c>
    </row>
    <row r="346" spans="1:13">
      <c r="A346" t="s">
        <v>854</v>
      </c>
      <c r="B346" t="s">
        <v>77</v>
      </c>
      <c r="C346">
        <v>44141</v>
      </c>
      <c r="D346">
        <v>927908363</v>
      </c>
      <c r="E346">
        <v>192182</v>
      </c>
      <c r="F346">
        <v>69</v>
      </c>
      <c r="G346">
        <v>201781716</v>
      </c>
      <c r="H346">
        <v>2768029</v>
      </c>
      <c r="I346">
        <v>2189403368</v>
      </c>
      <c r="J346">
        <v>179</v>
      </c>
      <c r="K346">
        <v>803</v>
      </c>
      <c r="L346">
        <v>1</v>
      </c>
      <c r="M346" t="s">
        <v>6371</v>
      </c>
    </row>
    <row r="347" spans="1:13">
      <c r="A347" t="s">
        <v>856</v>
      </c>
      <c r="B347" t="s">
        <v>43</v>
      </c>
      <c r="C347">
        <v>44910</v>
      </c>
      <c r="D347">
        <v>415699405</v>
      </c>
      <c r="E347">
        <v>131562</v>
      </c>
      <c r="F347">
        <v>70</v>
      </c>
      <c r="G347">
        <v>120716253</v>
      </c>
      <c r="H347">
        <v>1505981</v>
      </c>
      <c r="I347">
        <v>459919455</v>
      </c>
      <c r="J347">
        <v>37</v>
      </c>
      <c r="K347">
        <v>271</v>
      </c>
      <c r="L347">
        <v>1</v>
      </c>
      <c r="M347" t="s">
        <v>6370</v>
      </c>
    </row>
    <row r="348" spans="1:13">
      <c r="A348" t="s">
        <v>859</v>
      </c>
      <c r="B348" t="s">
        <v>860</v>
      </c>
      <c r="C348">
        <v>43950</v>
      </c>
      <c r="D348">
        <v>428986855</v>
      </c>
      <c r="E348">
        <v>49403</v>
      </c>
      <c r="F348">
        <v>57</v>
      </c>
      <c r="G348">
        <v>179237329</v>
      </c>
      <c r="H348">
        <v>1934526</v>
      </c>
      <c r="I348">
        <v>7823796917</v>
      </c>
      <c r="J348">
        <v>151</v>
      </c>
      <c r="K348">
        <v>82</v>
      </c>
      <c r="L348">
        <v>1</v>
      </c>
      <c r="M348" t="s">
        <v>6371</v>
      </c>
    </row>
    <row r="349" spans="1:13">
      <c r="A349" t="s">
        <v>861</v>
      </c>
      <c r="B349" t="s">
        <v>805</v>
      </c>
      <c r="C349">
        <v>43614</v>
      </c>
      <c r="D349">
        <v>922761340</v>
      </c>
      <c r="E349">
        <v>176497</v>
      </c>
      <c r="F349">
        <v>74</v>
      </c>
      <c r="G349">
        <v>469284408</v>
      </c>
      <c r="H349">
        <v>5223780</v>
      </c>
      <c r="I349">
        <v>5254571599</v>
      </c>
      <c r="J349">
        <v>99</v>
      </c>
      <c r="K349">
        <v>48</v>
      </c>
      <c r="L349">
        <v>0</v>
      </c>
      <c r="M349" t="s">
        <v>6371</v>
      </c>
    </row>
    <row r="350" spans="1:13">
      <c r="A350" t="s">
        <v>862</v>
      </c>
      <c r="B350" t="s">
        <v>285</v>
      </c>
      <c r="C350">
        <v>42317</v>
      </c>
      <c r="D350">
        <v>2423583406</v>
      </c>
      <c r="E350">
        <v>221550</v>
      </c>
      <c r="F350">
        <v>78</v>
      </c>
      <c r="G350">
        <v>2154325842</v>
      </c>
      <c r="H350">
        <v>11828484</v>
      </c>
      <c r="I350">
        <v>546197873</v>
      </c>
      <c r="J350">
        <v>287</v>
      </c>
      <c r="K350">
        <v>210</v>
      </c>
      <c r="L350">
        <v>0</v>
      </c>
      <c r="M350" t="s">
        <v>6371</v>
      </c>
    </row>
    <row r="351" spans="1:13">
      <c r="A351" t="s">
        <v>870</v>
      </c>
      <c r="B351" t="s">
        <v>871</v>
      </c>
      <c r="C351">
        <v>42370</v>
      </c>
      <c r="D351">
        <v>1429277695</v>
      </c>
      <c r="E351">
        <v>126593</v>
      </c>
      <c r="F351">
        <v>71</v>
      </c>
      <c r="G351">
        <v>2888870306</v>
      </c>
      <c r="H351">
        <v>12986504</v>
      </c>
      <c r="I351">
        <v>1155210017</v>
      </c>
      <c r="J351">
        <v>206</v>
      </c>
      <c r="K351">
        <v>227</v>
      </c>
      <c r="L351">
        <v>0</v>
      </c>
      <c r="M351" t="s">
        <v>6371</v>
      </c>
    </row>
    <row r="352" spans="1:13">
      <c r="A352" t="s">
        <v>876</v>
      </c>
      <c r="B352" t="s">
        <v>330</v>
      </c>
      <c r="C352">
        <v>44498</v>
      </c>
      <c r="D352">
        <v>907821800</v>
      </c>
      <c r="E352">
        <v>106835</v>
      </c>
      <c r="F352">
        <v>68</v>
      </c>
      <c r="G352">
        <v>242506280</v>
      </c>
      <c r="H352">
        <v>2540594</v>
      </c>
      <c r="I352">
        <v>702113761</v>
      </c>
      <c r="J352">
        <v>152</v>
      </c>
      <c r="K352">
        <v>1115</v>
      </c>
      <c r="L352">
        <v>0</v>
      </c>
      <c r="M352" t="s">
        <v>6370</v>
      </c>
    </row>
    <row r="353" spans="1:13">
      <c r="A353" t="s">
        <v>877</v>
      </c>
      <c r="B353" t="s">
        <v>642</v>
      </c>
      <c r="C353">
        <v>44504</v>
      </c>
      <c r="D353">
        <v>818199643</v>
      </c>
      <c r="E353">
        <v>147373</v>
      </c>
      <c r="F353">
        <v>70</v>
      </c>
      <c r="G353">
        <v>300558745</v>
      </c>
      <c r="H353">
        <v>1923570</v>
      </c>
      <c r="I353">
        <v>591641859</v>
      </c>
      <c r="J353">
        <v>223</v>
      </c>
      <c r="K353">
        <v>1085</v>
      </c>
      <c r="L353">
        <v>0</v>
      </c>
      <c r="M353" t="s">
        <v>6370</v>
      </c>
    </row>
    <row r="354" spans="1:13">
      <c r="A354" t="s">
        <v>878</v>
      </c>
      <c r="B354" t="s">
        <v>879</v>
      </c>
      <c r="C354">
        <v>45163</v>
      </c>
      <c r="D354">
        <v>205555865</v>
      </c>
      <c r="E354">
        <v>18831</v>
      </c>
      <c r="F354">
        <v>70</v>
      </c>
      <c r="G354">
        <v>62487981</v>
      </c>
      <c r="H354">
        <v>1546366</v>
      </c>
      <c r="I354">
        <v>237154932</v>
      </c>
      <c r="J354">
        <v>71</v>
      </c>
      <c r="K354">
        <v>504</v>
      </c>
      <c r="L354">
        <v>0</v>
      </c>
      <c r="M354" t="s">
        <v>6370</v>
      </c>
    </row>
    <row r="355" spans="1:13">
      <c r="A355" t="s">
        <v>884</v>
      </c>
      <c r="B355" t="s">
        <v>576</v>
      </c>
      <c r="C355">
        <v>43210</v>
      </c>
      <c r="D355">
        <v>785389574</v>
      </c>
      <c r="E355">
        <v>70607</v>
      </c>
      <c r="F355">
        <v>61</v>
      </c>
      <c r="G355">
        <v>2377255570</v>
      </c>
      <c r="H355">
        <v>10176631</v>
      </c>
      <c r="I355">
        <v>989856037</v>
      </c>
      <c r="J355">
        <v>86</v>
      </c>
      <c r="K355">
        <v>113</v>
      </c>
      <c r="L355">
        <v>0</v>
      </c>
      <c r="M355" t="s">
        <v>6371</v>
      </c>
    </row>
    <row r="356" spans="1:13">
      <c r="A356" t="s">
        <v>885</v>
      </c>
      <c r="B356" t="s">
        <v>301</v>
      </c>
      <c r="C356">
        <v>44204</v>
      </c>
      <c r="D356">
        <v>717226454</v>
      </c>
      <c r="E356">
        <v>73851</v>
      </c>
      <c r="F356">
        <v>79</v>
      </c>
      <c r="G356">
        <v>404363419</v>
      </c>
      <c r="H356">
        <v>2296639</v>
      </c>
      <c r="I356">
        <v>86145458</v>
      </c>
      <c r="J356">
        <v>41</v>
      </c>
      <c r="K356">
        <v>273</v>
      </c>
      <c r="L356">
        <v>0</v>
      </c>
      <c r="M356" t="s">
        <v>6370</v>
      </c>
    </row>
    <row r="357" spans="1:13">
      <c r="A357" t="s">
        <v>886</v>
      </c>
      <c r="B357" t="s">
        <v>72</v>
      </c>
      <c r="C357">
        <v>44733</v>
      </c>
      <c r="D357">
        <v>443564590</v>
      </c>
      <c r="E357">
        <v>80121</v>
      </c>
      <c r="F357">
        <v>64</v>
      </c>
      <c r="G357">
        <v>122345818</v>
      </c>
      <c r="H357">
        <v>1753026</v>
      </c>
      <c r="I357">
        <v>1231848412</v>
      </c>
      <c r="J357">
        <v>210</v>
      </c>
      <c r="K357">
        <v>1089</v>
      </c>
      <c r="L357">
        <v>0</v>
      </c>
      <c r="M357" t="s">
        <v>6370</v>
      </c>
    </row>
    <row r="358" spans="1:13">
      <c r="A358" t="s">
        <v>889</v>
      </c>
      <c r="B358" t="s">
        <v>890</v>
      </c>
      <c r="C358">
        <v>44582</v>
      </c>
      <c r="D358">
        <v>668285368</v>
      </c>
      <c r="E358">
        <v>120095</v>
      </c>
      <c r="F358">
        <v>74</v>
      </c>
      <c r="G358">
        <v>135561359</v>
      </c>
      <c r="H358">
        <v>1695128</v>
      </c>
      <c r="I358">
        <v>2877613437</v>
      </c>
      <c r="J358">
        <v>21</v>
      </c>
      <c r="K358">
        <v>338</v>
      </c>
      <c r="L358">
        <v>1</v>
      </c>
      <c r="M358" t="s">
        <v>6370</v>
      </c>
    </row>
    <row r="359" spans="1:13">
      <c r="A359" t="s">
        <v>891</v>
      </c>
      <c r="B359" t="s">
        <v>892</v>
      </c>
      <c r="C359">
        <v>42390</v>
      </c>
      <c r="D359">
        <v>1285237951</v>
      </c>
      <c r="E359">
        <v>166761</v>
      </c>
      <c r="F359">
        <v>76</v>
      </c>
      <c r="G359">
        <v>1383536938</v>
      </c>
      <c r="H359">
        <v>11277243</v>
      </c>
      <c r="I359">
        <v>14808888629</v>
      </c>
      <c r="J359">
        <v>124</v>
      </c>
      <c r="K359">
        <v>549</v>
      </c>
      <c r="L359">
        <v>0</v>
      </c>
      <c r="M359" t="s">
        <v>6371</v>
      </c>
    </row>
    <row r="360" spans="1:13">
      <c r="A360" t="s">
        <v>893</v>
      </c>
      <c r="B360" t="s">
        <v>266</v>
      </c>
      <c r="C360">
        <v>44337</v>
      </c>
      <c r="D360">
        <v>1564979439</v>
      </c>
      <c r="E360">
        <v>150597</v>
      </c>
      <c r="F360">
        <v>80</v>
      </c>
      <c r="G360">
        <v>500794182</v>
      </c>
      <c r="H360">
        <v>7451635</v>
      </c>
      <c r="I360">
        <v>2639611818</v>
      </c>
      <c r="J360">
        <v>147</v>
      </c>
      <c r="K360">
        <v>182</v>
      </c>
      <c r="L360">
        <v>0</v>
      </c>
      <c r="M360" t="s">
        <v>6370</v>
      </c>
    </row>
    <row r="361" spans="1:13">
      <c r="A361" t="s">
        <v>894</v>
      </c>
      <c r="B361" t="s">
        <v>236</v>
      </c>
      <c r="C361">
        <v>42629</v>
      </c>
      <c r="D361">
        <v>2396737761</v>
      </c>
      <c r="E361">
        <v>381756</v>
      </c>
      <c r="F361">
        <v>82</v>
      </c>
      <c r="G361">
        <v>1334796210</v>
      </c>
      <c r="H361">
        <v>12947143</v>
      </c>
      <c r="I361">
        <v>1545294272</v>
      </c>
      <c r="J361">
        <v>210</v>
      </c>
      <c r="K361">
        <v>51</v>
      </c>
      <c r="L361">
        <v>1</v>
      </c>
      <c r="M361" t="s">
        <v>6371</v>
      </c>
    </row>
    <row r="362" spans="1:13">
      <c r="A362" t="s">
        <v>897</v>
      </c>
      <c r="B362" t="s">
        <v>459</v>
      </c>
      <c r="C362">
        <v>44344</v>
      </c>
      <c r="D362">
        <v>811810737</v>
      </c>
      <c r="E362">
        <v>117049</v>
      </c>
      <c r="F362">
        <v>67</v>
      </c>
      <c r="G362">
        <v>874107993</v>
      </c>
      <c r="H362">
        <v>4127669</v>
      </c>
      <c r="I362">
        <v>1748578220</v>
      </c>
      <c r="J362">
        <v>108</v>
      </c>
      <c r="K362">
        <v>105</v>
      </c>
      <c r="L362">
        <v>0</v>
      </c>
      <c r="M362" t="s">
        <v>6370</v>
      </c>
    </row>
    <row r="363" spans="1:13">
      <c r="A363" t="s">
        <v>898</v>
      </c>
      <c r="B363" t="s">
        <v>836</v>
      </c>
      <c r="C363">
        <v>44519</v>
      </c>
      <c r="D363">
        <v>241632869</v>
      </c>
      <c r="E363">
        <v>58384</v>
      </c>
      <c r="F363">
        <v>67</v>
      </c>
      <c r="G363">
        <v>179211319</v>
      </c>
      <c r="H363">
        <v>1646854</v>
      </c>
      <c r="I363">
        <v>3549690741</v>
      </c>
      <c r="J363">
        <v>38</v>
      </c>
      <c r="K363">
        <v>550</v>
      </c>
      <c r="L363">
        <v>1</v>
      </c>
      <c r="M363" t="s">
        <v>6370</v>
      </c>
    </row>
    <row r="364" spans="1:13">
      <c r="A364" t="s">
        <v>899</v>
      </c>
      <c r="B364" t="s">
        <v>252</v>
      </c>
      <c r="C364">
        <v>43567</v>
      </c>
      <c r="D364">
        <v>1165842896</v>
      </c>
      <c r="E364">
        <v>62333</v>
      </c>
      <c r="F364">
        <v>70</v>
      </c>
      <c r="G364">
        <v>2104797932</v>
      </c>
      <c r="H364">
        <v>35291841</v>
      </c>
      <c r="I364">
        <v>2199922028</v>
      </c>
      <c r="J364">
        <v>111</v>
      </c>
      <c r="K364">
        <v>62</v>
      </c>
      <c r="L364">
        <v>0</v>
      </c>
      <c r="M364" t="s">
        <v>6371</v>
      </c>
    </row>
    <row r="365" spans="1:13">
      <c r="A365" t="s">
        <v>902</v>
      </c>
      <c r="B365" t="s">
        <v>903</v>
      </c>
      <c r="C365">
        <v>44448</v>
      </c>
      <c r="D365">
        <v>533416336</v>
      </c>
      <c r="E365">
        <v>51383</v>
      </c>
      <c r="F365">
        <v>68</v>
      </c>
      <c r="G365">
        <v>293168763</v>
      </c>
      <c r="H365">
        <v>2744278</v>
      </c>
      <c r="I365">
        <v>4418855338</v>
      </c>
      <c r="J365">
        <v>49</v>
      </c>
      <c r="K365">
        <v>23</v>
      </c>
      <c r="L365">
        <v>0</v>
      </c>
      <c r="M365" t="s">
        <v>6370</v>
      </c>
    </row>
    <row r="366" spans="1:13">
      <c r="A366" t="s">
        <v>904</v>
      </c>
      <c r="B366" t="s">
        <v>295</v>
      </c>
      <c r="C366">
        <v>44442</v>
      </c>
      <c r="D366">
        <v>559759920</v>
      </c>
      <c r="E366">
        <v>159492</v>
      </c>
      <c r="F366">
        <v>67</v>
      </c>
      <c r="G366">
        <v>190901062</v>
      </c>
      <c r="H366">
        <v>2026532</v>
      </c>
      <c r="I366">
        <v>2410691959</v>
      </c>
      <c r="J366">
        <v>102</v>
      </c>
      <c r="K366">
        <v>750</v>
      </c>
      <c r="L366">
        <v>1</v>
      </c>
      <c r="M366" t="s">
        <v>6370</v>
      </c>
    </row>
    <row r="367" spans="1:13">
      <c r="A367" t="s">
        <v>907</v>
      </c>
      <c r="B367" t="s">
        <v>688</v>
      </c>
      <c r="C367">
        <v>44274</v>
      </c>
      <c r="D367">
        <v>1053626902</v>
      </c>
      <c r="E367">
        <v>240281</v>
      </c>
      <c r="F367">
        <v>77</v>
      </c>
      <c r="G367">
        <v>286243073</v>
      </c>
      <c r="H367">
        <v>5394802</v>
      </c>
      <c r="I367">
        <v>1755214047</v>
      </c>
      <c r="J367">
        <v>117</v>
      </c>
      <c r="K367">
        <v>185</v>
      </c>
      <c r="L367">
        <v>1</v>
      </c>
      <c r="M367" t="s">
        <v>6370</v>
      </c>
    </row>
    <row r="368" spans="1:13">
      <c r="A368" t="s">
        <v>908</v>
      </c>
      <c r="B368" t="s">
        <v>53</v>
      </c>
      <c r="C368">
        <v>44680</v>
      </c>
      <c r="D368">
        <v>395167576</v>
      </c>
      <c r="E368">
        <v>135307</v>
      </c>
      <c r="F368">
        <v>71</v>
      </c>
      <c r="G368">
        <v>117364602</v>
      </c>
      <c r="H368">
        <v>803990</v>
      </c>
      <c r="I368">
        <v>66661123</v>
      </c>
      <c r="J368">
        <v>31</v>
      </c>
      <c r="K368">
        <v>135</v>
      </c>
      <c r="L368">
        <v>1</v>
      </c>
      <c r="M368" t="s">
        <v>6370</v>
      </c>
    </row>
    <row r="369" spans="1:13">
      <c r="A369" t="s">
        <v>909</v>
      </c>
      <c r="B369" t="s">
        <v>299</v>
      </c>
      <c r="C369">
        <v>45198</v>
      </c>
      <c r="D369">
        <v>573249007</v>
      </c>
      <c r="E369">
        <v>27154</v>
      </c>
      <c r="F369">
        <v>74</v>
      </c>
      <c r="G369">
        <v>166687005</v>
      </c>
      <c r="H369">
        <v>4539515</v>
      </c>
      <c r="I369">
        <v>66859275</v>
      </c>
      <c r="J369">
        <v>19</v>
      </c>
      <c r="K369">
        <v>25</v>
      </c>
      <c r="L369">
        <v>1</v>
      </c>
      <c r="M369" t="s">
        <v>6370</v>
      </c>
    </row>
    <row r="370" spans="1:13">
      <c r="A370" t="s">
        <v>911</v>
      </c>
      <c r="B370" t="s">
        <v>912</v>
      </c>
      <c r="C370">
        <v>44862</v>
      </c>
      <c r="D370">
        <v>378282960</v>
      </c>
      <c r="E370">
        <v>66018</v>
      </c>
      <c r="F370">
        <v>65</v>
      </c>
      <c r="G370">
        <v>44883383</v>
      </c>
      <c r="H370">
        <v>477531</v>
      </c>
      <c r="I370">
        <v>1367774822</v>
      </c>
      <c r="J370">
        <v>109</v>
      </c>
      <c r="K370">
        <v>4</v>
      </c>
      <c r="L370">
        <v>0</v>
      </c>
      <c r="M370" t="s">
        <v>6370</v>
      </c>
    </row>
    <row r="371" spans="1:13">
      <c r="A371" t="s">
        <v>913</v>
      </c>
      <c r="B371" t="s">
        <v>631</v>
      </c>
      <c r="C371">
        <v>45135</v>
      </c>
      <c r="D371">
        <v>226519256</v>
      </c>
      <c r="E371">
        <v>43558</v>
      </c>
      <c r="F371">
        <v>75</v>
      </c>
      <c r="G371">
        <v>51312470</v>
      </c>
      <c r="H371">
        <v>504978</v>
      </c>
      <c r="I371">
        <v>2439093</v>
      </c>
      <c r="J371">
        <v>89</v>
      </c>
      <c r="K371">
        <v>35</v>
      </c>
      <c r="L371">
        <v>0</v>
      </c>
      <c r="M371" t="s">
        <v>6370</v>
      </c>
    </row>
    <row r="372" spans="1:13">
      <c r="A372" t="s">
        <v>918</v>
      </c>
      <c r="B372" t="s">
        <v>313</v>
      </c>
      <c r="C372">
        <v>43552</v>
      </c>
      <c r="D372">
        <v>770653954</v>
      </c>
      <c r="E372">
        <v>81459</v>
      </c>
      <c r="F372">
        <v>66</v>
      </c>
      <c r="G372">
        <v>2296478541</v>
      </c>
      <c r="H372">
        <v>10488884</v>
      </c>
      <c r="I372">
        <v>353024939</v>
      </c>
      <c r="J372">
        <v>194</v>
      </c>
      <c r="K372">
        <v>431</v>
      </c>
      <c r="L372">
        <v>0</v>
      </c>
      <c r="M372" t="s">
        <v>6371</v>
      </c>
    </row>
    <row r="373" spans="1:13">
      <c r="A373" t="s">
        <v>921</v>
      </c>
      <c r="B373" t="s">
        <v>459</v>
      </c>
      <c r="C373">
        <v>43644</v>
      </c>
      <c r="D373">
        <v>1706325903</v>
      </c>
      <c r="E373">
        <v>149957</v>
      </c>
      <c r="F373">
        <v>79</v>
      </c>
      <c r="G373">
        <v>1527773578</v>
      </c>
      <c r="H373">
        <v>6954777</v>
      </c>
      <c r="I373">
        <v>143346183</v>
      </c>
      <c r="J373">
        <v>157</v>
      </c>
      <c r="K373">
        <v>24</v>
      </c>
      <c r="L373">
        <v>0</v>
      </c>
      <c r="M373" t="s">
        <v>6371</v>
      </c>
    </row>
    <row r="374" spans="1:13">
      <c r="A374" t="s">
        <v>924</v>
      </c>
      <c r="B374" t="s">
        <v>892</v>
      </c>
      <c r="C374">
        <v>41640</v>
      </c>
      <c r="D374">
        <v>1729264620</v>
      </c>
      <c r="E374">
        <v>171065</v>
      </c>
      <c r="F374">
        <v>75</v>
      </c>
      <c r="G374">
        <v>3137616905</v>
      </c>
      <c r="H374">
        <v>17150946</v>
      </c>
      <c r="I374">
        <v>1176707701</v>
      </c>
      <c r="J374">
        <v>216</v>
      </c>
      <c r="K374">
        <v>257</v>
      </c>
      <c r="L374">
        <v>0</v>
      </c>
      <c r="M374" t="s">
        <v>6371</v>
      </c>
    </row>
    <row r="375" spans="1:13">
      <c r="A375" t="s">
        <v>925</v>
      </c>
      <c r="B375" t="s">
        <v>926</v>
      </c>
      <c r="C375">
        <v>43293</v>
      </c>
      <c r="D375">
        <v>1736530084</v>
      </c>
      <c r="E375">
        <v>174867</v>
      </c>
      <c r="F375">
        <v>73</v>
      </c>
      <c r="G375">
        <v>885823017</v>
      </c>
      <c r="H375">
        <v>4489619</v>
      </c>
      <c r="I375">
        <v>116720227</v>
      </c>
      <c r="J375">
        <v>173</v>
      </c>
      <c r="K375">
        <v>198</v>
      </c>
      <c r="L375">
        <v>0</v>
      </c>
      <c r="M375" t="s">
        <v>6371</v>
      </c>
    </row>
    <row r="376" spans="1:13">
      <c r="A376" t="s">
        <v>927</v>
      </c>
      <c r="B376" t="s">
        <v>28</v>
      </c>
      <c r="C376">
        <v>43847</v>
      </c>
      <c r="D376">
        <v>1456635235</v>
      </c>
      <c r="E376">
        <v>241715</v>
      </c>
      <c r="F376">
        <v>78</v>
      </c>
      <c r="G376">
        <v>657464189</v>
      </c>
      <c r="H376">
        <v>10293443</v>
      </c>
      <c r="I376">
        <v>310162794</v>
      </c>
      <c r="J376">
        <v>76</v>
      </c>
      <c r="K376">
        <v>110</v>
      </c>
      <c r="L376">
        <v>1</v>
      </c>
      <c r="M376" t="s">
        <v>6371</v>
      </c>
    </row>
    <row r="377" spans="1:13">
      <c r="A377" t="s">
        <v>928</v>
      </c>
      <c r="B377" t="s">
        <v>260</v>
      </c>
      <c r="C377">
        <v>41640</v>
      </c>
      <c r="D377">
        <v>815661095</v>
      </c>
      <c r="E377">
        <v>92401</v>
      </c>
      <c r="F377">
        <v>70</v>
      </c>
      <c r="G377">
        <v>2725121387</v>
      </c>
      <c r="H377">
        <v>10672692</v>
      </c>
      <c r="I377">
        <v>620379145</v>
      </c>
      <c r="J377">
        <v>130</v>
      </c>
      <c r="K377">
        <v>399</v>
      </c>
      <c r="L377">
        <v>1</v>
      </c>
      <c r="M377" t="s">
        <v>6371</v>
      </c>
    </row>
    <row r="378" spans="1:13">
      <c r="A378" t="s">
        <v>937</v>
      </c>
      <c r="B378" t="s">
        <v>938</v>
      </c>
      <c r="C378">
        <v>45058</v>
      </c>
      <c r="D378">
        <v>337650898</v>
      </c>
      <c r="E378">
        <v>44292</v>
      </c>
      <c r="F378">
        <v>75</v>
      </c>
      <c r="G378">
        <v>226249916</v>
      </c>
      <c r="H378">
        <v>862952</v>
      </c>
      <c r="I378">
        <v>505139679</v>
      </c>
      <c r="J378">
        <v>59</v>
      </c>
      <c r="K378">
        <v>67</v>
      </c>
      <c r="L378">
        <v>0</v>
      </c>
      <c r="M378" t="s">
        <v>6370</v>
      </c>
    </row>
    <row r="379" spans="1:13">
      <c r="A379" t="s">
        <v>939</v>
      </c>
      <c r="B379" t="s">
        <v>892</v>
      </c>
      <c r="C379">
        <v>42355</v>
      </c>
      <c r="D379">
        <v>1779046979</v>
      </c>
      <c r="E379">
        <v>161840</v>
      </c>
      <c r="F379">
        <v>70</v>
      </c>
      <c r="G379">
        <v>2306432379</v>
      </c>
      <c r="H379">
        <v>13236478</v>
      </c>
      <c r="I379">
        <v>925857941</v>
      </c>
      <c r="J379">
        <v>196</v>
      </c>
      <c r="K379">
        <v>236</v>
      </c>
      <c r="L379">
        <v>0</v>
      </c>
      <c r="M379" t="s">
        <v>6371</v>
      </c>
    </row>
    <row r="380" spans="1:13">
      <c r="A380" t="s">
        <v>940</v>
      </c>
      <c r="B380" t="s">
        <v>285</v>
      </c>
      <c r="C380">
        <v>43833</v>
      </c>
      <c r="D380">
        <v>792379282</v>
      </c>
      <c r="E380">
        <v>96177</v>
      </c>
      <c r="F380">
        <v>62</v>
      </c>
      <c r="G380">
        <v>887226751</v>
      </c>
      <c r="H380">
        <v>13188871</v>
      </c>
      <c r="I380">
        <v>2580705782</v>
      </c>
      <c r="J380">
        <v>171</v>
      </c>
      <c r="K380">
        <v>169</v>
      </c>
      <c r="L380">
        <v>0</v>
      </c>
      <c r="M380" t="s">
        <v>6371</v>
      </c>
    </row>
    <row r="381" spans="1:13">
      <c r="A381" t="s">
        <v>941</v>
      </c>
      <c r="B381" t="s">
        <v>942</v>
      </c>
      <c r="C381">
        <v>45093</v>
      </c>
      <c r="D381">
        <v>119798692</v>
      </c>
      <c r="E381">
        <v>16874</v>
      </c>
      <c r="F381">
        <v>65</v>
      </c>
      <c r="G381">
        <v>57621851</v>
      </c>
      <c r="H381">
        <v>673949</v>
      </c>
      <c r="I381">
        <v>138101105</v>
      </c>
      <c r="J381">
        <v>55</v>
      </c>
      <c r="K381">
        <v>382</v>
      </c>
      <c r="L381">
        <v>1</v>
      </c>
      <c r="M381" t="s">
        <v>6370</v>
      </c>
    </row>
    <row r="382" spans="1:13">
      <c r="A382" t="s">
        <v>943</v>
      </c>
      <c r="B382" t="s">
        <v>288</v>
      </c>
      <c r="C382">
        <v>44022</v>
      </c>
      <c r="D382">
        <v>901486450</v>
      </c>
      <c r="E382">
        <v>157381</v>
      </c>
      <c r="F382">
        <v>71</v>
      </c>
      <c r="G382">
        <v>419337114</v>
      </c>
      <c r="H382">
        <v>4349040</v>
      </c>
      <c r="I382">
        <v>482804184</v>
      </c>
      <c r="J382">
        <v>30</v>
      </c>
      <c r="K382">
        <v>23</v>
      </c>
      <c r="L382">
        <v>1</v>
      </c>
      <c r="M382" t="s">
        <v>6371</v>
      </c>
    </row>
    <row r="383" spans="1:13">
      <c r="A383" t="s">
        <v>946</v>
      </c>
      <c r="B383" t="s">
        <v>133</v>
      </c>
      <c r="C383">
        <v>42986</v>
      </c>
      <c r="D383">
        <v>2061017397</v>
      </c>
      <c r="E383">
        <v>157801</v>
      </c>
      <c r="F383">
        <v>78</v>
      </c>
      <c r="G383">
        <v>1988375859</v>
      </c>
      <c r="H383">
        <v>11184649</v>
      </c>
      <c r="I383">
        <v>118957400</v>
      </c>
      <c r="J383">
        <v>174</v>
      </c>
      <c r="K383">
        <v>30</v>
      </c>
      <c r="L383">
        <v>0</v>
      </c>
      <c r="M383" t="s">
        <v>6371</v>
      </c>
    </row>
    <row r="384" spans="1:13">
      <c r="A384" t="s">
        <v>949</v>
      </c>
      <c r="B384" t="s">
        <v>950</v>
      </c>
      <c r="C384">
        <v>44797</v>
      </c>
      <c r="D384">
        <v>85207310</v>
      </c>
      <c r="E384">
        <v>31737</v>
      </c>
      <c r="F384">
        <v>62</v>
      </c>
      <c r="G384">
        <v>59927668</v>
      </c>
      <c r="H384">
        <v>420475</v>
      </c>
      <c r="I384">
        <v>1493815667</v>
      </c>
      <c r="J384">
        <v>18</v>
      </c>
      <c r="K384">
        <v>8</v>
      </c>
      <c r="L384">
        <v>1</v>
      </c>
      <c r="M384" t="s">
        <v>6370</v>
      </c>
    </row>
    <row r="385" spans="1:13">
      <c r="A385" t="s">
        <v>953</v>
      </c>
      <c r="B385" t="s">
        <v>311</v>
      </c>
      <c r="C385">
        <v>42636</v>
      </c>
      <c r="D385">
        <v>2043626431</v>
      </c>
      <c r="E385">
        <v>185796</v>
      </c>
      <c r="F385">
        <v>80</v>
      </c>
      <c r="G385">
        <v>1683710842</v>
      </c>
      <c r="H385">
        <v>12626585</v>
      </c>
      <c r="I385">
        <v>544400947</v>
      </c>
      <c r="J385">
        <v>190</v>
      </c>
      <c r="K385">
        <v>546</v>
      </c>
      <c r="L385">
        <v>0</v>
      </c>
      <c r="M385" t="s">
        <v>6371</v>
      </c>
    </row>
    <row r="386" spans="1:13">
      <c r="A386" t="s">
        <v>956</v>
      </c>
      <c r="B386" t="s">
        <v>957</v>
      </c>
      <c r="C386">
        <v>43818</v>
      </c>
      <c r="D386">
        <v>1128612961</v>
      </c>
      <c r="E386">
        <v>184002</v>
      </c>
      <c r="F386">
        <v>69</v>
      </c>
      <c r="G386">
        <v>473684535</v>
      </c>
      <c r="H386">
        <v>3364098</v>
      </c>
      <c r="I386">
        <v>602190373</v>
      </c>
      <c r="J386">
        <v>267</v>
      </c>
      <c r="K386">
        <v>112</v>
      </c>
      <c r="L386">
        <v>0</v>
      </c>
      <c r="M386" t="s">
        <v>6371</v>
      </c>
    </row>
    <row r="387" spans="1:13">
      <c r="A387" t="s">
        <v>960</v>
      </c>
      <c r="B387" t="s">
        <v>961</v>
      </c>
      <c r="C387">
        <v>45338</v>
      </c>
      <c r="D387">
        <v>233969547</v>
      </c>
      <c r="E387">
        <v>19001</v>
      </c>
      <c r="F387">
        <v>87</v>
      </c>
      <c r="G387">
        <v>15918146</v>
      </c>
      <c r="H387">
        <v>259139</v>
      </c>
      <c r="I387">
        <v>7383118</v>
      </c>
      <c r="J387">
        <v>84</v>
      </c>
      <c r="K387">
        <v>292</v>
      </c>
      <c r="L387">
        <v>0</v>
      </c>
      <c r="M387" t="s">
        <v>6370</v>
      </c>
    </row>
    <row r="388" spans="1:13">
      <c r="A388" t="s">
        <v>962</v>
      </c>
      <c r="B388" t="s">
        <v>61</v>
      </c>
      <c r="C388">
        <v>41640</v>
      </c>
      <c r="D388">
        <v>1409692678</v>
      </c>
      <c r="E388">
        <v>162649</v>
      </c>
      <c r="F388">
        <v>74</v>
      </c>
      <c r="G388">
        <v>3622416832</v>
      </c>
      <c r="H388">
        <v>14917829</v>
      </c>
      <c r="I388">
        <v>2080409767</v>
      </c>
      <c r="J388">
        <v>301</v>
      </c>
      <c r="K388">
        <v>520</v>
      </c>
      <c r="L388">
        <v>0</v>
      </c>
      <c r="M388" t="s">
        <v>6371</v>
      </c>
    </row>
    <row r="389" spans="1:13">
      <c r="A389" t="s">
        <v>965</v>
      </c>
      <c r="B389" t="s">
        <v>966</v>
      </c>
      <c r="C389">
        <v>43994</v>
      </c>
      <c r="D389">
        <v>1099019265</v>
      </c>
      <c r="E389">
        <v>107383</v>
      </c>
      <c r="F389">
        <v>78</v>
      </c>
      <c r="G389">
        <v>1230683305</v>
      </c>
      <c r="H389">
        <v>4830196</v>
      </c>
      <c r="I389">
        <v>973281040</v>
      </c>
      <c r="J389">
        <v>104</v>
      </c>
      <c r="K389">
        <v>38</v>
      </c>
      <c r="L389">
        <v>0</v>
      </c>
      <c r="M389" t="s">
        <v>6371</v>
      </c>
    </row>
    <row r="390" spans="1:13">
      <c r="A390" t="s">
        <v>967</v>
      </c>
      <c r="B390" t="s">
        <v>170</v>
      </c>
      <c r="C390">
        <v>44279</v>
      </c>
      <c r="D390">
        <v>574357002</v>
      </c>
      <c r="E390">
        <v>69491</v>
      </c>
      <c r="F390">
        <v>69</v>
      </c>
      <c r="G390">
        <v>1180418876</v>
      </c>
      <c r="H390">
        <v>5566219</v>
      </c>
      <c r="I390">
        <v>627030538</v>
      </c>
      <c r="J390">
        <v>91</v>
      </c>
      <c r="K390">
        <v>32</v>
      </c>
      <c r="L390">
        <v>0</v>
      </c>
      <c r="M390" t="s">
        <v>6370</v>
      </c>
    </row>
    <row r="391" spans="1:13">
      <c r="A391" t="s">
        <v>968</v>
      </c>
      <c r="B391" t="s">
        <v>32</v>
      </c>
      <c r="C391">
        <v>44680</v>
      </c>
      <c r="D391">
        <v>725214939</v>
      </c>
      <c r="E391">
        <v>107667</v>
      </c>
      <c r="F391">
        <v>74</v>
      </c>
      <c r="G391">
        <v>204956968</v>
      </c>
      <c r="H391">
        <v>2396003</v>
      </c>
      <c r="I391">
        <v>2046007902</v>
      </c>
      <c r="J391">
        <v>48</v>
      </c>
      <c r="K391">
        <v>47</v>
      </c>
      <c r="L391">
        <v>0</v>
      </c>
      <c r="M391" t="s">
        <v>6370</v>
      </c>
    </row>
    <row r="392" spans="1:13">
      <c r="A392" t="s">
        <v>969</v>
      </c>
      <c r="B392" t="s">
        <v>148</v>
      </c>
      <c r="C392">
        <v>44862</v>
      </c>
      <c r="D392">
        <v>469322271</v>
      </c>
      <c r="E392">
        <v>68997</v>
      </c>
      <c r="F392">
        <v>73</v>
      </c>
      <c r="G392">
        <v>77831118</v>
      </c>
      <c r="H392">
        <v>981474</v>
      </c>
      <c r="I392">
        <v>419727783</v>
      </c>
      <c r="J392">
        <v>64</v>
      </c>
      <c r="K392">
        <v>1150</v>
      </c>
      <c r="L392">
        <v>1</v>
      </c>
      <c r="M392" t="s">
        <v>6370</v>
      </c>
    </row>
    <row r="393" spans="1:13">
      <c r="A393" t="s">
        <v>973</v>
      </c>
      <c r="B393" t="s">
        <v>974</v>
      </c>
      <c r="C393">
        <v>45050</v>
      </c>
      <c r="D393">
        <v>333339751</v>
      </c>
      <c r="E393">
        <v>41237</v>
      </c>
      <c r="F393">
        <v>69</v>
      </c>
      <c r="G393">
        <v>164941550</v>
      </c>
      <c r="H393">
        <v>1130932</v>
      </c>
      <c r="I393">
        <v>1585272275</v>
      </c>
      <c r="J393">
        <v>44</v>
      </c>
      <c r="K393">
        <v>135</v>
      </c>
      <c r="L393">
        <v>0</v>
      </c>
      <c r="M393" t="s">
        <v>6370</v>
      </c>
    </row>
    <row r="394" spans="1:13">
      <c r="A394" t="s">
        <v>977</v>
      </c>
      <c r="B394" t="s">
        <v>127</v>
      </c>
      <c r="C394">
        <v>43188</v>
      </c>
      <c r="D394">
        <v>1780889877</v>
      </c>
      <c r="E394">
        <v>229909</v>
      </c>
      <c r="F394">
        <v>79</v>
      </c>
      <c r="G394">
        <v>1366385062</v>
      </c>
      <c r="H394">
        <v>10766000</v>
      </c>
      <c r="I394">
        <v>742902070</v>
      </c>
      <c r="J394">
        <v>121</v>
      </c>
      <c r="K394">
        <v>4</v>
      </c>
      <c r="L394">
        <v>0</v>
      </c>
      <c r="M394" t="s">
        <v>6371</v>
      </c>
    </row>
    <row r="395" spans="1:13">
      <c r="A395" t="s">
        <v>97</v>
      </c>
      <c r="B395" t="s">
        <v>978</v>
      </c>
      <c r="C395">
        <v>43735</v>
      </c>
      <c r="D395">
        <v>932911098</v>
      </c>
      <c r="E395">
        <v>180309</v>
      </c>
      <c r="F395">
        <v>66</v>
      </c>
      <c r="G395">
        <v>412062322</v>
      </c>
      <c r="H395">
        <v>4053612</v>
      </c>
      <c r="I395">
        <v>5676756004</v>
      </c>
      <c r="J395">
        <v>265</v>
      </c>
      <c r="K395">
        <v>274</v>
      </c>
      <c r="L395">
        <v>0</v>
      </c>
      <c r="M395" t="s">
        <v>6371</v>
      </c>
    </row>
    <row r="396" spans="1:13">
      <c r="A396" t="s">
        <v>987</v>
      </c>
      <c r="B396" t="s">
        <v>53</v>
      </c>
      <c r="C396">
        <v>42736</v>
      </c>
      <c r="D396">
        <v>1596770801</v>
      </c>
      <c r="E396">
        <v>281838</v>
      </c>
      <c r="F396">
        <v>77</v>
      </c>
      <c r="G396">
        <v>1296329209</v>
      </c>
      <c r="H396">
        <v>14241982</v>
      </c>
      <c r="I396">
        <v>2521784913</v>
      </c>
      <c r="J396">
        <v>220</v>
      </c>
      <c r="K396">
        <v>40</v>
      </c>
      <c r="L396">
        <v>1</v>
      </c>
      <c r="M396" t="s">
        <v>6371</v>
      </c>
    </row>
    <row r="397" spans="1:13">
      <c r="A397" t="s">
        <v>990</v>
      </c>
      <c r="B397" t="s">
        <v>256</v>
      </c>
      <c r="C397">
        <v>43602</v>
      </c>
      <c r="D397">
        <v>1920784716</v>
      </c>
      <c r="E397">
        <v>211573</v>
      </c>
      <c r="F397">
        <v>77</v>
      </c>
      <c r="G397">
        <v>814045992</v>
      </c>
      <c r="H397">
        <v>8072383</v>
      </c>
      <c r="I397">
        <v>1042158771</v>
      </c>
      <c r="J397">
        <v>203</v>
      </c>
      <c r="K397">
        <v>68</v>
      </c>
      <c r="L397">
        <v>0</v>
      </c>
      <c r="M397" t="s">
        <v>6371</v>
      </c>
    </row>
    <row r="398" spans="1:13">
      <c r="A398" t="s">
        <v>991</v>
      </c>
      <c r="B398" t="s">
        <v>992</v>
      </c>
      <c r="C398">
        <v>44455</v>
      </c>
      <c r="D398">
        <v>428189728</v>
      </c>
      <c r="E398">
        <v>95507</v>
      </c>
      <c r="F398">
        <v>67</v>
      </c>
      <c r="G398">
        <v>84966187</v>
      </c>
      <c r="H398">
        <v>868089</v>
      </c>
      <c r="I398">
        <v>11653604916</v>
      </c>
      <c r="J398">
        <v>100</v>
      </c>
      <c r="K398">
        <v>122</v>
      </c>
      <c r="L398">
        <v>1</v>
      </c>
      <c r="M398" t="s">
        <v>6370</v>
      </c>
    </row>
    <row r="399" spans="1:13">
      <c r="A399" t="s">
        <v>1000</v>
      </c>
      <c r="B399" t="s">
        <v>781</v>
      </c>
      <c r="C399">
        <v>44295</v>
      </c>
      <c r="D399">
        <v>923823292</v>
      </c>
      <c r="E399">
        <v>218155</v>
      </c>
      <c r="F399">
        <v>72</v>
      </c>
      <c r="G399">
        <v>300905049</v>
      </c>
      <c r="H399">
        <v>3235053</v>
      </c>
      <c r="I399">
        <v>619442138</v>
      </c>
      <c r="J399">
        <v>143</v>
      </c>
      <c r="K399">
        <v>554</v>
      </c>
      <c r="L399">
        <v>1</v>
      </c>
      <c r="M399" t="s">
        <v>6370</v>
      </c>
    </row>
    <row r="400" spans="1:13">
      <c r="A400" t="s">
        <v>1001</v>
      </c>
      <c r="B400" t="s">
        <v>1002</v>
      </c>
      <c r="C400">
        <v>45002</v>
      </c>
      <c r="D400">
        <v>513353284</v>
      </c>
      <c r="E400">
        <v>73253</v>
      </c>
      <c r="F400">
        <v>80</v>
      </c>
      <c r="G400">
        <v>91324061</v>
      </c>
      <c r="H400">
        <v>1419414</v>
      </c>
      <c r="I400">
        <v>152008937</v>
      </c>
      <c r="J400">
        <v>70</v>
      </c>
      <c r="K400">
        <v>20</v>
      </c>
      <c r="L400">
        <v>0</v>
      </c>
      <c r="M400" t="s">
        <v>6370</v>
      </c>
    </row>
    <row r="401" spans="1:13">
      <c r="A401" t="s">
        <v>1007</v>
      </c>
      <c r="B401" t="s">
        <v>1008</v>
      </c>
      <c r="C401">
        <v>44203</v>
      </c>
      <c r="D401">
        <v>571532926</v>
      </c>
      <c r="E401">
        <v>95775</v>
      </c>
      <c r="F401">
        <v>66</v>
      </c>
      <c r="G401">
        <v>480128955</v>
      </c>
      <c r="H401">
        <v>4921945</v>
      </c>
      <c r="I401">
        <v>2362426981</v>
      </c>
      <c r="J401">
        <v>143</v>
      </c>
      <c r="K401">
        <v>921</v>
      </c>
      <c r="L401">
        <v>1</v>
      </c>
      <c r="M401" t="s">
        <v>6370</v>
      </c>
    </row>
    <row r="402" spans="1:13">
      <c r="A402" t="s">
        <v>1009</v>
      </c>
      <c r="B402" t="s">
        <v>170</v>
      </c>
      <c r="C402">
        <v>44799</v>
      </c>
      <c r="D402">
        <v>427247328</v>
      </c>
      <c r="E402">
        <v>42444</v>
      </c>
      <c r="F402">
        <v>66</v>
      </c>
      <c r="G402">
        <v>547409394</v>
      </c>
      <c r="H402">
        <v>3332851</v>
      </c>
      <c r="I402">
        <v>275273861</v>
      </c>
      <c r="J402">
        <v>38</v>
      </c>
      <c r="K402">
        <v>104</v>
      </c>
      <c r="L402">
        <v>0</v>
      </c>
      <c r="M402" t="s">
        <v>6370</v>
      </c>
    </row>
    <row r="403" spans="1:13">
      <c r="A403" t="s">
        <v>1012</v>
      </c>
      <c r="B403" t="s">
        <v>1013</v>
      </c>
      <c r="C403">
        <v>42736</v>
      </c>
      <c r="D403">
        <v>1176693861</v>
      </c>
      <c r="E403">
        <v>132271</v>
      </c>
      <c r="F403">
        <v>69</v>
      </c>
      <c r="G403">
        <v>2570135916</v>
      </c>
      <c r="H403">
        <v>11563688</v>
      </c>
      <c r="I403">
        <v>254943718</v>
      </c>
      <c r="J403">
        <v>84</v>
      </c>
      <c r="K403">
        <v>50</v>
      </c>
      <c r="L403">
        <v>1</v>
      </c>
      <c r="M403" t="s">
        <v>6371</v>
      </c>
    </row>
    <row r="404" spans="1:13">
      <c r="A404" t="s">
        <v>1014</v>
      </c>
      <c r="B404" t="s">
        <v>236</v>
      </c>
      <c r="C404">
        <v>43315</v>
      </c>
      <c r="D404">
        <v>2134271997</v>
      </c>
      <c r="E404">
        <v>330314</v>
      </c>
      <c r="F404">
        <v>77</v>
      </c>
      <c r="G404">
        <v>271517371</v>
      </c>
      <c r="H404">
        <v>2036075</v>
      </c>
      <c r="I404">
        <v>2562546341</v>
      </c>
      <c r="J404">
        <v>286</v>
      </c>
      <c r="K404">
        <v>107</v>
      </c>
      <c r="L404">
        <v>1</v>
      </c>
      <c r="M404" t="s">
        <v>6371</v>
      </c>
    </row>
    <row r="405" spans="1:13">
      <c r="A405" t="s">
        <v>1016</v>
      </c>
      <c r="B405" t="s">
        <v>772</v>
      </c>
      <c r="C405">
        <v>45100</v>
      </c>
      <c r="D405">
        <v>470659154</v>
      </c>
      <c r="E405">
        <v>53386</v>
      </c>
      <c r="F405">
        <v>71</v>
      </c>
      <c r="G405">
        <v>143805714</v>
      </c>
      <c r="H405">
        <v>2019310</v>
      </c>
      <c r="I405">
        <v>1220529181</v>
      </c>
      <c r="J405">
        <v>68</v>
      </c>
      <c r="K405">
        <v>1012</v>
      </c>
      <c r="L405">
        <v>1</v>
      </c>
      <c r="M405" t="s">
        <v>6370</v>
      </c>
    </row>
    <row r="406" spans="1:13">
      <c r="A406" t="s">
        <v>1017</v>
      </c>
      <c r="B406" t="s">
        <v>221</v>
      </c>
      <c r="C406">
        <v>44729</v>
      </c>
      <c r="D406">
        <v>470340261</v>
      </c>
      <c r="E406">
        <v>68177</v>
      </c>
      <c r="F406">
        <v>75</v>
      </c>
      <c r="G406">
        <v>123212252</v>
      </c>
      <c r="H406">
        <v>623104</v>
      </c>
      <c r="I406">
        <v>395041727</v>
      </c>
      <c r="J406">
        <v>45</v>
      </c>
      <c r="K406">
        <v>106</v>
      </c>
      <c r="L406">
        <v>0</v>
      </c>
      <c r="M406" t="s">
        <v>6370</v>
      </c>
    </row>
    <row r="407" spans="1:13">
      <c r="A407" t="s">
        <v>1018</v>
      </c>
      <c r="B407" t="s">
        <v>1019</v>
      </c>
      <c r="C407">
        <v>45351</v>
      </c>
      <c r="D407">
        <v>111170278</v>
      </c>
      <c r="E407">
        <v>12493</v>
      </c>
      <c r="F407">
        <v>81</v>
      </c>
      <c r="G407">
        <v>50014053</v>
      </c>
      <c r="H407">
        <v>797138</v>
      </c>
      <c r="I407">
        <v>34861500</v>
      </c>
      <c r="J407">
        <v>27</v>
      </c>
      <c r="K407">
        <v>41</v>
      </c>
      <c r="L407">
        <v>0</v>
      </c>
      <c r="M407" t="s">
        <v>6370</v>
      </c>
    </row>
    <row r="408" spans="1:13">
      <c r="A408" t="s">
        <v>1020</v>
      </c>
      <c r="B408" t="s">
        <v>411</v>
      </c>
      <c r="C408">
        <v>44928</v>
      </c>
      <c r="D408">
        <v>675591495</v>
      </c>
      <c r="E408">
        <v>53019</v>
      </c>
      <c r="F408">
        <v>75</v>
      </c>
      <c r="G408">
        <v>296668872</v>
      </c>
      <c r="H408">
        <v>3652203</v>
      </c>
      <c r="I408">
        <v>2441354214</v>
      </c>
      <c r="J408">
        <v>43</v>
      </c>
      <c r="K408">
        <v>25</v>
      </c>
      <c r="L408">
        <v>0</v>
      </c>
      <c r="M408" t="s">
        <v>6370</v>
      </c>
    </row>
    <row r="409" spans="1:13">
      <c r="A409" t="s">
        <v>1023</v>
      </c>
      <c r="B409" t="s">
        <v>444</v>
      </c>
      <c r="C409">
        <v>44826</v>
      </c>
      <c r="D409">
        <v>396549329</v>
      </c>
      <c r="E409">
        <v>56179</v>
      </c>
      <c r="F409">
        <v>67</v>
      </c>
      <c r="G409">
        <v>185441424</v>
      </c>
      <c r="H409">
        <v>1023796</v>
      </c>
      <c r="I409">
        <v>5233247603</v>
      </c>
      <c r="J409">
        <v>43</v>
      </c>
      <c r="K409">
        <v>174</v>
      </c>
      <c r="L409">
        <v>1</v>
      </c>
      <c r="M409" t="s">
        <v>6370</v>
      </c>
    </row>
    <row r="410" spans="1:13">
      <c r="A410" t="s">
        <v>1024</v>
      </c>
      <c r="B410" t="s">
        <v>1025</v>
      </c>
      <c r="C410">
        <v>42300</v>
      </c>
      <c r="D410">
        <v>1452194416</v>
      </c>
      <c r="E410">
        <v>164935</v>
      </c>
      <c r="F410">
        <v>75</v>
      </c>
      <c r="G410">
        <v>1487688794</v>
      </c>
      <c r="H410">
        <v>13819002</v>
      </c>
      <c r="I410">
        <v>1030123230</v>
      </c>
      <c r="J410">
        <v>154</v>
      </c>
      <c r="K410">
        <v>146</v>
      </c>
      <c r="L410">
        <v>0</v>
      </c>
      <c r="M410" t="s">
        <v>6371</v>
      </c>
    </row>
    <row r="411" spans="1:13">
      <c r="A411" t="s">
        <v>1026</v>
      </c>
      <c r="B411" t="s">
        <v>1027</v>
      </c>
      <c r="C411">
        <v>44989</v>
      </c>
      <c r="D411">
        <v>323657766</v>
      </c>
      <c r="E411">
        <v>28785</v>
      </c>
      <c r="F411">
        <v>69</v>
      </c>
      <c r="G411">
        <v>373726087</v>
      </c>
      <c r="H411">
        <v>2491193</v>
      </c>
      <c r="I411">
        <v>623071891</v>
      </c>
      <c r="J411">
        <v>9</v>
      </c>
      <c r="K411">
        <v>1</v>
      </c>
      <c r="L411">
        <v>1</v>
      </c>
      <c r="M411" t="s">
        <v>6370</v>
      </c>
    </row>
    <row r="412" spans="1:13">
      <c r="A412" t="s">
        <v>1028</v>
      </c>
      <c r="B412" t="s">
        <v>139</v>
      </c>
      <c r="C412">
        <v>45240</v>
      </c>
      <c r="D412">
        <v>198043685</v>
      </c>
      <c r="E412">
        <v>11991</v>
      </c>
      <c r="F412">
        <v>78</v>
      </c>
      <c r="G412">
        <v>203832651</v>
      </c>
      <c r="H412">
        <v>2922155</v>
      </c>
      <c r="I412">
        <v>442468610</v>
      </c>
      <c r="J412">
        <v>26</v>
      </c>
      <c r="K412">
        <v>7</v>
      </c>
      <c r="L412">
        <v>0</v>
      </c>
      <c r="M412" t="s">
        <v>6370</v>
      </c>
    </row>
    <row r="413" spans="1:13">
      <c r="A413" t="s">
        <v>1029</v>
      </c>
      <c r="B413" t="s">
        <v>1030</v>
      </c>
      <c r="C413">
        <v>44015</v>
      </c>
      <c r="D413">
        <v>1196521179</v>
      </c>
      <c r="E413">
        <v>190615</v>
      </c>
      <c r="F413">
        <v>74</v>
      </c>
      <c r="G413">
        <v>362915972</v>
      </c>
      <c r="H413">
        <v>1650951</v>
      </c>
      <c r="I413">
        <v>269796885</v>
      </c>
      <c r="J413">
        <v>383</v>
      </c>
      <c r="K413">
        <v>498</v>
      </c>
      <c r="L413">
        <v>0</v>
      </c>
      <c r="M413" t="s">
        <v>6371</v>
      </c>
    </row>
    <row r="414" spans="1:13">
      <c r="A414" t="s">
        <v>1031</v>
      </c>
      <c r="B414" t="s">
        <v>141</v>
      </c>
      <c r="C414">
        <v>43616</v>
      </c>
      <c r="D414">
        <v>1448173030</v>
      </c>
      <c r="E414">
        <v>156477</v>
      </c>
      <c r="F414">
        <v>70</v>
      </c>
      <c r="G414">
        <v>1341625876</v>
      </c>
      <c r="H414">
        <v>6392667</v>
      </c>
      <c r="I414">
        <v>354361373</v>
      </c>
      <c r="J414">
        <v>145</v>
      </c>
      <c r="K414">
        <v>58</v>
      </c>
      <c r="L414">
        <v>1</v>
      </c>
      <c r="M414" t="s">
        <v>6371</v>
      </c>
    </row>
    <row r="415" spans="1:13">
      <c r="A415" t="s">
        <v>1032</v>
      </c>
      <c r="B415" t="s">
        <v>1033</v>
      </c>
      <c r="C415">
        <v>44778</v>
      </c>
      <c r="D415">
        <v>459712644</v>
      </c>
      <c r="E415">
        <v>86820</v>
      </c>
      <c r="F415">
        <v>69</v>
      </c>
      <c r="G415">
        <v>116599191</v>
      </c>
      <c r="H415">
        <v>1422757</v>
      </c>
      <c r="I415">
        <v>749847975</v>
      </c>
      <c r="J415">
        <v>57</v>
      </c>
      <c r="K415">
        <v>428</v>
      </c>
      <c r="L415">
        <v>0</v>
      </c>
      <c r="M415" t="s">
        <v>6370</v>
      </c>
    </row>
    <row r="416" spans="1:13">
      <c r="A416" t="s">
        <v>1039</v>
      </c>
      <c r="B416" t="s">
        <v>1040</v>
      </c>
      <c r="C416">
        <v>44639</v>
      </c>
      <c r="D416">
        <v>1039482815</v>
      </c>
      <c r="E416">
        <v>99333</v>
      </c>
      <c r="F416">
        <v>79</v>
      </c>
      <c r="G416">
        <v>14074005</v>
      </c>
      <c r="H416">
        <v>277824</v>
      </c>
      <c r="I416">
        <v>6824133</v>
      </c>
      <c r="J416">
        <v>133</v>
      </c>
      <c r="K416">
        <v>661</v>
      </c>
      <c r="L416">
        <v>0</v>
      </c>
      <c r="M416" t="s">
        <v>6370</v>
      </c>
    </row>
    <row r="417" spans="1:13">
      <c r="A417" t="s">
        <v>1043</v>
      </c>
      <c r="B417" t="s">
        <v>1044</v>
      </c>
      <c r="C417">
        <v>40909</v>
      </c>
      <c r="D417">
        <v>477162323</v>
      </c>
      <c r="E417">
        <v>103211</v>
      </c>
      <c r="F417">
        <v>67</v>
      </c>
      <c r="G417">
        <v>5849588091</v>
      </c>
      <c r="H417">
        <v>31460015</v>
      </c>
      <c r="I417">
        <v>578660460</v>
      </c>
      <c r="J417">
        <v>93</v>
      </c>
      <c r="K417">
        <v>77</v>
      </c>
      <c r="L417">
        <v>0</v>
      </c>
      <c r="M417" t="s">
        <v>6371</v>
      </c>
    </row>
    <row r="418" spans="1:13">
      <c r="A418" t="s">
        <v>1045</v>
      </c>
      <c r="B418" t="s">
        <v>1046</v>
      </c>
      <c r="C418">
        <v>42965</v>
      </c>
      <c r="D418">
        <v>889098343</v>
      </c>
      <c r="E418">
        <v>84086</v>
      </c>
      <c r="F418">
        <v>69</v>
      </c>
      <c r="G418">
        <v>2707034440</v>
      </c>
      <c r="H418">
        <v>9483547</v>
      </c>
      <c r="I418">
        <v>312894649</v>
      </c>
      <c r="J418">
        <v>58</v>
      </c>
      <c r="K418">
        <v>88</v>
      </c>
      <c r="L418">
        <v>0</v>
      </c>
      <c r="M418" t="s">
        <v>6371</v>
      </c>
    </row>
    <row r="419" spans="1:13">
      <c r="A419" t="s">
        <v>1047</v>
      </c>
      <c r="B419" t="s">
        <v>258</v>
      </c>
      <c r="C419">
        <v>42370</v>
      </c>
      <c r="D419">
        <v>1006124005</v>
      </c>
      <c r="E419">
        <v>96248</v>
      </c>
      <c r="F419">
        <v>72</v>
      </c>
      <c r="G419">
        <v>3290132416</v>
      </c>
      <c r="H419">
        <v>13447183</v>
      </c>
      <c r="I419">
        <v>270324375</v>
      </c>
      <c r="J419">
        <v>114</v>
      </c>
      <c r="K419">
        <v>74</v>
      </c>
      <c r="L419">
        <v>0</v>
      </c>
      <c r="M419" t="s">
        <v>6371</v>
      </c>
    </row>
    <row r="420" spans="1:13">
      <c r="A420" t="s">
        <v>1048</v>
      </c>
      <c r="B420" t="s">
        <v>295</v>
      </c>
      <c r="C420">
        <v>44057</v>
      </c>
      <c r="D420">
        <v>962634706</v>
      </c>
      <c r="E420">
        <v>222576</v>
      </c>
      <c r="F420">
        <v>69</v>
      </c>
      <c r="G420">
        <v>645367972</v>
      </c>
      <c r="H420">
        <v>5525087</v>
      </c>
      <c r="I420">
        <v>232612189</v>
      </c>
      <c r="J420">
        <v>170</v>
      </c>
      <c r="K420">
        <v>49</v>
      </c>
      <c r="L420">
        <v>1</v>
      </c>
      <c r="M420" t="s">
        <v>6371</v>
      </c>
    </row>
    <row r="421" spans="1:13">
      <c r="A421" t="s">
        <v>1049</v>
      </c>
      <c r="B421" t="s">
        <v>47</v>
      </c>
      <c r="C421">
        <v>43154</v>
      </c>
      <c r="D421">
        <v>1517935273</v>
      </c>
      <c r="E421">
        <v>183827</v>
      </c>
      <c r="F421">
        <v>70</v>
      </c>
      <c r="G421">
        <v>1316530001</v>
      </c>
      <c r="H421">
        <v>8403766</v>
      </c>
      <c r="I421">
        <v>41586060</v>
      </c>
      <c r="J421">
        <v>92</v>
      </c>
      <c r="K421">
        <v>160</v>
      </c>
      <c r="L421">
        <v>1</v>
      </c>
      <c r="M421" t="s">
        <v>6371</v>
      </c>
    </row>
    <row r="422" spans="1:13">
      <c r="A422" t="s">
        <v>1052</v>
      </c>
      <c r="B422" t="s">
        <v>1053</v>
      </c>
      <c r="C422">
        <v>45135</v>
      </c>
      <c r="D422">
        <v>320174752</v>
      </c>
      <c r="E422">
        <v>51073</v>
      </c>
      <c r="F422">
        <v>73</v>
      </c>
      <c r="G422">
        <v>104188558</v>
      </c>
      <c r="H422">
        <v>465006</v>
      </c>
      <c r="I422">
        <v>1510621389</v>
      </c>
      <c r="J422">
        <v>48</v>
      </c>
      <c r="K422">
        <v>9</v>
      </c>
      <c r="L422">
        <v>1</v>
      </c>
      <c r="M422" t="s">
        <v>6370</v>
      </c>
    </row>
    <row r="423" spans="1:13">
      <c r="A423" t="s">
        <v>752</v>
      </c>
      <c r="B423" t="s">
        <v>1055</v>
      </c>
      <c r="C423">
        <v>42342</v>
      </c>
      <c r="D423">
        <v>1943842010</v>
      </c>
      <c r="E423">
        <v>221874</v>
      </c>
      <c r="F423">
        <v>75</v>
      </c>
      <c r="G423">
        <v>439888055</v>
      </c>
      <c r="H423">
        <v>5232880</v>
      </c>
      <c r="I423">
        <v>4682512450</v>
      </c>
      <c r="J423">
        <v>103</v>
      </c>
      <c r="K423">
        <v>4</v>
      </c>
      <c r="L423">
        <v>0</v>
      </c>
      <c r="M423" t="s">
        <v>6371</v>
      </c>
    </row>
    <row r="424" spans="1:13">
      <c r="A424" t="s">
        <v>1056</v>
      </c>
      <c r="B424" t="s">
        <v>378</v>
      </c>
      <c r="C424">
        <v>44847</v>
      </c>
      <c r="D424">
        <v>86103527</v>
      </c>
      <c r="E424">
        <v>24888</v>
      </c>
      <c r="F424">
        <v>62</v>
      </c>
      <c r="G424">
        <v>211940922</v>
      </c>
      <c r="H424">
        <v>1076420</v>
      </c>
      <c r="I424">
        <v>1387044831</v>
      </c>
      <c r="J424">
        <v>20</v>
      </c>
      <c r="K424">
        <v>4</v>
      </c>
      <c r="L424">
        <v>1</v>
      </c>
      <c r="M424" t="s">
        <v>6370</v>
      </c>
    </row>
    <row r="425" spans="1:13">
      <c r="A425" t="s">
        <v>1057</v>
      </c>
      <c r="B425" t="s">
        <v>1058</v>
      </c>
      <c r="C425">
        <v>44683</v>
      </c>
      <c r="D425">
        <v>355203657</v>
      </c>
      <c r="E425">
        <v>146218</v>
      </c>
      <c r="F425">
        <v>74</v>
      </c>
      <c r="G425">
        <v>46743730</v>
      </c>
      <c r="H425">
        <v>381567</v>
      </c>
      <c r="I425">
        <v>1767047572</v>
      </c>
      <c r="J425">
        <v>112</v>
      </c>
      <c r="K425">
        <v>369</v>
      </c>
      <c r="L425">
        <v>0</v>
      </c>
      <c r="M425" t="s">
        <v>6370</v>
      </c>
    </row>
    <row r="426" spans="1:13">
      <c r="A426" t="s">
        <v>1059</v>
      </c>
      <c r="B426" t="s">
        <v>47</v>
      </c>
      <c r="C426">
        <v>43458</v>
      </c>
      <c r="D426">
        <v>1680612367</v>
      </c>
      <c r="E426">
        <v>201840</v>
      </c>
      <c r="F426">
        <v>74</v>
      </c>
      <c r="G426">
        <v>630890897</v>
      </c>
      <c r="H426">
        <v>5912252</v>
      </c>
      <c r="I426">
        <v>477810652</v>
      </c>
      <c r="J426">
        <v>137</v>
      </c>
      <c r="K426">
        <v>1478</v>
      </c>
      <c r="L426">
        <v>1</v>
      </c>
      <c r="M426" t="s">
        <v>6371</v>
      </c>
    </row>
    <row r="427" spans="1:13">
      <c r="A427" t="s">
        <v>1060</v>
      </c>
      <c r="B427" t="s">
        <v>233</v>
      </c>
      <c r="C427">
        <v>40909</v>
      </c>
      <c r="D427">
        <v>1836362703</v>
      </c>
      <c r="E427">
        <v>236427</v>
      </c>
      <c r="F427">
        <v>75</v>
      </c>
      <c r="G427">
        <v>1838544809</v>
      </c>
      <c r="H427">
        <v>12824587</v>
      </c>
      <c r="I427">
        <v>640674307</v>
      </c>
      <c r="J427">
        <v>111</v>
      </c>
      <c r="K427">
        <v>650</v>
      </c>
      <c r="L427">
        <v>0</v>
      </c>
      <c r="M427" t="s">
        <v>6371</v>
      </c>
    </row>
    <row r="428" spans="1:13">
      <c r="A428" t="s">
        <v>1061</v>
      </c>
      <c r="B428" t="s">
        <v>1062</v>
      </c>
      <c r="C428">
        <v>43750</v>
      </c>
      <c r="D428">
        <v>961358721</v>
      </c>
      <c r="E428">
        <v>155959</v>
      </c>
      <c r="F428">
        <v>65</v>
      </c>
      <c r="G428">
        <v>1188737111</v>
      </c>
      <c r="H428">
        <v>7547115</v>
      </c>
      <c r="I428">
        <v>307352160</v>
      </c>
      <c r="J428">
        <v>201</v>
      </c>
      <c r="K428">
        <v>115</v>
      </c>
      <c r="L428">
        <v>1</v>
      </c>
      <c r="M428" t="s">
        <v>6371</v>
      </c>
    </row>
    <row r="429" spans="1:13">
      <c r="A429" t="s">
        <v>1063</v>
      </c>
      <c r="B429" t="s">
        <v>1064</v>
      </c>
      <c r="C429">
        <v>43700</v>
      </c>
      <c r="D429">
        <v>1265080733</v>
      </c>
      <c r="E429">
        <v>198773</v>
      </c>
      <c r="F429">
        <v>70</v>
      </c>
      <c r="G429">
        <v>356598545</v>
      </c>
      <c r="H429">
        <v>5539172</v>
      </c>
      <c r="I429">
        <v>579006925</v>
      </c>
      <c r="J429">
        <v>120</v>
      </c>
      <c r="K429">
        <v>182</v>
      </c>
      <c r="L429">
        <v>1</v>
      </c>
      <c r="M429" t="s">
        <v>6371</v>
      </c>
    </row>
    <row r="430" spans="1:13">
      <c r="A430" t="s">
        <v>1065</v>
      </c>
      <c r="B430" t="s">
        <v>133</v>
      </c>
      <c r="C430">
        <v>43476</v>
      </c>
      <c r="D430">
        <v>1349115675</v>
      </c>
      <c r="E430">
        <v>113525</v>
      </c>
      <c r="F430">
        <v>71</v>
      </c>
      <c r="G430">
        <v>1029803478</v>
      </c>
      <c r="H430">
        <v>4717155</v>
      </c>
      <c r="I430">
        <v>102120652</v>
      </c>
      <c r="J430">
        <v>180</v>
      </c>
      <c r="K430">
        <v>524</v>
      </c>
      <c r="L430">
        <v>0</v>
      </c>
      <c r="M430" t="s">
        <v>6371</v>
      </c>
    </row>
    <row r="431" spans="1:13">
      <c r="A431" t="s">
        <v>1066</v>
      </c>
      <c r="B431" t="s">
        <v>1067</v>
      </c>
      <c r="C431">
        <v>43882</v>
      </c>
      <c r="D431">
        <v>1157206056</v>
      </c>
      <c r="E431">
        <v>189404</v>
      </c>
      <c r="F431">
        <v>75</v>
      </c>
      <c r="G431">
        <v>158131164</v>
      </c>
      <c r="H431">
        <v>1488878</v>
      </c>
      <c r="I431">
        <v>3272868374</v>
      </c>
      <c r="J431">
        <v>191</v>
      </c>
      <c r="K431">
        <v>255</v>
      </c>
      <c r="L431">
        <v>0</v>
      </c>
      <c r="M431" t="s">
        <v>6371</v>
      </c>
    </row>
    <row r="432" spans="1:13">
      <c r="A432" t="s">
        <v>1068</v>
      </c>
      <c r="B432" t="s">
        <v>1069</v>
      </c>
      <c r="C432">
        <v>44449</v>
      </c>
      <c r="D432">
        <v>690010618</v>
      </c>
      <c r="E432">
        <v>145080</v>
      </c>
      <c r="F432">
        <v>69</v>
      </c>
      <c r="G432">
        <v>366093721</v>
      </c>
      <c r="H432">
        <v>7390377</v>
      </c>
      <c r="I432">
        <v>2787939961</v>
      </c>
      <c r="J432">
        <v>24</v>
      </c>
      <c r="K432">
        <v>151</v>
      </c>
      <c r="L432">
        <v>0</v>
      </c>
      <c r="M432" t="s">
        <v>6370</v>
      </c>
    </row>
    <row r="433" spans="1:13">
      <c r="A433" t="s">
        <v>1070</v>
      </c>
      <c r="B433" t="s">
        <v>1071</v>
      </c>
      <c r="C433">
        <v>42122</v>
      </c>
      <c r="D433">
        <v>954073526</v>
      </c>
      <c r="E433">
        <v>162233</v>
      </c>
      <c r="F433">
        <v>77</v>
      </c>
      <c r="G433">
        <v>1153379467</v>
      </c>
      <c r="H433">
        <v>6645883</v>
      </c>
      <c r="I433">
        <v>243324273</v>
      </c>
      <c r="J433">
        <v>117</v>
      </c>
      <c r="K433">
        <v>100</v>
      </c>
      <c r="L433">
        <v>0</v>
      </c>
      <c r="M433" t="s">
        <v>6371</v>
      </c>
    </row>
    <row r="434" spans="1:13">
      <c r="A434" t="s">
        <v>1072</v>
      </c>
      <c r="B434" t="s">
        <v>291</v>
      </c>
      <c r="C434">
        <v>44231</v>
      </c>
      <c r="D434">
        <v>646916214</v>
      </c>
      <c r="E434">
        <v>97970</v>
      </c>
      <c r="F434">
        <v>65</v>
      </c>
      <c r="G434">
        <v>496850951</v>
      </c>
      <c r="H434">
        <v>6266644</v>
      </c>
      <c r="I434">
        <v>6912025468</v>
      </c>
      <c r="J434">
        <v>173</v>
      </c>
      <c r="K434">
        <v>869</v>
      </c>
      <c r="L434">
        <v>1</v>
      </c>
      <c r="M434" t="s">
        <v>6370</v>
      </c>
    </row>
    <row r="435" spans="1:13">
      <c r="A435" t="s">
        <v>1075</v>
      </c>
      <c r="B435" t="s">
        <v>642</v>
      </c>
      <c r="C435">
        <v>44420</v>
      </c>
      <c r="D435">
        <v>686371118</v>
      </c>
      <c r="E435">
        <v>95938</v>
      </c>
      <c r="F435">
        <v>69</v>
      </c>
      <c r="G435">
        <v>479721274</v>
      </c>
      <c r="H435">
        <v>3066965</v>
      </c>
      <c r="I435">
        <v>2298614237</v>
      </c>
      <c r="J435">
        <v>130</v>
      </c>
      <c r="K435">
        <v>945</v>
      </c>
      <c r="L435">
        <v>1</v>
      </c>
      <c r="M435" t="s">
        <v>6370</v>
      </c>
    </row>
    <row r="436" spans="1:13">
      <c r="A436" t="s">
        <v>1076</v>
      </c>
      <c r="B436" t="s">
        <v>522</v>
      </c>
      <c r="C436">
        <v>45099</v>
      </c>
      <c r="D436">
        <v>502536183</v>
      </c>
      <c r="E436">
        <v>37578</v>
      </c>
      <c r="F436">
        <v>77</v>
      </c>
      <c r="G436">
        <v>151406654</v>
      </c>
      <c r="H436">
        <v>886902</v>
      </c>
      <c r="I436">
        <v>866457165</v>
      </c>
      <c r="J436">
        <v>40</v>
      </c>
      <c r="K436">
        <v>312</v>
      </c>
      <c r="L436">
        <v>1</v>
      </c>
      <c r="M436" t="s">
        <v>6370</v>
      </c>
    </row>
    <row r="437" spans="1:13">
      <c r="A437" t="s">
        <v>1079</v>
      </c>
      <c r="B437" t="s">
        <v>1080</v>
      </c>
      <c r="C437">
        <v>44575</v>
      </c>
      <c r="D437">
        <v>548724288</v>
      </c>
      <c r="E437">
        <v>170892</v>
      </c>
      <c r="F437">
        <v>79</v>
      </c>
      <c r="G437">
        <v>91605414</v>
      </c>
      <c r="H437">
        <v>1539359</v>
      </c>
      <c r="I437">
        <v>813374956</v>
      </c>
      <c r="J437">
        <v>53</v>
      </c>
      <c r="K437">
        <v>538</v>
      </c>
      <c r="L437">
        <v>1</v>
      </c>
      <c r="M437" t="s">
        <v>6370</v>
      </c>
    </row>
    <row r="438" spans="1:13">
      <c r="A438" t="s">
        <v>1081</v>
      </c>
      <c r="B438" t="s">
        <v>70</v>
      </c>
      <c r="C438">
        <v>45002</v>
      </c>
      <c r="D438">
        <v>488979989</v>
      </c>
      <c r="E438">
        <v>32825</v>
      </c>
      <c r="F438">
        <v>84</v>
      </c>
      <c r="G438">
        <v>88126911</v>
      </c>
      <c r="H438">
        <v>1378287</v>
      </c>
      <c r="I438">
        <v>443060258</v>
      </c>
      <c r="J438">
        <v>60</v>
      </c>
      <c r="K438">
        <v>400</v>
      </c>
      <c r="L438">
        <v>1</v>
      </c>
      <c r="M438" t="s">
        <v>6370</v>
      </c>
    </row>
    <row r="439" spans="1:13">
      <c r="A439" t="s">
        <v>1082</v>
      </c>
      <c r="B439" t="s">
        <v>1083</v>
      </c>
      <c r="C439">
        <v>44499</v>
      </c>
      <c r="D439">
        <v>416955991</v>
      </c>
      <c r="E439">
        <v>123862</v>
      </c>
      <c r="F439">
        <v>63</v>
      </c>
      <c r="G439">
        <v>174009595</v>
      </c>
      <c r="H439">
        <v>1640732</v>
      </c>
      <c r="I439">
        <v>1163709610</v>
      </c>
      <c r="J439">
        <v>65</v>
      </c>
      <c r="K439">
        <v>350</v>
      </c>
      <c r="L439">
        <v>1</v>
      </c>
      <c r="M439" t="s">
        <v>6370</v>
      </c>
    </row>
    <row r="440" spans="1:13">
      <c r="A440" t="s">
        <v>1084</v>
      </c>
      <c r="B440" t="s">
        <v>233</v>
      </c>
      <c r="C440">
        <v>43298</v>
      </c>
      <c r="D440">
        <v>1228556153</v>
      </c>
      <c r="E440">
        <v>154255</v>
      </c>
      <c r="F440">
        <v>75</v>
      </c>
      <c r="G440">
        <v>1220581919</v>
      </c>
      <c r="H440">
        <v>10953316</v>
      </c>
      <c r="I440">
        <v>396994100</v>
      </c>
      <c r="J440">
        <v>72</v>
      </c>
      <c r="K440">
        <v>175</v>
      </c>
      <c r="L440">
        <v>0</v>
      </c>
      <c r="M440" t="s">
        <v>6371</v>
      </c>
    </row>
    <row r="441" spans="1:13">
      <c r="A441" t="s">
        <v>1087</v>
      </c>
      <c r="B441" t="s">
        <v>1088</v>
      </c>
      <c r="C441">
        <v>43826</v>
      </c>
      <c r="D441">
        <v>709850383</v>
      </c>
      <c r="E441">
        <v>165912</v>
      </c>
      <c r="F441">
        <v>70</v>
      </c>
      <c r="G441">
        <v>75540671</v>
      </c>
      <c r="H441">
        <v>750424</v>
      </c>
      <c r="I441">
        <v>1876371239</v>
      </c>
      <c r="J441">
        <v>69</v>
      </c>
      <c r="K441">
        <v>103</v>
      </c>
      <c r="L441">
        <v>1</v>
      </c>
      <c r="M441" t="s">
        <v>6371</v>
      </c>
    </row>
    <row r="442" spans="1:13">
      <c r="A442" t="s">
        <v>1090</v>
      </c>
      <c r="B442" t="s">
        <v>1091</v>
      </c>
      <c r="C442">
        <v>43243</v>
      </c>
      <c r="D442">
        <v>1602076880</v>
      </c>
      <c r="E442">
        <v>207598</v>
      </c>
      <c r="F442">
        <v>75</v>
      </c>
      <c r="G442">
        <v>284427491</v>
      </c>
      <c r="H442">
        <v>2509207</v>
      </c>
      <c r="I442">
        <v>790904602</v>
      </c>
      <c r="J442">
        <v>20</v>
      </c>
      <c r="K442">
        <v>550</v>
      </c>
      <c r="L442">
        <v>0</v>
      </c>
      <c r="M442" t="s">
        <v>6371</v>
      </c>
    </row>
    <row r="443" spans="1:13">
      <c r="A443" t="s">
        <v>1096</v>
      </c>
      <c r="B443" t="s">
        <v>81</v>
      </c>
      <c r="C443">
        <v>42461</v>
      </c>
      <c r="D443">
        <v>1427792654</v>
      </c>
      <c r="E443">
        <v>120921</v>
      </c>
      <c r="F443">
        <v>70</v>
      </c>
      <c r="G443">
        <v>2458018861</v>
      </c>
      <c r="H443">
        <v>14668122</v>
      </c>
      <c r="I443">
        <v>413361240</v>
      </c>
      <c r="J443">
        <v>128</v>
      </c>
      <c r="K443">
        <v>116</v>
      </c>
      <c r="L443">
        <v>1</v>
      </c>
      <c r="M443" t="s">
        <v>6371</v>
      </c>
    </row>
    <row r="444" spans="1:13">
      <c r="A444" t="s">
        <v>1097</v>
      </c>
      <c r="B444" t="s">
        <v>1098</v>
      </c>
      <c r="C444">
        <v>44330</v>
      </c>
      <c r="D444">
        <v>452542081</v>
      </c>
      <c r="E444">
        <v>81642</v>
      </c>
      <c r="F444">
        <v>63</v>
      </c>
      <c r="G444">
        <v>575228171</v>
      </c>
      <c r="H444">
        <v>13396525</v>
      </c>
      <c r="I444">
        <v>10270227664</v>
      </c>
      <c r="J444">
        <v>77</v>
      </c>
      <c r="K444">
        <v>119</v>
      </c>
      <c r="L444">
        <v>1</v>
      </c>
      <c r="M444" t="s">
        <v>6370</v>
      </c>
    </row>
    <row r="445" spans="1:13">
      <c r="A445" t="s">
        <v>1101</v>
      </c>
      <c r="B445" t="s">
        <v>1102</v>
      </c>
      <c r="C445">
        <v>45204</v>
      </c>
      <c r="D445">
        <v>363816146</v>
      </c>
      <c r="E445">
        <v>16161</v>
      </c>
      <c r="F445">
        <v>80</v>
      </c>
      <c r="G445">
        <v>189158687</v>
      </c>
      <c r="H445">
        <v>768324</v>
      </c>
      <c r="I445">
        <v>114779266</v>
      </c>
      <c r="J445">
        <v>24</v>
      </c>
      <c r="K445">
        <v>32</v>
      </c>
      <c r="L445">
        <v>1</v>
      </c>
      <c r="M445" t="s">
        <v>6370</v>
      </c>
    </row>
    <row r="446" spans="1:13">
      <c r="A446" t="s">
        <v>1103</v>
      </c>
      <c r="B446" t="s">
        <v>68</v>
      </c>
      <c r="C446">
        <v>43776</v>
      </c>
      <c r="D446">
        <v>1056939084</v>
      </c>
      <c r="E446">
        <v>154003</v>
      </c>
      <c r="F446">
        <v>75</v>
      </c>
      <c r="G446">
        <v>702463556</v>
      </c>
      <c r="H446">
        <v>8269225</v>
      </c>
      <c r="I446">
        <v>3347862526</v>
      </c>
      <c r="J446">
        <v>155</v>
      </c>
      <c r="K446">
        <v>57</v>
      </c>
      <c r="L446">
        <v>1</v>
      </c>
      <c r="M446" t="s">
        <v>6371</v>
      </c>
    </row>
    <row r="447" spans="1:13">
      <c r="A447" t="s">
        <v>1104</v>
      </c>
      <c r="B447" t="s">
        <v>1105</v>
      </c>
      <c r="C447">
        <v>45142</v>
      </c>
      <c r="D447">
        <v>36007719</v>
      </c>
      <c r="E447">
        <v>11757</v>
      </c>
      <c r="F447">
        <v>53</v>
      </c>
      <c r="G447">
        <v>66350451</v>
      </c>
      <c r="H447">
        <v>833138</v>
      </c>
      <c r="I447">
        <v>344537974</v>
      </c>
      <c r="J447">
        <v>16</v>
      </c>
      <c r="K447">
        <v>41</v>
      </c>
      <c r="L447">
        <v>1</v>
      </c>
      <c r="M447" t="s">
        <v>6370</v>
      </c>
    </row>
    <row r="448" spans="1:13">
      <c r="A448" t="s">
        <v>1110</v>
      </c>
      <c r="B448" t="s">
        <v>1111</v>
      </c>
      <c r="C448">
        <v>44984</v>
      </c>
      <c r="D448">
        <v>157446814</v>
      </c>
      <c r="E448">
        <v>54118</v>
      </c>
      <c r="F448">
        <v>64</v>
      </c>
      <c r="G448">
        <v>120010894</v>
      </c>
      <c r="H448">
        <v>962140</v>
      </c>
      <c r="I448">
        <v>142468312</v>
      </c>
      <c r="J448">
        <v>31</v>
      </c>
      <c r="K448">
        <v>145</v>
      </c>
      <c r="L448">
        <v>1</v>
      </c>
      <c r="M448" t="s">
        <v>6370</v>
      </c>
    </row>
    <row r="449" spans="1:13">
      <c r="A449" t="s">
        <v>1112</v>
      </c>
      <c r="B449" t="s">
        <v>1113</v>
      </c>
      <c r="C449">
        <v>44477</v>
      </c>
      <c r="D449">
        <v>248749251</v>
      </c>
      <c r="E449">
        <v>103369</v>
      </c>
      <c r="F449">
        <v>61</v>
      </c>
      <c r="G449">
        <v>318002064</v>
      </c>
      <c r="H449">
        <v>2874323</v>
      </c>
      <c r="I449">
        <v>142448123</v>
      </c>
      <c r="J449">
        <v>44</v>
      </c>
      <c r="K449">
        <v>178</v>
      </c>
      <c r="L449">
        <v>1</v>
      </c>
      <c r="M449" t="s">
        <v>6370</v>
      </c>
    </row>
    <row r="450" spans="1:13">
      <c r="A450" t="s">
        <v>1117</v>
      </c>
      <c r="B450" t="s">
        <v>357</v>
      </c>
      <c r="C450">
        <v>43042</v>
      </c>
      <c r="D450">
        <v>1650167380</v>
      </c>
      <c r="E450">
        <v>145231</v>
      </c>
      <c r="F450">
        <v>66</v>
      </c>
      <c r="G450">
        <v>1225467157</v>
      </c>
      <c r="H450">
        <v>7096961</v>
      </c>
      <c r="I450">
        <v>405895763</v>
      </c>
      <c r="J450">
        <v>153</v>
      </c>
      <c r="K450">
        <v>152</v>
      </c>
      <c r="L450">
        <v>1</v>
      </c>
      <c r="M450" t="s">
        <v>6371</v>
      </c>
    </row>
    <row r="451" spans="1:13">
      <c r="A451" t="s">
        <v>1119</v>
      </c>
      <c r="B451" t="s">
        <v>51</v>
      </c>
      <c r="C451">
        <v>44147</v>
      </c>
      <c r="D451">
        <v>805133547</v>
      </c>
      <c r="E451">
        <v>132298</v>
      </c>
      <c r="F451">
        <v>67</v>
      </c>
      <c r="G451">
        <v>357556016</v>
      </c>
      <c r="H451">
        <v>9930750</v>
      </c>
      <c r="I451">
        <v>2252801256</v>
      </c>
      <c r="J451">
        <v>229</v>
      </c>
      <c r="K451">
        <v>1356</v>
      </c>
      <c r="L451">
        <v>0</v>
      </c>
      <c r="M451" t="s">
        <v>6371</v>
      </c>
    </row>
    <row r="452" spans="1:13">
      <c r="A452" t="s">
        <v>1120</v>
      </c>
      <c r="B452" t="s">
        <v>256</v>
      </c>
      <c r="C452">
        <v>45030</v>
      </c>
      <c r="D452">
        <v>245513981</v>
      </c>
      <c r="E452">
        <v>37111</v>
      </c>
      <c r="F452">
        <v>71</v>
      </c>
      <c r="G452">
        <v>99697837</v>
      </c>
      <c r="H452">
        <v>1375852</v>
      </c>
      <c r="I452">
        <v>76397270</v>
      </c>
      <c r="J452">
        <v>66</v>
      </c>
      <c r="K452">
        <v>97</v>
      </c>
      <c r="L452">
        <v>0</v>
      </c>
      <c r="M452" t="s">
        <v>6370</v>
      </c>
    </row>
    <row r="453" spans="1:13">
      <c r="A453" t="s">
        <v>1122</v>
      </c>
      <c r="B453" t="s">
        <v>311</v>
      </c>
      <c r="C453">
        <v>42045</v>
      </c>
      <c r="D453">
        <v>1907768690</v>
      </c>
      <c r="E453">
        <v>170905</v>
      </c>
      <c r="F453">
        <v>69</v>
      </c>
      <c r="G453">
        <v>2115112270</v>
      </c>
      <c r="H453">
        <v>16309142</v>
      </c>
      <c r="I453">
        <v>403748250</v>
      </c>
      <c r="J453">
        <v>206</v>
      </c>
      <c r="K453">
        <v>259</v>
      </c>
      <c r="L453">
        <v>0</v>
      </c>
      <c r="M453" t="s">
        <v>6371</v>
      </c>
    </row>
    <row r="454" spans="1:13">
      <c r="A454" t="s">
        <v>1123</v>
      </c>
      <c r="B454" t="s">
        <v>1124</v>
      </c>
      <c r="C454">
        <v>45135</v>
      </c>
      <c r="D454">
        <v>212122034</v>
      </c>
      <c r="E454">
        <v>61462</v>
      </c>
      <c r="F454">
        <v>80</v>
      </c>
      <c r="G454">
        <v>49794673</v>
      </c>
      <c r="H454">
        <v>997193</v>
      </c>
      <c r="I454">
        <v>555529368</v>
      </c>
      <c r="J454">
        <v>78</v>
      </c>
      <c r="K454">
        <v>183</v>
      </c>
      <c r="L454">
        <v>0</v>
      </c>
      <c r="M454" t="s">
        <v>6370</v>
      </c>
    </row>
    <row r="455" spans="1:13">
      <c r="A455" t="s">
        <v>1128</v>
      </c>
      <c r="B455" t="s">
        <v>1129</v>
      </c>
      <c r="C455">
        <v>44930</v>
      </c>
      <c r="D455">
        <v>134208327</v>
      </c>
      <c r="E455">
        <v>45328</v>
      </c>
      <c r="F455">
        <v>61</v>
      </c>
      <c r="G455">
        <v>93787998</v>
      </c>
      <c r="H455">
        <v>947363</v>
      </c>
      <c r="I455">
        <v>2460084219</v>
      </c>
      <c r="J455">
        <v>16</v>
      </c>
      <c r="K455">
        <v>29</v>
      </c>
      <c r="L455">
        <v>0</v>
      </c>
      <c r="M455" t="s">
        <v>6370</v>
      </c>
    </row>
    <row r="456" spans="1:13">
      <c r="A456" t="s">
        <v>1132</v>
      </c>
      <c r="B456" t="s">
        <v>295</v>
      </c>
      <c r="C456">
        <v>44442</v>
      </c>
      <c r="D456">
        <v>819136167</v>
      </c>
      <c r="E456">
        <v>220374</v>
      </c>
      <c r="F456">
        <v>75</v>
      </c>
      <c r="G456">
        <v>173633158</v>
      </c>
      <c r="H456">
        <v>1399290</v>
      </c>
      <c r="I456">
        <v>327393753</v>
      </c>
      <c r="J456">
        <v>67</v>
      </c>
      <c r="K456">
        <v>81</v>
      </c>
      <c r="L456">
        <v>1</v>
      </c>
      <c r="M456" t="s">
        <v>6370</v>
      </c>
    </row>
    <row r="457" spans="1:13">
      <c r="A457" t="s">
        <v>1133</v>
      </c>
      <c r="B457" t="s">
        <v>576</v>
      </c>
      <c r="C457">
        <v>42930</v>
      </c>
      <c r="D457">
        <v>709559454</v>
      </c>
      <c r="E457">
        <v>66677</v>
      </c>
      <c r="F457">
        <v>66</v>
      </c>
      <c r="G457">
        <v>2660240919</v>
      </c>
      <c r="H457">
        <v>9901740</v>
      </c>
      <c r="I457">
        <v>258215382</v>
      </c>
      <c r="J457">
        <v>84</v>
      </c>
      <c r="K457">
        <v>117</v>
      </c>
      <c r="L457">
        <v>0</v>
      </c>
      <c r="M457" t="s">
        <v>6371</v>
      </c>
    </row>
    <row r="458" spans="1:13">
      <c r="A458" t="s">
        <v>1134</v>
      </c>
      <c r="B458" t="s">
        <v>332</v>
      </c>
      <c r="C458">
        <v>44897</v>
      </c>
      <c r="D458">
        <v>558560568</v>
      </c>
      <c r="E458">
        <v>61360</v>
      </c>
      <c r="F458">
        <v>75</v>
      </c>
      <c r="G458">
        <v>228242847</v>
      </c>
      <c r="H458">
        <v>852495</v>
      </c>
      <c r="I458">
        <v>1339213086</v>
      </c>
      <c r="J458">
        <v>44</v>
      </c>
      <c r="K458">
        <v>94</v>
      </c>
      <c r="L458">
        <v>1</v>
      </c>
      <c r="M458" t="s">
        <v>6370</v>
      </c>
    </row>
    <row r="459" spans="1:13">
      <c r="A459" t="s">
        <v>1136</v>
      </c>
      <c r="B459" t="s">
        <v>1071</v>
      </c>
      <c r="C459">
        <v>45128</v>
      </c>
      <c r="D459">
        <v>155443055</v>
      </c>
      <c r="E459">
        <v>28835</v>
      </c>
      <c r="F459">
        <v>68</v>
      </c>
      <c r="G459">
        <v>38442511</v>
      </c>
      <c r="H459">
        <v>291339</v>
      </c>
      <c r="I459">
        <v>47123023</v>
      </c>
      <c r="J459">
        <v>29</v>
      </c>
      <c r="K459">
        <v>13</v>
      </c>
      <c r="L459">
        <v>0</v>
      </c>
      <c r="M459" t="s">
        <v>6370</v>
      </c>
    </row>
    <row r="460" spans="1:13">
      <c r="A460" t="s">
        <v>1137</v>
      </c>
      <c r="B460" t="s">
        <v>163</v>
      </c>
      <c r="C460">
        <v>45128</v>
      </c>
      <c r="D460">
        <v>221287566</v>
      </c>
      <c r="E460">
        <v>20975</v>
      </c>
      <c r="F460">
        <v>70</v>
      </c>
      <c r="G460">
        <v>291073034</v>
      </c>
      <c r="H460">
        <v>1012209</v>
      </c>
      <c r="I460">
        <v>131877555</v>
      </c>
      <c r="J460">
        <v>7</v>
      </c>
      <c r="K460">
        <v>1</v>
      </c>
      <c r="L460">
        <v>0</v>
      </c>
      <c r="M460" t="s">
        <v>6370</v>
      </c>
    </row>
    <row r="461" spans="1:13">
      <c r="A461" t="s">
        <v>1140</v>
      </c>
      <c r="B461" t="s">
        <v>1141</v>
      </c>
      <c r="C461">
        <v>44890</v>
      </c>
      <c r="D461">
        <v>21236593</v>
      </c>
      <c r="E461">
        <v>6366</v>
      </c>
      <c r="F461">
        <v>52</v>
      </c>
      <c r="G461">
        <v>173334286</v>
      </c>
      <c r="H461">
        <v>660871</v>
      </c>
      <c r="I461">
        <v>618545163</v>
      </c>
      <c r="J461">
        <v>3</v>
      </c>
      <c r="K461">
        <v>1</v>
      </c>
      <c r="L461">
        <v>0</v>
      </c>
      <c r="M461" t="s">
        <v>6370</v>
      </c>
    </row>
    <row r="462" spans="1:13">
      <c r="A462" t="s">
        <v>1142</v>
      </c>
      <c r="B462" t="s">
        <v>68</v>
      </c>
      <c r="C462">
        <v>44371</v>
      </c>
      <c r="D462">
        <v>831648193</v>
      </c>
      <c r="E462">
        <v>119953</v>
      </c>
      <c r="F462">
        <v>72</v>
      </c>
      <c r="G462">
        <v>379404120</v>
      </c>
      <c r="H462">
        <v>3991416</v>
      </c>
      <c r="I462">
        <v>397005694</v>
      </c>
      <c r="J462">
        <v>131</v>
      </c>
      <c r="K462">
        <v>665</v>
      </c>
      <c r="L462">
        <v>1</v>
      </c>
      <c r="M462" t="s">
        <v>6370</v>
      </c>
    </row>
    <row r="463" spans="1:13">
      <c r="A463" t="s">
        <v>1143</v>
      </c>
      <c r="B463" t="s">
        <v>602</v>
      </c>
      <c r="C463">
        <v>44889</v>
      </c>
      <c r="D463">
        <v>674025091</v>
      </c>
      <c r="E463">
        <v>51522</v>
      </c>
      <c r="F463">
        <v>70</v>
      </c>
      <c r="G463">
        <v>323942993</v>
      </c>
      <c r="H463">
        <v>1575190</v>
      </c>
      <c r="I463">
        <v>1294755383</v>
      </c>
      <c r="J463">
        <v>34</v>
      </c>
      <c r="K463">
        <v>13</v>
      </c>
      <c r="L463">
        <v>1</v>
      </c>
      <c r="M463" t="s">
        <v>6370</v>
      </c>
    </row>
    <row r="464" spans="1:13">
      <c r="A464" t="s">
        <v>1144</v>
      </c>
      <c r="B464" t="s">
        <v>59</v>
      </c>
      <c r="C464">
        <v>44175</v>
      </c>
      <c r="D464">
        <v>700122551</v>
      </c>
      <c r="E464">
        <v>99936</v>
      </c>
      <c r="F464">
        <v>68</v>
      </c>
      <c r="G464">
        <v>1036334853</v>
      </c>
      <c r="H464">
        <v>4939844</v>
      </c>
      <c r="I464">
        <v>363627962</v>
      </c>
      <c r="J464">
        <v>81</v>
      </c>
      <c r="K464">
        <v>27</v>
      </c>
      <c r="L464">
        <v>0</v>
      </c>
      <c r="M464" t="s">
        <v>6371</v>
      </c>
    </row>
    <row r="465" spans="1:13">
      <c r="A465" t="s">
        <v>1147</v>
      </c>
      <c r="B465" t="s">
        <v>1148</v>
      </c>
      <c r="C465">
        <v>44953</v>
      </c>
      <c r="D465">
        <v>545234876</v>
      </c>
      <c r="E465">
        <v>38598</v>
      </c>
      <c r="F465">
        <v>76</v>
      </c>
      <c r="G465">
        <v>178469204</v>
      </c>
      <c r="H465">
        <v>907782</v>
      </c>
      <c r="I465">
        <v>1417345345</v>
      </c>
      <c r="J465">
        <v>15</v>
      </c>
      <c r="K465">
        <v>12</v>
      </c>
      <c r="L465">
        <v>1</v>
      </c>
      <c r="M465" t="s">
        <v>6370</v>
      </c>
    </row>
    <row r="466" spans="1:13">
      <c r="A466" t="s">
        <v>1154</v>
      </c>
      <c r="B466" t="s">
        <v>686</v>
      </c>
      <c r="C466">
        <v>43956</v>
      </c>
      <c r="D466">
        <v>699336080</v>
      </c>
      <c r="E466">
        <v>126934</v>
      </c>
      <c r="F466">
        <v>68</v>
      </c>
      <c r="G466">
        <v>363333168</v>
      </c>
      <c r="H466">
        <v>3159553</v>
      </c>
      <c r="I466">
        <v>42692526</v>
      </c>
      <c r="J466">
        <v>177</v>
      </c>
      <c r="K466">
        <v>13</v>
      </c>
      <c r="L466">
        <v>1</v>
      </c>
      <c r="M466" t="s">
        <v>6371</v>
      </c>
    </row>
    <row r="467" spans="1:13">
      <c r="A467" t="s">
        <v>1155</v>
      </c>
      <c r="B467" t="s">
        <v>1156</v>
      </c>
      <c r="C467">
        <v>44895</v>
      </c>
      <c r="D467">
        <v>716829483</v>
      </c>
      <c r="E467">
        <v>99063</v>
      </c>
      <c r="F467">
        <v>68</v>
      </c>
      <c r="G467">
        <v>131057530</v>
      </c>
      <c r="H467">
        <v>1300009</v>
      </c>
      <c r="I467">
        <v>348775704</v>
      </c>
      <c r="J467">
        <v>59</v>
      </c>
      <c r="K467">
        <v>11</v>
      </c>
      <c r="L467">
        <v>1</v>
      </c>
      <c r="M467" t="s">
        <v>6370</v>
      </c>
    </row>
    <row r="468" spans="1:13">
      <c r="A468" t="s">
        <v>1159</v>
      </c>
      <c r="B468" t="s">
        <v>479</v>
      </c>
      <c r="C468">
        <v>41275</v>
      </c>
      <c r="D468">
        <v>1156191242</v>
      </c>
      <c r="E468">
        <v>146653</v>
      </c>
      <c r="F468">
        <v>73</v>
      </c>
      <c r="G468">
        <v>4386626671</v>
      </c>
      <c r="H468">
        <v>19822950</v>
      </c>
      <c r="I468">
        <v>385015724</v>
      </c>
      <c r="J468">
        <v>237</v>
      </c>
      <c r="K468">
        <v>284</v>
      </c>
      <c r="L468">
        <v>0</v>
      </c>
      <c r="M468" t="s">
        <v>6371</v>
      </c>
    </row>
    <row r="469" spans="1:13">
      <c r="A469" t="s">
        <v>1160</v>
      </c>
      <c r="B469" t="s">
        <v>701</v>
      </c>
      <c r="C469">
        <v>43624</v>
      </c>
      <c r="D469">
        <v>1030515485</v>
      </c>
      <c r="E469">
        <v>157003</v>
      </c>
      <c r="F469">
        <v>70</v>
      </c>
      <c r="G469">
        <v>809218963</v>
      </c>
      <c r="H469">
        <v>5861900</v>
      </c>
      <c r="I469">
        <v>451934036</v>
      </c>
      <c r="J469">
        <v>185</v>
      </c>
      <c r="K469">
        <v>7</v>
      </c>
      <c r="L469">
        <v>1</v>
      </c>
      <c r="M469" t="s">
        <v>6371</v>
      </c>
    </row>
    <row r="470" spans="1:13">
      <c r="A470" t="s">
        <v>1161</v>
      </c>
      <c r="B470" t="s">
        <v>81</v>
      </c>
      <c r="C470">
        <v>44134</v>
      </c>
      <c r="D470">
        <v>978617707</v>
      </c>
      <c r="E470">
        <v>97191</v>
      </c>
      <c r="F470">
        <v>70</v>
      </c>
      <c r="G470">
        <v>722372895</v>
      </c>
      <c r="H470">
        <v>11582120</v>
      </c>
      <c r="I470">
        <v>359903081</v>
      </c>
      <c r="J470">
        <v>109</v>
      </c>
      <c r="K470">
        <v>514</v>
      </c>
      <c r="L470">
        <v>1</v>
      </c>
      <c r="M470" t="s">
        <v>6371</v>
      </c>
    </row>
    <row r="471" spans="1:13">
      <c r="A471" t="s">
        <v>1162</v>
      </c>
      <c r="B471" t="s">
        <v>252</v>
      </c>
      <c r="C471">
        <v>44386</v>
      </c>
      <c r="D471">
        <v>675763141</v>
      </c>
      <c r="E471">
        <v>43682</v>
      </c>
      <c r="F471">
        <v>68</v>
      </c>
      <c r="G471">
        <v>881072427</v>
      </c>
      <c r="H471">
        <v>29073682</v>
      </c>
      <c r="I471">
        <v>3653167411</v>
      </c>
      <c r="J471">
        <v>120</v>
      </c>
      <c r="K471">
        <v>82</v>
      </c>
      <c r="L471">
        <v>0</v>
      </c>
      <c r="M471" t="s">
        <v>6370</v>
      </c>
    </row>
    <row r="472" spans="1:13">
      <c r="A472" t="s">
        <v>1164</v>
      </c>
      <c r="B472" t="s">
        <v>1165</v>
      </c>
      <c r="C472">
        <v>45329</v>
      </c>
      <c r="D472">
        <v>167431139</v>
      </c>
      <c r="E472">
        <v>10335</v>
      </c>
      <c r="F472">
        <v>90</v>
      </c>
      <c r="G472">
        <v>28987197</v>
      </c>
      <c r="H472">
        <v>443524</v>
      </c>
      <c r="I472">
        <v>235871001</v>
      </c>
      <c r="J472">
        <v>26</v>
      </c>
      <c r="K472">
        <v>416</v>
      </c>
      <c r="L472">
        <v>1</v>
      </c>
      <c r="M472" t="s">
        <v>6370</v>
      </c>
    </row>
    <row r="473" spans="1:13">
      <c r="A473" t="s">
        <v>1168</v>
      </c>
      <c r="B473" t="s">
        <v>1169</v>
      </c>
      <c r="C473">
        <v>43340</v>
      </c>
      <c r="D473">
        <v>952626904</v>
      </c>
      <c r="E473">
        <v>151446</v>
      </c>
      <c r="F473">
        <v>16</v>
      </c>
      <c r="G473">
        <v>195696821</v>
      </c>
      <c r="H473">
        <v>2597296</v>
      </c>
      <c r="I473">
        <v>2800998751</v>
      </c>
      <c r="J473">
        <v>217</v>
      </c>
      <c r="K473">
        <v>381</v>
      </c>
      <c r="L473">
        <v>0</v>
      </c>
      <c r="M473" t="s">
        <v>6371</v>
      </c>
    </row>
    <row r="474" spans="1:13">
      <c r="A474" t="s">
        <v>1173</v>
      </c>
      <c r="B474" t="s">
        <v>1174</v>
      </c>
      <c r="C474">
        <v>43357</v>
      </c>
      <c r="D474">
        <v>1355539058</v>
      </c>
      <c r="E474">
        <v>108485</v>
      </c>
      <c r="F474">
        <v>72</v>
      </c>
      <c r="G474">
        <v>1260752640</v>
      </c>
      <c r="H474">
        <v>6104356</v>
      </c>
      <c r="I474">
        <v>1105088867</v>
      </c>
      <c r="J474">
        <v>160</v>
      </c>
      <c r="K474">
        <v>193</v>
      </c>
      <c r="L474">
        <v>0</v>
      </c>
      <c r="M474" t="s">
        <v>6371</v>
      </c>
    </row>
    <row r="475" spans="1:13">
      <c r="A475" t="s">
        <v>1175</v>
      </c>
      <c r="B475" t="s">
        <v>123</v>
      </c>
      <c r="C475">
        <v>43595</v>
      </c>
      <c r="D475">
        <v>1816356140</v>
      </c>
      <c r="E475">
        <v>156748</v>
      </c>
      <c r="F475">
        <v>70</v>
      </c>
      <c r="G475">
        <v>1095859229</v>
      </c>
      <c r="H475">
        <v>11144552</v>
      </c>
      <c r="I475">
        <v>246666552</v>
      </c>
      <c r="J475">
        <v>46</v>
      </c>
      <c r="K475">
        <v>224</v>
      </c>
      <c r="L475">
        <v>1</v>
      </c>
      <c r="M475" t="s">
        <v>6371</v>
      </c>
    </row>
    <row r="476" spans="1:13">
      <c r="A476" t="s">
        <v>1176</v>
      </c>
      <c r="B476" t="s">
        <v>1177</v>
      </c>
      <c r="C476">
        <v>45015</v>
      </c>
      <c r="D476">
        <v>218035732</v>
      </c>
      <c r="E476">
        <v>36861</v>
      </c>
      <c r="F476">
        <v>72</v>
      </c>
      <c r="G476">
        <v>87739719</v>
      </c>
      <c r="H476">
        <v>494331</v>
      </c>
      <c r="I476">
        <v>61830611</v>
      </c>
      <c r="J476">
        <v>74</v>
      </c>
      <c r="K476">
        <v>5</v>
      </c>
      <c r="L476">
        <v>0</v>
      </c>
      <c r="M476" t="s">
        <v>6370</v>
      </c>
    </row>
    <row r="477" spans="1:13">
      <c r="A477" t="s">
        <v>1178</v>
      </c>
      <c r="B477" t="s">
        <v>1179</v>
      </c>
      <c r="C477">
        <v>45065</v>
      </c>
      <c r="D477">
        <v>267867000</v>
      </c>
      <c r="E477">
        <v>47406</v>
      </c>
      <c r="F477">
        <v>36</v>
      </c>
      <c r="G477">
        <v>109440296</v>
      </c>
      <c r="H477">
        <v>1722866</v>
      </c>
      <c r="I477">
        <v>1908916908</v>
      </c>
      <c r="J477">
        <v>6</v>
      </c>
      <c r="K477">
        <v>1</v>
      </c>
      <c r="L477">
        <v>1</v>
      </c>
      <c r="M477" t="s">
        <v>6370</v>
      </c>
    </row>
    <row r="478" spans="1:13">
      <c r="A478" t="s">
        <v>1184</v>
      </c>
      <c r="B478" t="s">
        <v>520</v>
      </c>
      <c r="C478">
        <v>42958</v>
      </c>
      <c r="D478">
        <v>1592440653</v>
      </c>
      <c r="E478">
        <v>188349</v>
      </c>
      <c r="F478">
        <v>77</v>
      </c>
      <c r="G478">
        <v>783959373</v>
      </c>
      <c r="H478">
        <v>6101966</v>
      </c>
      <c r="I478">
        <v>807230686</v>
      </c>
      <c r="J478">
        <v>142</v>
      </c>
      <c r="K478">
        <v>218</v>
      </c>
      <c r="L478">
        <v>0</v>
      </c>
      <c r="M478" t="s">
        <v>6371</v>
      </c>
    </row>
    <row r="479" spans="1:13">
      <c r="A479" t="s">
        <v>1185</v>
      </c>
      <c r="B479" t="s">
        <v>1186</v>
      </c>
      <c r="C479">
        <v>44315</v>
      </c>
      <c r="D479">
        <v>723722454</v>
      </c>
      <c r="E479">
        <v>79670</v>
      </c>
      <c r="F479">
        <v>73</v>
      </c>
      <c r="G479">
        <v>869498397</v>
      </c>
      <c r="H479">
        <v>4948905</v>
      </c>
      <c r="I479">
        <v>1607695575</v>
      </c>
      <c r="J479">
        <v>80</v>
      </c>
      <c r="K479">
        <v>170</v>
      </c>
      <c r="L479">
        <v>0</v>
      </c>
      <c r="M479" t="s">
        <v>6370</v>
      </c>
    </row>
    <row r="480" spans="1:13">
      <c r="A480" t="s">
        <v>1187</v>
      </c>
      <c r="B480" t="s">
        <v>1188</v>
      </c>
      <c r="C480">
        <v>41988</v>
      </c>
      <c r="D480">
        <v>1182373720</v>
      </c>
      <c r="E480">
        <v>201337</v>
      </c>
      <c r="F480">
        <v>70</v>
      </c>
      <c r="G480">
        <v>1260463421</v>
      </c>
      <c r="H480">
        <v>8611729</v>
      </c>
      <c r="I480">
        <v>414475658</v>
      </c>
      <c r="J480">
        <v>178</v>
      </c>
      <c r="K480">
        <v>208</v>
      </c>
      <c r="L480">
        <v>1</v>
      </c>
      <c r="M480" t="s">
        <v>6371</v>
      </c>
    </row>
    <row r="481" spans="1:13">
      <c r="A481" t="s">
        <v>1189</v>
      </c>
      <c r="B481" t="s">
        <v>66</v>
      </c>
      <c r="C481">
        <v>42832</v>
      </c>
      <c r="D481">
        <v>1532653504</v>
      </c>
      <c r="E481">
        <v>191817</v>
      </c>
      <c r="F481">
        <v>76</v>
      </c>
      <c r="G481">
        <v>1799935129</v>
      </c>
      <c r="H481">
        <v>15452150</v>
      </c>
      <c r="I481">
        <v>500970525</v>
      </c>
      <c r="J481">
        <v>147</v>
      </c>
      <c r="K481">
        <v>38</v>
      </c>
      <c r="L481">
        <v>0</v>
      </c>
      <c r="M481" t="s">
        <v>6371</v>
      </c>
    </row>
    <row r="482" spans="1:13">
      <c r="A482" t="s">
        <v>1192</v>
      </c>
      <c r="B482" t="s">
        <v>1193</v>
      </c>
      <c r="C482">
        <v>44309</v>
      </c>
      <c r="D482">
        <v>647496971</v>
      </c>
      <c r="E482">
        <v>72494</v>
      </c>
      <c r="F482">
        <v>71</v>
      </c>
      <c r="G482">
        <v>895962908</v>
      </c>
      <c r="H482">
        <v>7617641</v>
      </c>
      <c r="I482">
        <v>396552302</v>
      </c>
      <c r="J482">
        <v>63</v>
      </c>
      <c r="K482">
        <v>144</v>
      </c>
      <c r="L482">
        <v>0</v>
      </c>
      <c r="M482" t="s">
        <v>6370</v>
      </c>
    </row>
    <row r="483" spans="1:13">
      <c r="A483" t="s">
        <v>1198</v>
      </c>
      <c r="B483" t="s">
        <v>1199</v>
      </c>
      <c r="C483">
        <v>45323</v>
      </c>
      <c r="D483">
        <v>128833634</v>
      </c>
      <c r="E483">
        <v>6815</v>
      </c>
      <c r="F483">
        <v>79</v>
      </c>
      <c r="G483">
        <v>114263622</v>
      </c>
      <c r="H483">
        <v>572164</v>
      </c>
      <c r="I483">
        <v>31395017</v>
      </c>
      <c r="J483">
        <v>10</v>
      </c>
      <c r="K483">
        <v>75</v>
      </c>
      <c r="L483">
        <v>1</v>
      </c>
      <c r="M483" t="s">
        <v>6370</v>
      </c>
    </row>
    <row r="484" spans="1:13">
      <c r="A484" t="s">
        <v>1202</v>
      </c>
      <c r="B484" t="s">
        <v>81</v>
      </c>
      <c r="C484">
        <v>45359</v>
      </c>
      <c r="D484">
        <v>175336290</v>
      </c>
      <c r="E484">
        <v>8386</v>
      </c>
      <c r="F484">
        <v>80</v>
      </c>
      <c r="G484">
        <v>44458370</v>
      </c>
      <c r="H484">
        <v>1448800</v>
      </c>
      <c r="I484">
        <v>3842071</v>
      </c>
      <c r="J484">
        <v>46</v>
      </c>
      <c r="K484">
        <v>18</v>
      </c>
      <c r="L484">
        <v>1</v>
      </c>
      <c r="M484" t="s">
        <v>6370</v>
      </c>
    </row>
    <row r="485" spans="1:13">
      <c r="A485" t="s">
        <v>1204</v>
      </c>
      <c r="B485" t="s">
        <v>642</v>
      </c>
      <c r="C485">
        <v>44932</v>
      </c>
      <c r="D485">
        <v>406141247</v>
      </c>
      <c r="E485">
        <v>67235</v>
      </c>
      <c r="F485">
        <v>70</v>
      </c>
      <c r="G485">
        <v>91367578</v>
      </c>
      <c r="H485">
        <v>707830</v>
      </c>
      <c r="I485">
        <v>588640576</v>
      </c>
      <c r="J485">
        <v>93</v>
      </c>
      <c r="K485">
        <v>498</v>
      </c>
      <c r="L485">
        <v>0</v>
      </c>
      <c r="M485" t="s">
        <v>6370</v>
      </c>
    </row>
    <row r="486" spans="1:13">
      <c r="A486" t="s">
        <v>1205</v>
      </c>
      <c r="B486" t="s">
        <v>1206</v>
      </c>
      <c r="C486">
        <v>44960</v>
      </c>
      <c r="D486">
        <v>18637452</v>
      </c>
      <c r="E486">
        <v>6915</v>
      </c>
      <c r="F486">
        <v>45</v>
      </c>
      <c r="G486">
        <v>6534668</v>
      </c>
      <c r="H486">
        <v>116631</v>
      </c>
      <c r="I486">
        <v>3179523129</v>
      </c>
      <c r="J486">
        <v>2</v>
      </c>
      <c r="K486">
        <v>51</v>
      </c>
      <c r="L486">
        <v>1</v>
      </c>
      <c r="M486" t="s">
        <v>6370</v>
      </c>
    </row>
    <row r="487" spans="1:13">
      <c r="A487" t="s">
        <v>1208</v>
      </c>
      <c r="B487" t="s">
        <v>371</v>
      </c>
      <c r="C487">
        <v>44684</v>
      </c>
      <c r="D487">
        <v>315680664</v>
      </c>
      <c r="E487">
        <v>50632</v>
      </c>
      <c r="F487">
        <v>69</v>
      </c>
      <c r="G487">
        <v>317472115</v>
      </c>
      <c r="H487">
        <v>2373170</v>
      </c>
      <c r="I487">
        <v>424398738</v>
      </c>
      <c r="J487">
        <v>48</v>
      </c>
      <c r="K487">
        <v>421</v>
      </c>
      <c r="L487">
        <v>0</v>
      </c>
      <c r="M487" t="s">
        <v>6370</v>
      </c>
    </row>
    <row r="488" spans="1:13">
      <c r="A488" t="s">
        <v>1209</v>
      </c>
      <c r="B488" t="s">
        <v>1210</v>
      </c>
      <c r="C488">
        <v>44463</v>
      </c>
      <c r="D488">
        <v>324162855</v>
      </c>
      <c r="E488">
        <v>53099</v>
      </c>
      <c r="F488">
        <v>61</v>
      </c>
      <c r="G488">
        <v>60970543</v>
      </c>
      <c r="H488">
        <v>695638</v>
      </c>
      <c r="I488">
        <v>994551093</v>
      </c>
      <c r="J488">
        <v>66</v>
      </c>
      <c r="K488">
        <v>3758</v>
      </c>
      <c r="L488">
        <v>1</v>
      </c>
      <c r="M488" t="s">
        <v>6370</v>
      </c>
    </row>
    <row r="489" spans="1:13">
      <c r="A489" t="s">
        <v>1211</v>
      </c>
      <c r="B489" t="s">
        <v>47</v>
      </c>
      <c r="C489">
        <v>43651</v>
      </c>
      <c r="D489">
        <v>1263989128</v>
      </c>
      <c r="E489">
        <v>156671</v>
      </c>
      <c r="F489">
        <v>72</v>
      </c>
      <c r="G489">
        <v>795828166</v>
      </c>
      <c r="H489">
        <v>8115938</v>
      </c>
      <c r="I489">
        <v>78005488</v>
      </c>
      <c r="J489">
        <v>128</v>
      </c>
      <c r="K489">
        <v>394</v>
      </c>
      <c r="L489">
        <v>1</v>
      </c>
      <c r="M489" t="s">
        <v>6371</v>
      </c>
    </row>
    <row r="490" spans="1:13">
      <c r="A490" t="s">
        <v>1212</v>
      </c>
      <c r="B490" t="s">
        <v>1174</v>
      </c>
      <c r="C490">
        <v>42514</v>
      </c>
      <c r="D490">
        <v>1369299352</v>
      </c>
      <c r="E490">
        <v>169370</v>
      </c>
      <c r="F490">
        <v>71</v>
      </c>
      <c r="G490">
        <v>815137609</v>
      </c>
      <c r="H490">
        <v>5138837</v>
      </c>
      <c r="I490">
        <v>77860109</v>
      </c>
      <c r="J490">
        <v>188</v>
      </c>
      <c r="K490">
        <v>119</v>
      </c>
      <c r="L490">
        <v>0</v>
      </c>
      <c r="M490" t="s">
        <v>6371</v>
      </c>
    </row>
    <row r="491" spans="1:13">
      <c r="A491" t="s">
        <v>1215</v>
      </c>
      <c r="B491" t="s">
        <v>637</v>
      </c>
      <c r="C491">
        <v>45226</v>
      </c>
      <c r="D491">
        <v>279667395</v>
      </c>
      <c r="E491">
        <v>23583</v>
      </c>
      <c r="F491">
        <v>78</v>
      </c>
      <c r="G491">
        <v>93707680</v>
      </c>
      <c r="H491">
        <v>1139367</v>
      </c>
      <c r="I491">
        <v>1178951518</v>
      </c>
      <c r="J491">
        <v>29</v>
      </c>
      <c r="K491">
        <v>79</v>
      </c>
      <c r="L491">
        <v>0</v>
      </c>
      <c r="M491" t="s">
        <v>6370</v>
      </c>
    </row>
    <row r="492" spans="1:13">
      <c r="A492" t="s">
        <v>1216</v>
      </c>
      <c r="B492" t="s">
        <v>1217</v>
      </c>
      <c r="C492">
        <v>44095</v>
      </c>
      <c r="D492">
        <v>568823269</v>
      </c>
      <c r="E492">
        <v>54968</v>
      </c>
      <c r="F492">
        <v>64</v>
      </c>
      <c r="G492">
        <v>1094129734</v>
      </c>
      <c r="H492">
        <v>7637000</v>
      </c>
      <c r="I492">
        <v>835046287</v>
      </c>
      <c r="J492">
        <v>112</v>
      </c>
      <c r="K492">
        <v>73</v>
      </c>
      <c r="L492">
        <v>0</v>
      </c>
      <c r="M492" t="s">
        <v>6371</v>
      </c>
    </row>
    <row r="493" spans="1:13">
      <c r="A493" t="s">
        <v>1218</v>
      </c>
      <c r="B493" t="s">
        <v>1219</v>
      </c>
      <c r="C493">
        <v>45023</v>
      </c>
      <c r="D493">
        <v>432988420</v>
      </c>
      <c r="E493">
        <v>32294</v>
      </c>
      <c r="F493">
        <v>67</v>
      </c>
      <c r="G493">
        <v>194658217</v>
      </c>
      <c r="H493">
        <v>1261625</v>
      </c>
      <c r="I493">
        <v>750998497</v>
      </c>
      <c r="J493">
        <v>35</v>
      </c>
      <c r="K493">
        <v>31</v>
      </c>
      <c r="L493">
        <v>0</v>
      </c>
      <c r="M493" t="s">
        <v>6370</v>
      </c>
    </row>
    <row r="494" spans="1:13">
      <c r="A494" t="s">
        <v>1220</v>
      </c>
      <c r="B494" t="s">
        <v>295</v>
      </c>
      <c r="C494">
        <v>43280</v>
      </c>
      <c r="D494">
        <v>1389607643</v>
      </c>
      <c r="E494">
        <v>179820</v>
      </c>
      <c r="F494">
        <v>68</v>
      </c>
      <c r="G494">
        <v>749282095</v>
      </c>
      <c r="H494">
        <v>9464140</v>
      </c>
      <c r="I494">
        <v>521014819</v>
      </c>
      <c r="J494">
        <v>144</v>
      </c>
      <c r="K494">
        <v>396</v>
      </c>
      <c r="L494">
        <v>1</v>
      </c>
      <c r="M494" t="s">
        <v>6371</v>
      </c>
    </row>
    <row r="495" spans="1:13">
      <c r="A495" t="s">
        <v>1225</v>
      </c>
      <c r="B495" t="s">
        <v>1226</v>
      </c>
      <c r="C495">
        <v>43245</v>
      </c>
      <c r="D495">
        <v>1709991997</v>
      </c>
      <c r="E495">
        <v>187053</v>
      </c>
      <c r="F495">
        <v>80</v>
      </c>
      <c r="G495">
        <v>1447964376</v>
      </c>
      <c r="H495">
        <v>19917766</v>
      </c>
      <c r="I495">
        <v>2833687729</v>
      </c>
      <c r="J495">
        <v>1</v>
      </c>
      <c r="K495">
        <v>132</v>
      </c>
      <c r="L495">
        <v>0</v>
      </c>
      <c r="M495" t="s">
        <v>6371</v>
      </c>
    </row>
    <row r="496" spans="1:13">
      <c r="A496" t="s">
        <v>1227</v>
      </c>
      <c r="B496" t="s">
        <v>1228</v>
      </c>
      <c r="C496">
        <v>43196</v>
      </c>
      <c r="D496">
        <v>85068645</v>
      </c>
      <c r="E496">
        <v>23747</v>
      </c>
      <c r="F496">
        <v>52</v>
      </c>
      <c r="G496">
        <v>1615682416</v>
      </c>
      <c r="H496">
        <v>16097448</v>
      </c>
      <c r="I496">
        <v>6274917849</v>
      </c>
      <c r="J496">
        <v>11</v>
      </c>
      <c r="K496">
        <v>6</v>
      </c>
      <c r="L496">
        <v>0</v>
      </c>
      <c r="M496" t="s">
        <v>6371</v>
      </c>
    </row>
    <row r="497" spans="1:13">
      <c r="A497" t="s">
        <v>1231</v>
      </c>
      <c r="B497" t="s">
        <v>1232</v>
      </c>
      <c r="C497">
        <v>44603</v>
      </c>
      <c r="D497">
        <v>637836235</v>
      </c>
      <c r="E497">
        <v>96878</v>
      </c>
      <c r="F497">
        <v>68</v>
      </c>
      <c r="G497">
        <v>182917309</v>
      </c>
      <c r="H497">
        <v>3547237</v>
      </c>
      <c r="I497">
        <v>1955825500</v>
      </c>
      <c r="J497">
        <v>54</v>
      </c>
      <c r="K497">
        <v>2099</v>
      </c>
      <c r="L497">
        <v>1</v>
      </c>
      <c r="M497" t="s">
        <v>6370</v>
      </c>
    </row>
    <row r="498" spans="1:13">
      <c r="A498" t="s">
        <v>1234</v>
      </c>
      <c r="B498" t="s">
        <v>1235</v>
      </c>
      <c r="C498">
        <v>43525</v>
      </c>
      <c r="D498">
        <v>1411856834</v>
      </c>
      <c r="E498">
        <v>128280</v>
      </c>
      <c r="F498">
        <v>73</v>
      </c>
      <c r="G498">
        <v>641158161</v>
      </c>
      <c r="H498">
        <v>9661491</v>
      </c>
      <c r="I498">
        <v>280853608</v>
      </c>
      <c r="J498">
        <v>214</v>
      </c>
      <c r="K498">
        <v>814</v>
      </c>
      <c r="L498">
        <v>0</v>
      </c>
      <c r="M498" t="s">
        <v>6371</v>
      </c>
    </row>
    <row r="499" spans="1:13">
      <c r="A499" t="s">
        <v>1236</v>
      </c>
      <c r="B499" t="s">
        <v>520</v>
      </c>
      <c r="C499">
        <v>42503</v>
      </c>
      <c r="D499">
        <v>561103984</v>
      </c>
      <c r="E499">
        <v>80971</v>
      </c>
      <c r="F499">
        <v>65</v>
      </c>
      <c r="G499">
        <v>3130843590</v>
      </c>
      <c r="H499">
        <v>32799797</v>
      </c>
      <c r="I499">
        <v>462245126</v>
      </c>
      <c r="J499">
        <v>48</v>
      </c>
      <c r="K499">
        <v>2</v>
      </c>
      <c r="L499">
        <v>0</v>
      </c>
      <c r="M499" t="s">
        <v>6371</v>
      </c>
    </row>
    <row r="500" spans="1:13">
      <c r="A500" t="s">
        <v>1239</v>
      </c>
      <c r="B500" t="s">
        <v>938</v>
      </c>
      <c r="C500">
        <v>44302</v>
      </c>
      <c r="D500">
        <v>817933263</v>
      </c>
      <c r="E500">
        <v>104636</v>
      </c>
      <c r="F500">
        <v>70</v>
      </c>
      <c r="G500">
        <v>658407296</v>
      </c>
      <c r="H500">
        <v>4541248</v>
      </c>
      <c r="I500">
        <v>870762842</v>
      </c>
      <c r="J500">
        <v>105</v>
      </c>
      <c r="K500">
        <v>244</v>
      </c>
      <c r="L500">
        <v>0</v>
      </c>
      <c r="M500" t="s">
        <v>6370</v>
      </c>
    </row>
    <row r="501" spans="1:13">
      <c r="A501" t="s">
        <v>1240</v>
      </c>
      <c r="B501" t="s">
        <v>1241</v>
      </c>
      <c r="C501">
        <v>44854</v>
      </c>
      <c r="D501">
        <v>193109326</v>
      </c>
      <c r="E501">
        <v>76047</v>
      </c>
      <c r="F501">
        <v>8</v>
      </c>
      <c r="G501">
        <v>64413388</v>
      </c>
      <c r="H501">
        <v>1143541</v>
      </c>
      <c r="I501">
        <v>1526856459</v>
      </c>
      <c r="J501">
        <v>17</v>
      </c>
      <c r="K501">
        <v>2704</v>
      </c>
      <c r="L501">
        <v>1</v>
      </c>
      <c r="M501" t="s">
        <v>6370</v>
      </c>
    </row>
    <row r="502" spans="1:13">
      <c r="A502" t="s">
        <v>1242</v>
      </c>
      <c r="B502" t="s">
        <v>1243</v>
      </c>
      <c r="C502">
        <v>43959</v>
      </c>
      <c r="D502">
        <v>472027271</v>
      </c>
      <c r="E502">
        <v>97766</v>
      </c>
      <c r="F502">
        <v>2</v>
      </c>
      <c r="G502">
        <v>1012949756</v>
      </c>
      <c r="H502">
        <v>14257151</v>
      </c>
      <c r="I502">
        <v>4846286370</v>
      </c>
      <c r="J502">
        <v>22</v>
      </c>
      <c r="K502">
        <v>57</v>
      </c>
      <c r="L502">
        <v>1</v>
      </c>
      <c r="M502" t="s">
        <v>6371</v>
      </c>
    </row>
    <row r="503" spans="1:13">
      <c r="A503" t="s">
        <v>1244</v>
      </c>
      <c r="B503" t="s">
        <v>51</v>
      </c>
      <c r="C503">
        <v>45429</v>
      </c>
      <c r="D503">
        <v>66101468</v>
      </c>
      <c r="E503">
        <v>3693</v>
      </c>
      <c r="F503">
        <v>84</v>
      </c>
      <c r="G503">
        <v>4252419</v>
      </c>
      <c r="H503">
        <v>117031</v>
      </c>
      <c r="I503">
        <v>11200000</v>
      </c>
      <c r="J503">
        <v>45</v>
      </c>
      <c r="K503">
        <v>16</v>
      </c>
      <c r="L503">
        <v>0</v>
      </c>
      <c r="M503" t="s">
        <v>6370</v>
      </c>
    </row>
    <row r="504" spans="1:13">
      <c r="A504" t="s">
        <v>1247</v>
      </c>
      <c r="B504" t="s">
        <v>777</v>
      </c>
      <c r="C504">
        <v>44580</v>
      </c>
      <c r="D504">
        <v>593554969</v>
      </c>
      <c r="E504">
        <v>84288</v>
      </c>
      <c r="F504">
        <v>67</v>
      </c>
      <c r="G504">
        <v>284499511</v>
      </c>
      <c r="H504">
        <v>3909648</v>
      </c>
      <c r="I504">
        <v>4729678365</v>
      </c>
      <c r="J504">
        <v>98</v>
      </c>
      <c r="K504">
        <v>866</v>
      </c>
      <c r="L504">
        <v>0</v>
      </c>
      <c r="M504" t="s">
        <v>6370</v>
      </c>
    </row>
    <row r="505" spans="1:13">
      <c r="A505" t="s">
        <v>1250</v>
      </c>
      <c r="B505" t="s">
        <v>449</v>
      </c>
      <c r="C505">
        <v>44169</v>
      </c>
      <c r="D505">
        <v>368017246</v>
      </c>
      <c r="E505">
        <v>105732</v>
      </c>
      <c r="F505">
        <v>67</v>
      </c>
      <c r="G505">
        <v>227182263</v>
      </c>
      <c r="H505">
        <v>1554044</v>
      </c>
      <c r="I505">
        <v>198936453</v>
      </c>
      <c r="J505">
        <v>57</v>
      </c>
      <c r="K505">
        <v>372</v>
      </c>
      <c r="L505">
        <v>1</v>
      </c>
      <c r="M505" t="s">
        <v>6371</v>
      </c>
    </row>
    <row r="506" spans="1:13">
      <c r="A506" t="s">
        <v>1251</v>
      </c>
      <c r="B506" t="s">
        <v>51</v>
      </c>
      <c r="C506">
        <v>43390</v>
      </c>
      <c r="D506">
        <v>1845938685</v>
      </c>
      <c r="E506">
        <v>186633</v>
      </c>
      <c r="F506">
        <v>79</v>
      </c>
      <c r="G506">
        <v>931398498</v>
      </c>
      <c r="H506">
        <v>13775924</v>
      </c>
      <c r="I506">
        <v>1349258289</v>
      </c>
      <c r="J506">
        <v>163</v>
      </c>
      <c r="K506">
        <v>55</v>
      </c>
      <c r="L506">
        <v>0</v>
      </c>
      <c r="M506" t="s">
        <v>6371</v>
      </c>
    </row>
    <row r="507" spans="1:13">
      <c r="A507" t="s">
        <v>1253</v>
      </c>
      <c r="B507" t="s">
        <v>141</v>
      </c>
      <c r="C507">
        <v>44687</v>
      </c>
      <c r="D507">
        <v>725076772</v>
      </c>
      <c r="E507">
        <v>83311</v>
      </c>
      <c r="F507">
        <v>72</v>
      </c>
      <c r="G507">
        <v>296661885</v>
      </c>
      <c r="H507">
        <v>2150658</v>
      </c>
      <c r="I507">
        <v>3014389754</v>
      </c>
      <c r="J507">
        <v>51</v>
      </c>
      <c r="K507">
        <v>150</v>
      </c>
      <c r="L507">
        <v>0</v>
      </c>
      <c r="M507" t="s">
        <v>6370</v>
      </c>
    </row>
    <row r="508" spans="1:13">
      <c r="A508" t="s">
        <v>1256</v>
      </c>
      <c r="B508" t="s">
        <v>1257</v>
      </c>
      <c r="C508">
        <v>44331</v>
      </c>
      <c r="D508">
        <v>1089328286</v>
      </c>
      <c r="E508">
        <v>200016</v>
      </c>
      <c r="F508">
        <v>77</v>
      </c>
      <c r="G508">
        <v>256738121</v>
      </c>
      <c r="H508">
        <v>4601685</v>
      </c>
      <c r="I508">
        <v>2110692</v>
      </c>
      <c r="J508">
        <v>25</v>
      </c>
      <c r="K508">
        <v>453</v>
      </c>
      <c r="L508">
        <v>0</v>
      </c>
      <c r="M508" t="s">
        <v>6370</v>
      </c>
    </row>
    <row r="509" spans="1:13">
      <c r="A509" t="s">
        <v>1258</v>
      </c>
      <c r="B509" t="s">
        <v>459</v>
      </c>
      <c r="C509">
        <v>44379</v>
      </c>
      <c r="D509">
        <v>484375103</v>
      </c>
      <c r="E509">
        <v>133279</v>
      </c>
      <c r="F509">
        <v>61</v>
      </c>
      <c r="G509">
        <v>218975838</v>
      </c>
      <c r="H509">
        <v>3159820</v>
      </c>
      <c r="I509">
        <v>6219918723</v>
      </c>
      <c r="J509">
        <v>131</v>
      </c>
      <c r="K509">
        <v>795</v>
      </c>
      <c r="L509">
        <v>0</v>
      </c>
      <c r="M509" t="s">
        <v>6370</v>
      </c>
    </row>
    <row r="510" spans="1:13">
      <c r="A510" t="s">
        <v>1259</v>
      </c>
      <c r="B510" t="s">
        <v>1260</v>
      </c>
      <c r="C510">
        <v>44610</v>
      </c>
      <c r="D510">
        <v>414104069</v>
      </c>
      <c r="E510">
        <v>33044</v>
      </c>
      <c r="F510">
        <v>67</v>
      </c>
      <c r="G510">
        <v>665626745</v>
      </c>
      <c r="H510">
        <v>2889082</v>
      </c>
      <c r="I510">
        <v>2953043191</v>
      </c>
      <c r="J510">
        <v>18</v>
      </c>
      <c r="K510">
        <v>361</v>
      </c>
      <c r="L510">
        <v>0</v>
      </c>
      <c r="M510" t="s">
        <v>6370</v>
      </c>
    </row>
    <row r="511" spans="1:13">
      <c r="A511" t="s">
        <v>1273</v>
      </c>
      <c r="B511" t="s">
        <v>912</v>
      </c>
      <c r="C511">
        <v>42397</v>
      </c>
      <c r="D511">
        <v>1399521364</v>
      </c>
      <c r="E511">
        <v>144823</v>
      </c>
      <c r="F511">
        <v>73</v>
      </c>
      <c r="G511">
        <v>1662063771</v>
      </c>
      <c r="H511">
        <v>10770107</v>
      </c>
      <c r="I511">
        <v>36448419</v>
      </c>
      <c r="J511">
        <v>432</v>
      </c>
      <c r="K511">
        <v>104</v>
      </c>
      <c r="L511">
        <v>1</v>
      </c>
      <c r="M511" t="s">
        <v>6371</v>
      </c>
    </row>
    <row r="512" spans="1:13">
      <c r="A512" t="s">
        <v>1274</v>
      </c>
      <c r="B512" t="s">
        <v>332</v>
      </c>
      <c r="C512">
        <v>44750</v>
      </c>
      <c r="D512">
        <v>724772954</v>
      </c>
      <c r="E512">
        <v>76821</v>
      </c>
      <c r="F512">
        <v>76</v>
      </c>
      <c r="G512">
        <v>395704504</v>
      </c>
      <c r="H512">
        <v>1556356</v>
      </c>
      <c r="I512">
        <v>237386912</v>
      </c>
      <c r="J512">
        <v>59</v>
      </c>
      <c r="K512">
        <v>239</v>
      </c>
      <c r="L512">
        <v>1</v>
      </c>
      <c r="M512" t="s">
        <v>6370</v>
      </c>
    </row>
    <row r="513" spans="1:13">
      <c r="A513" t="s">
        <v>1276</v>
      </c>
      <c r="B513" t="s">
        <v>449</v>
      </c>
      <c r="C513">
        <v>43840</v>
      </c>
      <c r="D513">
        <v>444934033</v>
      </c>
      <c r="E513">
        <v>141088</v>
      </c>
      <c r="F513">
        <v>66</v>
      </c>
      <c r="G513">
        <v>411628542</v>
      </c>
      <c r="H513">
        <v>2868681</v>
      </c>
      <c r="I513">
        <v>238372502</v>
      </c>
      <c r="J513">
        <v>63</v>
      </c>
      <c r="K513">
        <v>37</v>
      </c>
      <c r="L513">
        <v>1</v>
      </c>
      <c r="M513" t="s">
        <v>6371</v>
      </c>
    </row>
    <row r="514" spans="1:13">
      <c r="A514" t="s">
        <v>1277</v>
      </c>
      <c r="B514" t="s">
        <v>1278</v>
      </c>
      <c r="C514">
        <v>43556</v>
      </c>
      <c r="D514">
        <v>173526912</v>
      </c>
      <c r="E514">
        <v>28272</v>
      </c>
      <c r="F514">
        <v>46</v>
      </c>
      <c r="G514">
        <v>102774513</v>
      </c>
      <c r="H514">
        <v>1300907</v>
      </c>
      <c r="I514">
        <v>6653535769</v>
      </c>
      <c r="J514">
        <v>20</v>
      </c>
      <c r="K514">
        <v>46</v>
      </c>
      <c r="L514">
        <v>1</v>
      </c>
      <c r="M514" t="s">
        <v>6371</v>
      </c>
    </row>
    <row r="515" spans="1:13">
      <c r="A515" t="s">
        <v>1279</v>
      </c>
      <c r="B515" t="s">
        <v>1280</v>
      </c>
      <c r="C515">
        <v>42958</v>
      </c>
      <c r="D515">
        <v>1382191196</v>
      </c>
      <c r="E515">
        <v>119969</v>
      </c>
      <c r="F515">
        <v>66</v>
      </c>
      <c r="G515">
        <v>1318325154</v>
      </c>
      <c r="H515">
        <v>6888667</v>
      </c>
      <c r="I515">
        <v>260253261</v>
      </c>
      <c r="J515">
        <v>5</v>
      </c>
      <c r="K515">
        <v>652</v>
      </c>
      <c r="L515">
        <v>0</v>
      </c>
      <c r="M515" t="s">
        <v>6371</v>
      </c>
    </row>
    <row r="516" spans="1:13">
      <c r="A516" t="s">
        <v>1281</v>
      </c>
      <c r="B516" t="s">
        <v>148</v>
      </c>
      <c r="C516">
        <v>44190</v>
      </c>
      <c r="D516">
        <v>1105805922</v>
      </c>
      <c r="E516">
        <v>164541</v>
      </c>
      <c r="F516">
        <v>77</v>
      </c>
      <c r="G516">
        <v>295872840</v>
      </c>
      <c r="H516">
        <v>2947859</v>
      </c>
      <c r="I516">
        <v>920329965</v>
      </c>
      <c r="J516">
        <v>231</v>
      </c>
      <c r="K516">
        <v>266</v>
      </c>
      <c r="L516">
        <v>1</v>
      </c>
      <c r="M516" t="s">
        <v>6371</v>
      </c>
    </row>
    <row r="517" spans="1:13">
      <c r="A517" t="s">
        <v>1282</v>
      </c>
      <c r="B517" t="s">
        <v>520</v>
      </c>
      <c r="C517">
        <v>44314</v>
      </c>
      <c r="D517">
        <v>844630935</v>
      </c>
      <c r="E517">
        <v>94185</v>
      </c>
      <c r="F517">
        <v>74</v>
      </c>
      <c r="G517">
        <v>269892715</v>
      </c>
      <c r="H517">
        <v>2020373</v>
      </c>
      <c r="I517">
        <v>182430905</v>
      </c>
      <c r="J517">
        <v>147</v>
      </c>
      <c r="K517">
        <v>940</v>
      </c>
      <c r="L517">
        <v>0</v>
      </c>
      <c r="M517" t="s">
        <v>6370</v>
      </c>
    </row>
    <row r="518" spans="1:13">
      <c r="A518" t="s">
        <v>1283</v>
      </c>
      <c r="B518" t="s">
        <v>1284</v>
      </c>
      <c r="C518">
        <v>43202</v>
      </c>
      <c r="D518">
        <v>1790579305</v>
      </c>
      <c r="E518">
        <v>180069</v>
      </c>
      <c r="F518">
        <v>76</v>
      </c>
      <c r="G518">
        <v>792369989</v>
      </c>
      <c r="H518">
        <v>7627895</v>
      </c>
      <c r="I518">
        <v>81167209</v>
      </c>
      <c r="J518">
        <v>148</v>
      </c>
      <c r="K518">
        <v>164</v>
      </c>
      <c r="L518">
        <v>0</v>
      </c>
      <c r="M518" t="s">
        <v>6371</v>
      </c>
    </row>
    <row r="519" spans="1:13">
      <c r="A519" t="s">
        <v>1285</v>
      </c>
      <c r="B519" t="s">
        <v>1286</v>
      </c>
      <c r="C519">
        <v>40909</v>
      </c>
      <c r="D519">
        <v>2916412507</v>
      </c>
      <c r="E519">
        <v>415650</v>
      </c>
      <c r="F519">
        <v>85</v>
      </c>
      <c r="G519">
        <v>1648485745</v>
      </c>
      <c r="H519">
        <v>18338729</v>
      </c>
      <c r="I519">
        <v>2911383718</v>
      </c>
      <c r="J519">
        <v>189</v>
      </c>
      <c r="K519">
        <v>39</v>
      </c>
      <c r="L519">
        <v>0</v>
      </c>
      <c r="M519" t="s">
        <v>6371</v>
      </c>
    </row>
    <row r="520" spans="1:13">
      <c r="A520" t="s">
        <v>1290</v>
      </c>
      <c r="B520" t="s">
        <v>1291</v>
      </c>
      <c r="C520">
        <v>43343</v>
      </c>
      <c r="D520">
        <v>634493511</v>
      </c>
      <c r="E520">
        <v>89559</v>
      </c>
      <c r="F520">
        <v>66</v>
      </c>
      <c r="G520">
        <v>325005278</v>
      </c>
      <c r="H520">
        <v>4709406</v>
      </c>
      <c r="I520">
        <v>6459413096</v>
      </c>
      <c r="J520">
        <v>48</v>
      </c>
      <c r="K520">
        <v>43</v>
      </c>
      <c r="L520">
        <v>0</v>
      </c>
      <c r="M520" t="s">
        <v>6371</v>
      </c>
    </row>
    <row r="521" spans="1:13">
      <c r="A521" t="s">
        <v>1292</v>
      </c>
      <c r="B521" t="s">
        <v>336</v>
      </c>
      <c r="C521">
        <v>42846</v>
      </c>
      <c r="D521">
        <v>932817713</v>
      </c>
      <c r="E521">
        <v>73487</v>
      </c>
      <c r="F521">
        <v>68</v>
      </c>
      <c r="G521">
        <v>2349558424</v>
      </c>
      <c r="H521">
        <v>9318868</v>
      </c>
      <c r="I521">
        <v>177718441</v>
      </c>
      <c r="J521">
        <v>100</v>
      </c>
      <c r="K521">
        <v>122</v>
      </c>
      <c r="L521">
        <v>0</v>
      </c>
      <c r="M521" t="s">
        <v>6371</v>
      </c>
    </row>
    <row r="522" spans="1:13">
      <c r="A522" t="s">
        <v>1295</v>
      </c>
      <c r="B522" t="s">
        <v>1296</v>
      </c>
      <c r="C522">
        <v>43923</v>
      </c>
      <c r="D522">
        <v>468900803</v>
      </c>
      <c r="E522">
        <v>62750</v>
      </c>
      <c r="F522">
        <v>60</v>
      </c>
      <c r="G522">
        <v>1137550621</v>
      </c>
      <c r="H522">
        <v>7566148</v>
      </c>
      <c r="I522">
        <v>1052766873</v>
      </c>
      <c r="J522">
        <v>29</v>
      </c>
      <c r="K522">
        <v>31</v>
      </c>
      <c r="L522">
        <v>0</v>
      </c>
      <c r="M522" t="s">
        <v>6371</v>
      </c>
    </row>
    <row r="523" spans="1:13">
      <c r="A523" t="s">
        <v>1299</v>
      </c>
      <c r="B523" t="s">
        <v>1300</v>
      </c>
      <c r="C523">
        <v>43942</v>
      </c>
      <c r="D523">
        <v>730440576</v>
      </c>
      <c r="E523">
        <v>115574</v>
      </c>
      <c r="F523">
        <v>67</v>
      </c>
      <c r="G523">
        <v>199161217</v>
      </c>
      <c r="H523">
        <v>2037639</v>
      </c>
      <c r="I523">
        <v>3194124847</v>
      </c>
      <c r="J523">
        <v>62</v>
      </c>
      <c r="K523">
        <v>90</v>
      </c>
      <c r="L523">
        <v>0</v>
      </c>
      <c r="M523" t="s">
        <v>6371</v>
      </c>
    </row>
    <row r="524" spans="1:13">
      <c r="A524" t="s">
        <v>1301</v>
      </c>
      <c r="B524" t="s">
        <v>127</v>
      </c>
      <c r="C524">
        <v>42691</v>
      </c>
      <c r="D524">
        <v>1749088490</v>
      </c>
      <c r="E524">
        <v>193568</v>
      </c>
      <c r="F524">
        <v>72</v>
      </c>
      <c r="G524">
        <v>1489647996</v>
      </c>
      <c r="H524">
        <v>7616181</v>
      </c>
      <c r="I524">
        <v>36437</v>
      </c>
      <c r="J524">
        <v>298</v>
      </c>
      <c r="K524">
        <v>212</v>
      </c>
      <c r="L524">
        <v>0</v>
      </c>
      <c r="M524" t="s">
        <v>6371</v>
      </c>
    </row>
    <row r="525" spans="1:13">
      <c r="A525" t="s">
        <v>1304</v>
      </c>
      <c r="B525" t="s">
        <v>1305</v>
      </c>
      <c r="C525">
        <v>44021</v>
      </c>
      <c r="D525">
        <v>391856304</v>
      </c>
      <c r="E525">
        <v>68311</v>
      </c>
      <c r="F525">
        <v>58</v>
      </c>
      <c r="G525">
        <v>1040938222</v>
      </c>
      <c r="H525">
        <v>8443453</v>
      </c>
      <c r="I525">
        <v>1423789944</v>
      </c>
      <c r="J525">
        <v>73</v>
      </c>
      <c r="K525">
        <v>309</v>
      </c>
      <c r="L525">
        <v>0</v>
      </c>
      <c r="M525" t="s">
        <v>6371</v>
      </c>
    </row>
    <row r="526" spans="1:13">
      <c r="A526" t="s">
        <v>1306</v>
      </c>
      <c r="B526" t="s">
        <v>1307</v>
      </c>
      <c r="C526">
        <v>42572</v>
      </c>
      <c r="D526">
        <v>1013083048</v>
      </c>
      <c r="E526">
        <v>170367</v>
      </c>
      <c r="F526">
        <v>74</v>
      </c>
      <c r="G526">
        <v>1900272147</v>
      </c>
      <c r="H526">
        <v>12302869</v>
      </c>
      <c r="I526">
        <v>1070508080</v>
      </c>
      <c r="J526">
        <v>197</v>
      </c>
      <c r="K526">
        <v>138</v>
      </c>
      <c r="L526">
        <v>0</v>
      </c>
      <c r="M526" t="s">
        <v>6371</v>
      </c>
    </row>
    <row r="527" spans="1:13">
      <c r="A527" t="s">
        <v>1313</v>
      </c>
      <c r="B527" t="s">
        <v>1314</v>
      </c>
      <c r="C527">
        <v>45232</v>
      </c>
      <c r="D527">
        <v>184441175</v>
      </c>
      <c r="E527">
        <v>17845</v>
      </c>
      <c r="F527">
        <v>73</v>
      </c>
      <c r="G527">
        <v>109532952</v>
      </c>
      <c r="H527">
        <v>635058</v>
      </c>
      <c r="I527">
        <v>529217516</v>
      </c>
      <c r="J527">
        <v>55</v>
      </c>
      <c r="K527">
        <v>1320</v>
      </c>
      <c r="L527">
        <v>0</v>
      </c>
      <c r="M527" t="s">
        <v>6370</v>
      </c>
    </row>
    <row r="528" spans="1:13">
      <c r="A528" t="s">
        <v>1319</v>
      </c>
      <c r="B528" t="s">
        <v>1320</v>
      </c>
      <c r="C528">
        <v>45383</v>
      </c>
      <c r="D528">
        <v>75894056</v>
      </c>
      <c r="E528">
        <v>2524</v>
      </c>
      <c r="F528">
        <v>84</v>
      </c>
      <c r="G528">
        <v>70842688</v>
      </c>
      <c r="H528">
        <v>1388774</v>
      </c>
      <c r="I528">
        <v>59546295</v>
      </c>
      <c r="J528">
        <v>9</v>
      </c>
      <c r="K528">
        <v>52</v>
      </c>
      <c r="L528">
        <v>0</v>
      </c>
      <c r="M528" t="s">
        <v>6370</v>
      </c>
    </row>
    <row r="529" spans="1:13">
      <c r="A529" t="s">
        <v>1325</v>
      </c>
      <c r="B529" t="s">
        <v>1326</v>
      </c>
      <c r="C529">
        <v>43489</v>
      </c>
      <c r="D529">
        <v>1285518117</v>
      </c>
      <c r="E529">
        <v>221749</v>
      </c>
      <c r="F529">
        <v>74</v>
      </c>
      <c r="G529">
        <v>606135388</v>
      </c>
      <c r="H529">
        <v>5429579</v>
      </c>
      <c r="I529">
        <v>72297780</v>
      </c>
      <c r="J529">
        <v>119</v>
      </c>
      <c r="K529">
        <v>92</v>
      </c>
      <c r="L529">
        <v>1</v>
      </c>
      <c r="M529" t="s">
        <v>6371</v>
      </c>
    </row>
    <row r="530" spans="1:13">
      <c r="A530" t="s">
        <v>1327</v>
      </c>
      <c r="B530" t="s">
        <v>1328</v>
      </c>
      <c r="C530">
        <v>44505</v>
      </c>
      <c r="D530">
        <v>274647899</v>
      </c>
      <c r="E530">
        <v>96137</v>
      </c>
      <c r="F530">
        <v>60</v>
      </c>
      <c r="G530">
        <v>64640927</v>
      </c>
      <c r="H530">
        <v>776716</v>
      </c>
      <c r="I530">
        <v>7062611890</v>
      </c>
      <c r="J530">
        <v>22</v>
      </c>
      <c r="K530">
        <v>2397</v>
      </c>
      <c r="L530">
        <v>1</v>
      </c>
      <c r="M530" t="s">
        <v>6370</v>
      </c>
    </row>
    <row r="531" spans="1:13">
      <c r="A531" t="s">
        <v>1329</v>
      </c>
      <c r="B531" t="s">
        <v>1330</v>
      </c>
      <c r="C531">
        <v>44351</v>
      </c>
      <c r="D531">
        <v>328697441</v>
      </c>
      <c r="E531">
        <v>56746</v>
      </c>
      <c r="F531">
        <v>66</v>
      </c>
      <c r="G531">
        <v>174775864</v>
      </c>
      <c r="H531">
        <v>1192058</v>
      </c>
      <c r="I531">
        <v>2074178281</v>
      </c>
      <c r="J531">
        <v>53</v>
      </c>
      <c r="K531">
        <v>1089</v>
      </c>
      <c r="L531">
        <v>0</v>
      </c>
      <c r="M531" t="s">
        <v>6370</v>
      </c>
    </row>
    <row r="532" spans="1:13">
      <c r="A532" t="s">
        <v>1333</v>
      </c>
      <c r="B532" t="s">
        <v>170</v>
      </c>
      <c r="C532">
        <v>45121</v>
      </c>
      <c r="D532">
        <v>240161044</v>
      </c>
      <c r="E532">
        <v>22270</v>
      </c>
      <c r="F532">
        <v>64</v>
      </c>
      <c r="G532">
        <v>164645464</v>
      </c>
      <c r="H532">
        <v>1308408</v>
      </c>
      <c r="I532">
        <v>257922639</v>
      </c>
      <c r="J532">
        <v>40</v>
      </c>
      <c r="K532">
        <v>572</v>
      </c>
      <c r="L532">
        <v>0</v>
      </c>
      <c r="M532" t="s">
        <v>6370</v>
      </c>
    </row>
    <row r="533" spans="1:13">
      <c r="A533" t="s">
        <v>1334</v>
      </c>
      <c r="B533" t="s">
        <v>382</v>
      </c>
      <c r="C533">
        <v>44449</v>
      </c>
      <c r="D533">
        <v>502655066</v>
      </c>
      <c r="E533">
        <v>33286</v>
      </c>
      <c r="F533">
        <v>73</v>
      </c>
      <c r="G533">
        <v>900358198</v>
      </c>
      <c r="H533">
        <v>23155453</v>
      </c>
      <c r="I533">
        <v>1612602199</v>
      </c>
      <c r="J533">
        <v>19</v>
      </c>
      <c r="K533">
        <v>134</v>
      </c>
      <c r="L533">
        <v>0</v>
      </c>
      <c r="M533" t="s">
        <v>6370</v>
      </c>
    </row>
    <row r="534" spans="1:13">
      <c r="A534" t="s">
        <v>1336</v>
      </c>
      <c r="B534" t="s">
        <v>200</v>
      </c>
      <c r="C534">
        <v>45099</v>
      </c>
      <c r="D534">
        <v>246224964</v>
      </c>
      <c r="E534">
        <v>23436</v>
      </c>
      <c r="F534">
        <v>73</v>
      </c>
      <c r="G534">
        <v>147798315</v>
      </c>
      <c r="H534">
        <v>492303</v>
      </c>
      <c r="I534">
        <v>278318607</v>
      </c>
      <c r="J534">
        <v>22</v>
      </c>
      <c r="K534">
        <v>1</v>
      </c>
      <c r="L534">
        <v>1</v>
      </c>
      <c r="M534" t="s">
        <v>6370</v>
      </c>
    </row>
    <row r="535" spans="1:13">
      <c r="A535" t="s">
        <v>1337</v>
      </c>
      <c r="B535" t="s">
        <v>892</v>
      </c>
      <c r="C535">
        <v>45182</v>
      </c>
      <c r="D535">
        <v>105947434</v>
      </c>
      <c r="E535">
        <v>11648</v>
      </c>
      <c r="F535">
        <v>6</v>
      </c>
      <c r="G535">
        <v>27707323</v>
      </c>
      <c r="H535">
        <v>325476</v>
      </c>
      <c r="I535">
        <v>12855128</v>
      </c>
      <c r="J535">
        <v>55</v>
      </c>
      <c r="K535">
        <v>172</v>
      </c>
      <c r="L535">
        <v>0</v>
      </c>
      <c r="M535" t="s">
        <v>6370</v>
      </c>
    </row>
    <row r="536" spans="1:13">
      <c r="A536" t="s">
        <v>1343</v>
      </c>
      <c r="B536" t="s">
        <v>233</v>
      </c>
      <c r="C536">
        <v>40909</v>
      </c>
      <c r="D536">
        <v>2270796677</v>
      </c>
      <c r="E536">
        <v>263640</v>
      </c>
      <c r="F536">
        <v>80</v>
      </c>
      <c r="G536">
        <v>1738647396</v>
      </c>
      <c r="H536">
        <v>12375429</v>
      </c>
      <c r="I536">
        <v>296361891</v>
      </c>
      <c r="J536">
        <v>70</v>
      </c>
      <c r="K536">
        <v>465</v>
      </c>
      <c r="L536">
        <v>0</v>
      </c>
      <c r="M536" t="s">
        <v>6371</v>
      </c>
    </row>
    <row r="537" spans="1:13">
      <c r="A537" t="s">
        <v>1344</v>
      </c>
      <c r="B537" t="s">
        <v>1345</v>
      </c>
      <c r="C537">
        <v>43784</v>
      </c>
      <c r="D537">
        <v>738407486</v>
      </c>
      <c r="E537">
        <v>111662</v>
      </c>
      <c r="F537">
        <v>62</v>
      </c>
      <c r="G537">
        <v>363250356</v>
      </c>
      <c r="H537">
        <v>4622840</v>
      </c>
      <c r="I537">
        <v>3587729796</v>
      </c>
      <c r="J537">
        <v>153</v>
      </c>
      <c r="K537">
        <v>150</v>
      </c>
      <c r="L537">
        <v>1</v>
      </c>
      <c r="M537" t="s">
        <v>6371</v>
      </c>
    </row>
    <row r="538" spans="1:13">
      <c r="A538" t="s">
        <v>1348</v>
      </c>
      <c r="B538" t="s">
        <v>295</v>
      </c>
      <c r="C538">
        <v>44869</v>
      </c>
      <c r="D538">
        <v>356685934</v>
      </c>
      <c r="E538">
        <v>88034</v>
      </c>
      <c r="F538">
        <v>71</v>
      </c>
      <c r="G538">
        <v>56086730</v>
      </c>
      <c r="H538">
        <v>430375</v>
      </c>
      <c r="I538">
        <v>229937284</v>
      </c>
      <c r="J538">
        <v>37</v>
      </c>
      <c r="K538">
        <v>93</v>
      </c>
      <c r="L538">
        <v>1</v>
      </c>
      <c r="M538" t="s">
        <v>6370</v>
      </c>
    </row>
    <row r="539" spans="1:13">
      <c r="A539" t="s">
        <v>1349</v>
      </c>
      <c r="B539" t="s">
        <v>1350</v>
      </c>
      <c r="C539">
        <v>45057</v>
      </c>
      <c r="D539">
        <v>368256958</v>
      </c>
      <c r="E539">
        <v>53922</v>
      </c>
      <c r="F539">
        <v>73</v>
      </c>
      <c r="G539">
        <v>69276606</v>
      </c>
      <c r="H539">
        <v>1394619</v>
      </c>
      <c r="I539">
        <v>772554264</v>
      </c>
      <c r="J539">
        <v>27</v>
      </c>
      <c r="K539">
        <v>319</v>
      </c>
      <c r="L539">
        <v>0</v>
      </c>
      <c r="M539" t="s">
        <v>6370</v>
      </c>
    </row>
    <row r="540" spans="1:13">
      <c r="A540" t="s">
        <v>1351</v>
      </c>
      <c r="B540" t="s">
        <v>1352</v>
      </c>
      <c r="C540">
        <v>44664</v>
      </c>
      <c r="D540">
        <v>166161044</v>
      </c>
      <c r="E540">
        <v>22288</v>
      </c>
      <c r="F540">
        <v>61</v>
      </c>
      <c r="G540">
        <v>303569838</v>
      </c>
      <c r="H540">
        <v>5827005</v>
      </c>
      <c r="I540">
        <v>9393168416</v>
      </c>
      <c r="J540">
        <v>5</v>
      </c>
      <c r="K540">
        <v>32</v>
      </c>
      <c r="L540">
        <v>0</v>
      </c>
      <c r="M540" t="s">
        <v>6370</v>
      </c>
    </row>
    <row r="541" spans="1:13">
      <c r="A541" t="s">
        <v>1353</v>
      </c>
      <c r="B541" t="s">
        <v>127</v>
      </c>
      <c r="C541">
        <v>42065</v>
      </c>
      <c r="D541">
        <v>1747534539</v>
      </c>
      <c r="E541">
        <v>212829</v>
      </c>
      <c r="F541">
        <v>76</v>
      </c>
      <c r="G541">
        <v>1689190795</v>
      </c>
      <c r="H541">
        <v>8927108</v>
      </c>
      <c r="I541">
        <v>264572676</v>
      </c>
      <c r="J541">
        <v>433</v>
      </c>
      <c r="K541">
        <v>474</v>
      </c>
      <c r="L541">
        <v>0</v>
      </c>
      <c r="M541" t="s">
        <v>6371</v>
      </c>
    </row>
    <row r="542" spans="1:13">
      <c r="A542" t="s">
        <v>1356</v>
      </c>
      <c r="B542" t="s">
        <v>1357</v>
      </c>
      <c r="C542">
        <v>40544</v>
      </c>
      <c r="D542">
        <v>436722440</v>
      </c>
      <c r="E542">
        <v>107912</v>
      </c>
      <c r="F542">
        <v>62</v>
      </c>
      <c r="G542">
        <v>1193724016</v>
      </c>
      <c r="H542">
        <v>7130332</v>
      </c>
      <c r="I542">
        <v>927660445</v>
      </c>
      <c r="J542">
        <v>57</v>
      </c>
      <c r="K542">
        <v>258</v>
      </c>
      <c r="L542">
        <v>0</v>
      </c>
      <c r="M542" t="s">
        <v>6371</v>
      </c>
    </row>
    <row r="543" spans="1:13">
      <c r="A543" t="s">
        <v>1358</v>
      </c>
      <c r="B543" t="s">
        <v>30</v>
      </c>
      <c r="C543">
        <v>43851</v>
      </c>
      <c r="D543">
        <v>819779577</v>
      </c>
      <c r="E543">
        <v>161131</v>
      </c>
      <c r="F543">
        <v>70</v>
      </c>
      <c r="G543">
        <v>709454117</v>
      </c>
      <c r="H543">
        <v>7190778</v>
      </c>
      <c r="I543">
        <v>2078817404</v>
      </c>
      <c r="J543">
        <v>68</v>
      </c>
      <c r="K543">
        <v>430</v>
      </c>
      <c r="L543">
        <v>1</v>
      </c>
      <c r="M543" t="s">
        <v>6371</v>
      </c>
    </row>
    <row r="544" spans="1:13">
      <c r="A544" t="s">
        <v>1359</v>
      </c>
      <c r="B544" t="s">
        <v>576</v>
      </c>
      <c r="C544">
        <v>45197</v>
      </c>
      <c r="D544">
        <v>131938548</v>
      </c>
      <c r="E544">
        <v>5913</v>
      </c>
      <c r="F544">
        <v>75</v>
      </c>
      <c r="G544">
        <v>118669957</v>
      </c>
      <c r="H544">
        <v>649548</v>
      </c>
      <c r="I544">
        <v>589093596</v>
      </c>
      <c r="J544">
        <v>10</v>
      </c>
      <c r="K544">
        <v>108</v>
      </c>
      <c r="L544">
        <v>0</v>
      </c>
      <c r="M544" t="s">
        <v>6370</v>
      </c>
    </row>
    <row r="545" spans="1:13">
      <c r="A545" t="s">
        <v>1361</v>
      </c>
      <c r="B545" t="s">
        <v>1362</v>
      </c>
      <c r="C545">
        <v>44965</v>
      </c>
      <c r="D545">
        <v>544165928</v>
      </c>
      <c r="E545">
        <v>58646</v>
      </c>
      <c r="F545">
        <v>77</v>
      </c>
      <c r="G545">
        <v>200445038</v>
      </c>
      <c r="H545">
        <v>1806923</v>
      </c>
      <c r="I545">
        <v>1522432243</v>
      </c>
      <c r="J545">
        <v>15</v>
      </c>
      <c r="K545">
        <v>281</v>
      </c>
      <c r="L545">
        <v>0</v>
      </c>
      <c r="M545" t="s">
        <v>6370</v>
      </c>
    </row>
    <row r="546" spans="1:13">
      <c r="A546" t="s">
        <v>1363</v>
      </c>
      <c r="B546" t="s">
        <v>1044</v>
      </c>
      <c r="C546">
        <v>44680</v>
      </c>
      <c r="D546">
        <v>269491606</v>
      </c>
      <c r="E546">
        <v>26075</v>
      </c>
      <c r="F546">
        <v>66</v>
      </c>
      <c r="G546">
        <v>746615342</v>
      </c>
      <c r="H546">
        <v>15669340</v>
      </c>
      <c r="I546">
        <v>2432918911</v>
      </c>
      <c r="J546">
        <v>12</v>
      </c>
      <c r="K546">
        <v>243</v>
      </c>
      <c r="L546">
        <v>0</v>
      </c>
      <c r="M546" t="s">
        <v>6370</v>
      </c>
    </row>
    <row r="547" spans="1:13">
      <c r="A547" t="s">
        <v>1364</v>
      </c>
      <c r="B547" t="s">
        <v>61</v>
      </c>
      <c r="C547">
        <v>45400</v>
      </c>
      <c r="D547">
        <v>166168092</v>
      </c>
      <c r="E547">
        <v>5004</v>
      </c>
      <c r="F547">
        <v>78</v>
      </c>
      <c r="G547">
        <v>16423009</v>
      </c>
      <c r="H547">
        <v>244859</v>
      </c>
      <c r="I547">
        <v>7202700</v>
      </c>
      <c r="J547">
        <v>38</v>
      </c>
      <c r="K547">
        <v>54</v>
      </c>
      <c r="L547">
        <v>0</v>
      </c>
      <c r="M547" t="s">
        <v>6370</v>
      </c>
    </row>
    <row r="548" spans="1:13">
      <c r="A548" t="s">
        <v>1365</v>
      </c>
      <c r="B548" t="s">
        <v>688</v>
      </c>
      <c r="C548">
        <v>44841</v>
      </c>
      <c r="D548">
        <v>330593989</v>
      </c>
      <c r="E548">
        <v>54823</v>
      </c>
      <c r="F548">
        <v>67</v>
      </c>
      <c r="G548">
        <v>175561257</v>
      </c>
      <c r="H548">
        <v>2216240</v>
      </c>
      <c r="I548">
        <v>270169817</v>
      </c>
      <c r="J548">
        <v>53</v>
      </c>
      <c r="K548">
        <v>21</v>
      </c>
      <c r="L548">
        <v>0</v>
      </c>
      <c r="M548" t="s">
        <v>6370</v>
      </c>
    </row>
    <row r="549" spans="1:13">
      <c r="A549" t="s">
        <v>1366</v>
      </c>
      <c r="B549" t="s">
        <v>718</v>
      </c>
      <c r="C549">
        <v>45330</v>
      </c>
      <c r="D549">
        <v>89513100</v>
      </c>
      <c r="E549">
        <v>8049</v>
      </c>
      <c r="F549">
        <v>75</v>
      </c>
      <c r="G549">
        <v>38613955</v>
      </c>
      <c r="H549">
        <v>433335</v>
      </c>
      <c r="I549">
        <v>52800</v>
      </c>
      <c r="J549">
        <v>51</v>
      </c>
      <c r="K549">
        <v>1471</v>
      </c>
      <c r="L549">
        <v>1</v>
      </c>
      <c r="M549" t="s">
        <v>6370</v>
      </c>
    </row>
    <row r="550" spans="1:13">
      <c r="A550" t="s">
        <v>1367</v>
      </c>
      <c r="B550" t="s">
        <v>1368</v>
      </c>
      <c r="C550">
        <v>43210</v>
      </c>
      <c r="D550">
        <v>478494818</v>
      </c>
      <c r="E550">
        <v>53736</v>
      </c>
      <c r="F550">
        <v>67</v>
      </c>
      <c r="G550">
        <v>2148970473</v>
      </c>
      <c r="H550">
        <v>6055824</v>
      </c>
      <c r="I550">
        <v>145723405</v>
      </c>
      <c r="J550">
        <v>37</v>
      </c>
      <c r="K550">
        <v>24</v>
      </c>
      <c r="L550">
        <v>0</v>
      </c>
      <c r="M550" t="s">
        <v>6371</v>
      </c>
    </row>
    <row r="551" spans="1:13">
      <c r="A551" t="s">
        <v>1372</v>
      </c>
      <c r="B551" t="s">
        <v>1373</v>
      </c>
      <c r="C551">
        <v>44813</v>
      </c>
      <c r="D551">
        <v>157341967</v>
      </c>
      <c r="E551">
        <v>20612</v>
      </c>
      <c r="F551">
        <v>67</v>
      </c>
      <c r="G551">
        <v>98239826</v>
      </c>
      <c r="H551">
        <v>752054</v>
      </c>
      <c r="I551">
        <v>123462516</v>
      </c>
      <c r="J551">
        <v>59</v>
      </c>
      <c r="K551">
        <v>127</v>
      </c>
      <c r="L551">
        <v>0</v>
      </c>
      <c r="M551" t="s">
        <v>6370</v>
      </c>
    </row>
    <row r="552" spans="1:13">
      <c r="A552" t="s">
        <v>1374</v>
      </c>
      <c r="B552" t="s">
        <v>522</v>
      </c>
      <c r="C552">
        <v>45065</v>
      </c>
      <c r="D552">
        <v>497682165</v>
      </c>
      <c r="E552">
        <v>40368</v>
      </c>
      <c r="F552">
        <v>70</v>
      </c>
      <c r="G552">
        <v>143949357</v>
      </c>
      <c r="H552">
        <v>729741</v>
      </c>
      <c r="I552">
        <v>824220151</v>
      </c>
      <c r="J552">
        <v>48</v>
      </c>
      <c r="K552">
        <v>19</v>
      </c>
      <c r="L552">
        <v>1</v>
      </c>
      <c r="M552" t="s">
        <v>6370</v>
      </c>
    </row>
    <row r="553" spans="1:13">
      <c r="A553" t="s">
        <v>1376</v>
      </c>
      <c r="B553" t="s">
        <v>295</v>
      </c>
      <c r="C553">
        <v>44729</v>
      </c>
      <c r="D553">
        <v>253114498</v>
      </c>
      <c r="E553">
        <v>111173</v>
      </c>
      <c r="F553">
        <v>65</v>
      </c>
      <c r="G553">
        <v>42397563</v>
      </c>
      <c r="H553">
        <v>402014</v>
      </c>
      <c r="I553">
        <v>887138394</v>
      </c>
      <c r="J553">
        <v>57</v>
      </c>
      <c r="K553">
        <v>768</v>
      </c>
      <c r="L553">
        <v>0</v>
      </c>
      <c r="M553" t="s">
        <v>6370</v>
      </c>
    </row>
    <row r="554" spans="1:13">
      <c r="A554" t="s">
        <v>1377</v>
      </c>
      <c r="B554" t="s">
        <v>182</v>
      </c>
      <c r="C554">
        <v>43455</v>
      </c>
      <c r="D554">
        <v>949835159</v>
      </c>
      <c r="E554">
        <v>219301</v>
      </c>
      <c r="F554">
        <v>73</v>
      </c>
      <c r="G554">
        <v>905118647</v>
      </c>
      <c r="H554">
        <v>6526285</v>
      </c>
      <c r="I554">
        <v>131214658</v>
      </c>
      <c r="J554">
        <v>70</v>
      </c>
      <c r="K554">
        <v>82</v>
      </c>
      <c r="L554">
        <v>1</v>
      </c>
      <c r="M554" t="s">
        <v>6371</v>
      </c>
    </row>
    <row r="555" spans="1:13">
      <c r="A555" t="s">
        <v>1378</v>
      </c>
      <c r="B555" t="s">
        <v>1305</v>
      </c>
      <c r="C555">
        <v>43699</v>
      </c>
      <c r="D555">
        <v>711861577</v>
      </c>
      <c r="E555">
        <v>84611</v>
      </c>
      <c r="F555">
        <v>69</v>
      </c>
      <c r="G555">
        <v>1359220447</v>
      </c>
      <c r="H555">
        <v>4586141</v>
      </c>
      <c r="I555">
        <v>185706534</v>
      </c>
      <c r="J555">
        <v>133</v>
      </c>
      <c r="K555">
        <v>18</v>
      </c>
      <c r="L555">
        <v>0</v>
      </c>
      <c r="M555" t="s">
        <v>6371</v>
      </c>
    </row>
    <row r="556" spans="1:13">
      <c r="A556" t="s">
        <v>1382</v>
      </c>
      <c r="B556" t="s">
        <v>61</v>
      </c>
      <c r="C556">
        <v>42971</v>
      </c>
      <c r="D556">
        <v>1152346128</v>
      </c>
      <c r="E556">
        <v>93178</v>
      </c>
      <c r="F556">
        <v>75</v>
      </c>
      <c r="G556">
        <v>1922214505</v>
      </c>
      <c r="H556">
        <v>18201048</v>
      </c>
      <c r="I556">
        <v>563244716</v>
      </c>
      <c r="J556">
        <v>122</v>
      </c>
      <c r="K556">
        <v>113</v>
      </c>
      <c r="L556">
        <v>0</v>
      </c>
      <c r="M556" t="s">
        <v>6371</v>
      </c>
    </row>
    <row r="557" spans="1:13">
      <c r="A557" t="s">
        <v>1387</v>
      </c>
      <c r="B557" t="s">
        <v>1174</v>
      </c>
      <c r="C557">
        <v>42736</v>
      </c>
      <c r="D557">
        <v>1527159800</v>
      </c>
      <c r="E557">
        <v>187813</v>
      </c>
      <c r="F557">
        <v>76</v>
      </c>
      <c r="G557">
        <v>1270330281</v>
      </c>
      <c r="H557">
        <v>8766754</v>
      </c>
      <c r="I557">
        <v>216666194</v>
      </c>
      <c r="J557">
        <v>172</v>
      </c>
      <c r="K557">
        <v>185</v>
      </c>
      <c r="L557">
        <v>0</v>
      </c>
      <c r="M557" t="s">
        <v>6371</v>
      </c>
    </row>
    <row r="558" spans="1:13">
      <c r="A558" t="s">
        <v>1390</v>
      </c>
      <c r="B558" t="s">
        <v>449</v>
      </c>
      <c r="C558">
        <v>44658</v>
      </c>
      <c r="D558">
        <v>171118535</v>
      </c>
      <c r="E558">
        <v>81407</v>
      </c>
      <c r="F558">
        <v>57</v>
      </c>
      <c r="G558">
        <v>238335324</v>
      </c>
      <c r="H558">
        <v>1764954</v>
      </c>
      <c r="I558">
        <v>191118526</v>
      </c>
      <c r="J558">
        <v>52</v>
      </c>
      <c r="K558">
        <v>727</v>
      </c>
      <c r="L558">
        <v>1</v>
      </c>
      <c r="M558" t="s">
        <v>6370</v>
      </c>
    </row>
    <row r="559" spans="1:13">
      <c r="A559" t="s">
        <v>1393</v>
      </c>
      <c r="B559" t="s">
        <v>1394</v>
      </c>
      <c r="C559">
        <v>43798</v>
      </c>
      <c r="D559">
        <v>406132477</v>
      </c>
      <c r="E559">
        <v>110858</v>
      </c>
      <c r="F559">
        <v>66</v>
      </c>
      <c r="G559">
        <v>925222640</v>
      </c>
      <c r="H559">
        <v>7714435</v>
      </c>
      <c r="I559">
        <v>849243924</v>
      </c>
      <c r="J559">
        <v>92</v>
      </c>
      <c r="K559">
        <v>2</v>
      </c>
      <c r="L559">
        <v>0</v>
      </c>
      <c r="M559" t="s">
        <v>6371</v>
      </c>
    </row>
    <row r="560" spans="1:13">
      <c r="A560" t="s">
        <v>1400</v>
      </c>
      <c r="B560" t="s">
        <v>1401</v>
      </c>
      <c r="C560">
        <v>43777</v>
      </c>
      <c r="D560">
        <v>1295251940</v>
      </c>
      <c r="E560">
        <v>197036</v>
      </c>
      <c r="F560">
        <v>67</v>
      </c>
      <c r="G560">
        <v>380793694</v>
      </c>
      <c r="H560">
        <v>4733751</v>
      </c>
      <c r="I560">
        <v>1065757953</v>
      </c>
      <c r="J560">
        <v>121</v>
      </c>
      <c r="K560">
        <v>135</v>
      </c>
      <c r="L560">
        <v>1</v>
      </c>
      <c r="M560" t="s">
        <v>6371</v>
      </c>
    </row>
    <row r="561" spans="1:13">
      <c r="A561" t="s">
        <v>1402</v>
      </c>
      <c r="B561" t="s">
        <v>1403</v>
      </c>
      <c r="C561">
        <v>44694</v>
      </c>
      <c r="D561">
        <v>121214716</v>
      </c>
      <c r="E561">
        <v>37436</v>
      </c>
      <c r="F561">
        <v>56</v>
      </c>
      <c r="G561">
        <v>12801028</v>
      </c>
      <c r="H561">
        <v>183570</v>
      </c>
      <c r="I561">
        <v>14693507776</v>
      </c>
      <c r="J561">
        <v>13</v>
      </c>
      <c r="K561">
        <v>1168</v>
      </c>
      <c r="L561">
        <v>0</v>
      </c>
      <c r="M561" t="s">
        <v>6370</v>
      </c>
    </row>
    <row r="562" spans="1:13">
      <c r="A562" t="s">
        <v>1404</v>
      </c>
      <c r="B562" t="s">
        <v>952</v>
      </c>
      <c r="C562">
        <v>44958</v>
      </c>
      <c r="D562">
        <v>210712407</v>
      </c>
      <c r="E562">
        <v>24033</v>
      </c>
      <c r="F562">
        <v>65</v>
      </c>
      <c r="G562">
        <v>379884934</v>
      </c>
      <c r="H562">
        <v>1091380</v>
      </c>
      <c r="I562">
        <v>793158034</v>
      </c>
      <c r="J562">
        <v>8</v>
      </c>
      <c r="K562">
        <v>52</v>
      </c>
      <c r="L562">
        <v>0</v>
      </c>
      <c r="M562" t="s">
        <v>6370</v>
      </c>
    </row>
    <row r="563" spans="1:13">
      <c r="A563" t="s">
        <v>1405</v>
      </c>
      <c r="B563" t="s">
        <v>245</v>
      </c>
      <c r="C563">
        <v>41275</v>
      </c>
      <c r="D563">
        <v>2466006842</v>
      </c>
      <c r="E563">
        <v>343135</v>
      </c>
      <c r="F563">
        <v>81</v>
      </c>
      <c r="G563">
        <v>304524339</v>
      </c>
      <c r="H563">
        <v>2956756</v>
      </c>
      <c r="I563">
        <v>1245061983</v>
      </c>
      <c r="J563">
        <v>198</v>
      </c>
      <c r="K563">
        <v>170</v>
      </c>
      <c r="L563">
        <v>0</v>
      </c>
      <c r="M563" t="s">
        <v>6371</v>
      </c>
    </row>
    <row r="564" spans="1:13">
      <c r="A564" t="s">
        <v>1406</v>
      </c>
      <c r="B564" t="s">
        <v>1407</v>
      </c>
      <c r="C564">
        <v>44132</v>
      </c>
      <c r="D564">
        <v>242254880</v>
      </c>
      <c r="E564">
        <v>85783</v>
      </c>
      <c r="F564">
        <v>66</v>
      </c>
      <c r="G564">
        <v>418190794</v>
      </c>
      <c r="H564">
        <v>2892075</v>
      </c>
      <c r="I564">
        <v>617402549</v>
      </c>
      <c r="J564">
        <v>216</v>
      </c>
      <c r="K564">
        <v>561</v>
      </c>
      <c r="L564">
        <v>0</v>
      </c>
      <c r="M564" t="s">
        <v>6371</v>
      </c>
    </row>
    <row r="565" spans="1:13">
      <c r="A565" t="s">
        <v>1408</v>
      </c>
      <c r="B565" t="s">
        <v>68</v>
      </c>
      <c r="C565">
        <v>44372</v>
      </c>
      <c r="D565">
        <v>603196133</v>
      </c>
      <c r="E565">
        <v>97704</v>
      </c>
      <c r="F565">
        <v>68</v>
      </c>
      <c r="G565">
        <v>265715680</v>
      </c>
      <c r="H565">
        <v>3742969</v>
      </c>
      <c r="I565">
        <v>7709942104</v>
      </c>
      <c r="J565">
        <v>55</v>
      </c>
      <c r="K565">
        <v>4500</v>
      </c>
      <c r="L565">
        <v>1</v>
      </c>
      <c r="M565" t="s">
        <v>6370</v>
      </c>
    </row>
    <row r="566" spans="1:13">
      <c r="A566" t="s">
        <v>1415</v>
      </c>
      <c r="B566" t="s">
        <v>236</v>
      </c>
      <c r="C566">
        <v>45135</v>
      </c>
      <c r="D566">
        <v>196369387</v>
      </c>
      <c r="E566">
        <v>70723</v>
      </c>
      <c r="F566">
        <v>74</v>
      </c>
      <c r="G566">
        <v>26280803</v>
      </c>
      <c r="H566">
        <v>447983</v>
      </c>
      <c r="I566">
        <v>141407787</v>
      </c>
      <c r="J566">
        <v>14</v>
      </c>
      <c r="K566">
        <v>2</v>
      </c>
      <c r="L566">
        <v>1</v>
      </c>
      <c r="M566" t="s">
        <v>6370</v>
      </c>
    </row>
    <row r="567" spans="1:13">
      <c r="A567" t="s">
        <v>1419</v>
      </c>
      <c r="B567" t="s">
        <v>371</v>
      </c>
      <c r="C567">
        <v>43378</v>
      </c>
      <c r="D567">
        <v>1269760706</v>
      </c>
      <c r="E567">
        <v>137601</v>
      </c>
      <c r="F567">
        <v>76</v>
      </c>
      <c r="G567">
        <v>824308720</v>
      </c>
      <c r="H567">
        <v>4676578</v>
      </c>
      <c r="I567">
        <v>573562180</v>
      </c>
      <c r="J567">
        <v>88</v>
      </c>
      <c r="K567">
        <v>4</v>
      </c>
      <c r="L567">
        <v>0</v>
      </c>
      <c r="M567" t="s">
        <v>6371</v>
      </c>
    </row>
    <row r="568" spans="1:13">
      <c r="A568" t="s">
        <v>1423</v>
      </c>
      <c r="B568" t="s">
        <v>301</v>
      </c>
      <c r="C568">
        <v>44687</v>
      </c>
      <c r="D568">
        <v>340227841</v>
      </c>
      <c r="E568">
        <v>40523</v>
      </c>
      <c r="F568">
        <v>73</v>
      </c>
      <c r="G568">
        <v>137384524</v>
      </c>
      <c r="H568">
        <v>667467</v>
      </c>
      <c r="I568">
        <v>28018314</v>
      </c>
      <c r="J568">
        <v>18</v>
      </c>
      <c r="K568">
        <v>32</v>
      </c>
      <c r="L568">
        <v>1</v>
      </c>
      <c r="M568" t="s">
        <v>6370</v>
      </c>
    </row>
    <row r="569" spans="1:13">
      <c r="A569" t="s">
        <v>1424</v>
      </c>
      <c r="B569" t="s">
        <v>170</v>
      </c>
      <c r="C569">
        <v>44878</v>
      </c>
      <c r="D569">
        <v>443093379</v>
      </c>
      <c r="E569">
        <v>35995</v>
      </c>
      <c r="F569">
        <v>72</v>
      </c>
      <c r="G569">
        <v>273852759</v>
      </c>
      <c r="H569">
        <v>1690512</v>
      </c>
      <c r="I569">
        <v>600184949</v>
      </c>
      <c r="J569">
        <v>58</v>
      </c>
      <c r="K569">
        <v>125</v>
      </c>
      <c r="L569">
        <v>1</v>
      </c>
      <c r="M569" t="s">
        <v>6370</v>
      </c>
    </row>
    <row r="570" spans="1:13">
      <c r="A570" t="s">
        <v>1425</v>
      </c>
      <c r="B570" t="s">
        <v>1186</v>
      </c>
      <c r="C570">
        <v>44971</v>
      </c>
      <c r="D570">
        <v>358240136</v>
      </c>
      <c r="E570">
        <v>35751</v>
      </c>
      <c r="F570">
        <v>70</v>
      </c>
      <c r="G570">
        <v>216226939</v>
      </c>
      <c r="H570">
        <v>844073</v>
      </c>
      <c r="I570">
        <v>2253379250</v>
      </c>
      <c r="J570">
        <v>42</v>
      </c>
      <c r="K570">
        <v>317</v>
      </c>
      <c r="L570">
        <v>0</v>
      </c>
      <c r="M570" t="s">
        <v>6370</v>
      </c>
    </row>
    <row r="571" spans="1:13">
      <c r="A571" t="s">
        <v>1428</v>
      </c>
      <c r="B571" t="s">
        <v>747</v>
      </c>
      <c r="C571">
        <v>44813</v>
      </c>
      <c r="D571">
        <v>338097605</v>
      </c>
      <c r="E571">
        <v>85480</v>
      </c>
      <c r="F571">
        <v>73</v>
      </c>
      <c r="G571">
        <v>54214841</v>
      </c>
      <c r="H571">
        <v>680291</v>
      </c>
      <c r="I571">
        <v>117839587</v>
      </c>
      <c r="J571">
        <v>14</v>
      </c>
      <c r="K571">
        <v>37</v>
      </c>
      <c r="L571">
        <v>1</v>
      </c>
      <c r="M571" t="s">
        <v>6370</v>
      </c>
    </row>
    <row r="572" spans="1:13">
      <c r="A572" t="s">
        <v>1433</v>
      </c>
      <c r="B572" t="s">
        <v>336</v>
      </c>
      <c r="C572">
        <v>44385</v>
      </c>
      <c r="D572">
        <v>600199930</v>
      </c>
      <c r="E572">
        <v>66655</v>
      </c>
      <c r="F572">
        <v>64</v>
      </c>
      <c r="G572">
        <v>743954914</v>
      </c>
      <c r="H572">
        <v>2817472</v>
      </c>
      <c r="I572">
        <v>254681143</v>
      </c>
      <c r="J572">
        <v>95</v>
      </c>
      <c r="K572">
        <v>66</v>
      </c>
      <c r="L572">
        <v>0</v>
      </c>
      <c r="M572" t="s">
        <v>6370</v>
      </c>
    </row>
    <row r="573" spans="1:13">
      <c r="A573" t="s">
        <v>1437</v>
      </c>
      <c r="B573" t="s">
        <v>1438</v>
      </c>
      <c r="C573">
        <v>44049</v>
      </c>
      <c r="D573">
        <v>73468394</v>
      </c>
      <c r="E573">
        <v>23284</v>
      </c>
      <c r="F573">
        <v>51</v>
      </c>
      <c r="G573">
        <v>73136867</v>
      </c>
      <c r="H573">
        <v>889596</v>
      </c>
      <c r="I573">
        <v>2985601079</v>
      </c>
      <c r="J573">
        <v>11</v>
      </c>
      <c r="K573">
        <v>73</v>
      </c>
      <c r="L573">
        <v>1</v>
      </c>
      <c r="M573" t="s">
        <v>6371</v>
      </c>
    </row>
    <row r="574" spans="1:13">
      <c r="A574" t="s">
        <v>1439</v>
      </c>
      <c r="B574" t="s">
        <v>1440</v>
      </c>
      <c r="C574">
        <v>43441</v>
      </c>
      <c r="D574">
        <v>769061748</v>
      </c>
      <c r="E574">
        <v>136145</v>
      </c>
      <c r="F574">
        <v>73</v>
      </c>
      <c r="G574">
        <v>233288549</v>
      </c>
      <c r="H574">
        <v>2397744</v>
      </c>
      <c r="I574">
        <v>250645860</v>
      </c>
      <c r="J574">
        <v>49</v>
      </c>
      <c r="K574">
        <v>329</v>
      </c>
      <c r="L574">
        <v>1</v>
      </c>
      <c r="M574" t="s">
        <v>6371</v>
      </c>
    </row>
    <row r="575" spans="1:13">
      <c r="A575" t="s">
        <v>1441</v>
      </c>
      <c r="B575" t="s">
        <v>1442</v>
      </c>
      <c r="C575">
        <v>44820</v>
      </c>
      <c r="D575">
        <v>710784872</v>
      </c>
      <c r="E575">
        <v>64517</v>
      </c>
      <c r="F575">
        <v>90</v>
      </c>
      <c r="G575">
        <v>44322144</v>
      </c>
      <c r="H575">
        <v>594352</v>
      </c>
      <c r="I575">
        <v>1027806256</v>
      </c>
      <c r="J575">
        <v>149</v>
      </c>
      <c r="K575">
        <v>501</v>
      </c>
      <c r="L575">
        <v>0</v>
      </c>
      <c r="M575" t="s">
        <v>6370</v>
      </c>
    </row>
    <row r="576" spans="1:13">
      <c r="A576" t="s">
        <v>1443</v>
      </c>
      <c r="B576" t="s">
        <v>236</v>
      </c>
      <c r="C576">
        <v>45125</v>
      </c>
      <c r="D576">
        <v>285481590</v>
      </c>
      <c r="E576">
        <v>62715</v>
      </c>
      <c r="F576">
        <v>68</v>
      </c>
      <c r="G576">
        <v>40688228</v>
      </c>
      <c r="H576">
        <v>817018</v>
      </c>
      <c r="I576">
        <v>129035232</v>
      </c>
      <c r="J576">
        <v>46</v>
      </c>
      <c r="K576">
        <v>347</v>
      </c>
      <c r="L576">
        <v>1</v>
      </c>
      <c r="M576" t="s">
        <v>6370</v>
      </c>
    </row>
    <row r="577" spans="1:13">
      <c r="A577" t="s">
        <v>400</v>
      </c>
      <c r="B577" t="s">
        <v>444</v>
      </c>
      <c r="C577">
        <v>43874</v>
      </c>
      <c r="D577">
        <v>341742937</v>
      </c>
      <c r="E577">
        <v>53836</v>
      </c>
      <c r="F577">
        <v>58</v>
      </c>
      <c r="G577">
        <v>1281379386</v>
      </c>
      <c r="H577">
        <v>7138308</v>
      </c>
      <c r="I577">
        <v>650666266</v>
      </c>
      <c r="J577">
        <v>45</v>
      </c>
      <c r="K577">
        <v>117</v>
      </c>
      <c r="L577">
        <v>0</v>
      </c>
      <c r="M577" t="s">
        <v>6371</v>
      </c>
    </row>
    <row r="578" spans="1:13">
      <c r="A578" t="s">
        <v>1448</v>
      </c>
      <c r="B578" t="s">
        <v>258</v>
      </c>
      <c r="C578">
        <v>40179</v>
      </c>
      <c r="D578">
        <v>829352129</v>
      </c>
      <c r="E578">
        <v>159324</v>
      </c>
      <c r="F578">
        <v>61</v>
      </c>
      <c r="G578">
        <v>4062829308</v>
      </c>
      <c r="H578">
        <v>23606907</v>
      </c>
      <c r="I578">
        <v>5938511405</v>
      </c>
      <c r="J578">
        <v>109</v>
      </c>
      <c r="K578">
        <v>43</v>
      </c>
      <c r="L578">
        <v>0</v>
      </c>
      <c r="M578" t="s">
        <v>6371</v>
      </c>
    </row>
    <row r="579" spans="1:13">
      <c r="A579" t="s">
        <v>1451</v>
      </c>
      <c r="B579" t="s">
        <v>81</v>
      </c>
      <c r="C579">
        <v>43210</v>
      </c>
      <c r="D579">
        <v>1331371819</v>
      </c>
      <c r="E579">
        <v>100503</v>
      </c>
      <c r="F579">
        <v>71</v>
      </c>
      <c r="G579">
        <v>1426855223</v>
      </c>
      <c r="H579">
        <v>11706422</v>
      </c>
      <c r="I579">
        <v>219920452</v>
      </c>
      <c r="J579">
        <v>143</v>
      </c>
      <c r="K579">
        <v>280</v>
      </c>
      <c r="L579">
        <v>0</v>
      </c>
      <c r="M579" t="s">
        <v>6371</v>
      </c>
    </row>
    <row r="580" spans="1:13">
      <c r="A580" t="s">
        <v>1454</v>
      </c>
      <c r="B580" t="s">
        <v>340</v>
      </c>
      <c r="C580">
        <v>44061</v>
      </c>
      <c r="D580">
        <v>121391098</v>
      </c>
      <c r="E580">
        <v>28044</v>
      </c>
      <c r="F580">
        <v>54</v>
      </c>
      <c r="G580">
        <v>19099476</v>
      </c>
      <c r="H580">
        <v>465493</v>
      </c>
      <c r="I580">
        <v>1710758827</v>
      </c>
      <c r="J580">
        <v>24</v>
      </c>
      <c r="K580">
        <v>122</v>
      </c>
      <c r="L580">
        <v>0</v>
      </c>
      <c r="M580" t="s">
        <v>6371</v>
      </c>
    </row>
    <row r="581" spans="1:13">
      <c r="A581" t="s">
        <v>1461</v>
      </c>
      <c r="B581" t="s">
        <v>449</v>
      </c>
      <c r="C581">
        <v>43434</v>
      </c>
      <c r="D581">
        <v>652559944</v>
      </c>
      <c r="E581">
        <v>170734</v>
      </c>
      <c r="F581">
        <v>74</v>
      </c>
      <c r="G581">
        <v>317320682</v>
      </c>
      <c r="H581">
        <v>2195610</v>
      </c>
      <c r="I581">
        <v>62837382</v>
      </c>
      <c r="J581">
        <v>21</v>
      </c>
      <c r="K581">
        <v>1</v>
      </c>
      <c r="L581">
        <v>1</v>
      </c>
      <c r="M581" t="s">
        <v>6371</v>
      </c>
    </row>
    <row r="582" spans="1:13">
      <c r="A582" t="s">
        <v>1462</v>
      </c>
      <c r="B582" t="s">
        <v>1463</v>
      </c>
      <c r="C582">
        <v>45002</v>
      </c>
      <c r="D582">
        <v>142512477</v>
      </c>
      <c r="E582">
        <v>23828</v>
      </c>
      <c r="F582">
        <v>72</v>
      </c>
      <c r="G582">
        <v>56277759</v>
      </c>
      <c r="H582">
        <v>436896</v>
      </c>
      <c r="I582">
        <v>109014578</v>
      </c>
      <c r="J582">
        <v>14</v>
      </c>
      <c r="K582">
        <v>7</v>
      </c>
      <c r="L582">
        <v>0</v>
      </c>
      <c r="M582" t="s">
        <v>6370</v>
      </c>
    </row>
    <row r="583" spans="1:13">
      <c r="A583" t="s">
        <v>1466</v>
      </c>
      <c r="B583" t="s">
        <v>631</v>
      </c>
      <c r="C583">
        <v>41640</v>
      </c>
      <c r="D583">
        <v>1497564072</v>
      </c>
      <c r="E583">
        <v>255037</v>
      </c>
      <c r="F583">
        <v>81</v>
      </c>
      <c r="G583">
        <v>1989930606</v>
      </c>
      <c r="H583">
        <v>8740440</v>
      </c>
      <c r="I583">
        <v>1214191679</v>
      </c>
      <c r="J583">
        <v>225</v>
      </c>
      <c r="K583">
        <v>119</v>
      </c>
      <c r="L583">
        <v>0</v>
      </c>
      <c r="M583" t="s">
        <v>6371</v>
      </c>
    </row>
    <row r="584" spans="1:13">
      <c r="A584" t="s">
        <v>1467</v>
      </c>
      <c r="B584" t="s">
        <v>983</v>
      </c>
      <c r="C584">
        <v>43252</v>
      </c>
      <c r="D584">
        <v>1055558326</v>
      </c>
      <c r="E584">
        <v>208777</v>
      </c>
      <c r="F584">
        <v>72</v>
      </c>
      <c r="G584">
        <v>952644680</v>
      </c>
      <c r="H584">
        <v>8820105</v>
      </c>
      <c r="I584">
        <v>350694950</v>
      </c>
      <c r="J584">
        <v>18</v>
      </c>
      <c r="K584">
        <v>42</v>
      </c>
      <c r="L584">
        <v>1</v>
      </c>
      <c r="M584" t="s">
        <v>6371</v>
      </c>
    </row>
    <row r="585" spans="1:13">
      <c r="A585" t="s">
        <v>1468</v>
      </c>
      <c r="B585" t="s">
        <v>1469</v>
      </c>
      <c r="C585">
        <v>43056</v>
      </c>
      <c r="D585">
        <v>1042531612</v>
      </c>
      <c r="E585">
        <v>119883</v>
      </c>
      <c r="F585">
        <v>73</v>
      </c>
      <c r="G585">
        <v>1425188874</v>
      </c>
      <c r="H585">
        <v>10037251</v>
      </c>
      <c r="I585">
        <v>1930209423</v>
      </c>
      <c r="J585">
        <v>70</v>
      </c>
      <c r="K585">
        <v>8</v>
      </c>
      <c r="L585">
        <v>0</v>
      </c>
      <c r="M585" t="s">
        <v>6371</v>
      </c>
    </row>
    <row r="586" spans="1:13">
      <c r="A586" t="s">
        <v>1470</v>
      </c>
      <c r="B586" t="s">
        <v>233</v>
      </c>
      <c r="C586">
        <v>43410</v>
      </c>
      <c r="D586">
        <v>1056929910</v>
      </c>
      <c r="E586">
        <v>134812</v>
      </c>
      <c r="F586">
        <v>74</v>
      </c>
      <c r="G586">
        <v>908433462</v>
      </c>
      <c r="H586">
        <v>8291217</v>
      </c>
      <c r="I586">
        <v>2058078137</v>
      </c>
      <c r="J586">
        <v>54</v>
      </c>
      <c r="K586">
        <v>37</v>
      </c>
      <c r="L586">
        <v>0</v>
      </c>
      <c r="M586" t="s">
        <v>6371</v>
      </c>
    </row>
    <row r="587" spans="1:13">
      <c r="A587" t="s">
        <v>1473</v>
      </c>
      <c r="B587" t="s">
        <v>1474</v>
      </c>
      <c r="C587">
        <v>43748</v>
      </c>
      <c r="D587">
        <v>1474968552</v>
      </c>
      <c r="E587">
        <v>170595</v>
      </c>
      <c r="F587">
        <v>68</v>
      </c>
      <c r="G587">
        <v>473697535</v>
      </c>
      <c r="H587">
        <v>5439167</v>
      </c>
      <c r="I587">
        <v>4972391653</v>
      </c>
      <c r="J587">
        <v>154</v>
      </c>
      <c r="K587">
        <v>583</v>
      </c>
      <c r="L587">
        <v>1</v>
      </c>
      <c r="M587" t="s">
        <v>6371</v>
      </c>
    </row>
    <row r="588" spans="1:13">
      <c r="A588" t="s">
        <v>1475</v>
      </c>
      <c r="B588" t="s">
        <v>1430</v>
      </c>
      <c r="C588">
        <v>45156</v>
      </c>
      <c r="D588">
        <v>150073848</v>
      </c>
      <c r="E588">
        <v>12340</v>
      </c>
      <c r="F588">
        <v>71</v>
      </c>
      <c r="G588">
        <v>232389376</v>
      </c>
      <c r="H588">
        <v>1637844</v>
      </c>
      <c r="I588">
        <v>169068391</v>
      </c>
      <c r="J588">
        <v>17</v>
      </c>
      <c r="K588">
        <v>4</v>
      </c>
      <c r="L588">
        <v>0</v>
      </c>
      <c r="M588" t="s">
        <v>6370</v>
      </c>
    </row>
    <row r="589" spans="1:13">
      <c r="A589" t="s">
        <v>1476</v>
      </c>
      <c r="B589" t="s">
        <v>938</v>
      </c>
      <c r="C589">
        <v>44491</v>
      </c>
      <c r="D589">
        <v>641756842</v>
      </c>
      <c r="E589">
        <v>80542</v>
      </c>
      <c r="F589">
        <v>68</v>
      </c>
      <c r="G589">
        <v>558812868</v>
      </c>
      <c r="H589">
        <v>2887216</v>
      </c>
      <c r="I589">
        <v>855230861</v>
      </c>
      <c r="J589">
        <v>78</v>
      </c>
      <c r="K589">
        <v>875</v>
      </c>
      <c r="L589">
        <v>0</v>
      </c>
      <c r="M589" t="s">
        <v>6370</v>
      </c>
    </row>
    <row r="590" spans="1:13">
      <c r="A590" t="s">
        <v>1479</v>
      </c>
      <c r="B590" t="s">
        <v>1480</v>
      </c>
      <c r="C590">
        <v>44435</v>
      </c>
      <c r="D590">
        <v>786298066</v>
      </c>
      <c r="E590">
        <v>204148</v>
      </c>
      <c r="F590">
        <v>77</v>
      </c>
      <c r="G590">
        <v>63403993</v>
      </c>
      <c r="H590">
        <v>557514</v>
      </c>
      <c r="I590">
        <v>532021210</v>
      </c>
      <c r="J590">
        <v>62</v>
      </c>
      <c r="K590">
        <v>354</v>
      </c>
      <c r="L590">
        <v>1</v>
      </c>
      <c r="M590" t="s">
        <v>6370</v>
      </c>
    </row>
    <row r="591" spans="1:13">
      <c r="A591" t="s">
        <v>1482</v>
      </c>
      <c r="B591" t="s">
        <v>233</v>
      </c>
      <c r="C591">
        <v>42864</v>
      </c>
      <c r="D591">
        <v>1257258072</v>
      </c>
      <c r="E591">
        <v>156442</v>
      </c>
      <c r="F591">
        <v>76</v>
      </c>
      <c r="G591">
        <v>1192880501</v>
      </c>
      <c r="H591">
        <v>7815307</v>
      </c>
      <c r="I591">
        <v>340416328</v>
      </c>
      <c r="J591">
        <v>86</v>
      </c>
      <c r="K591">
        <v>260</v>
      </c>
      <c r="L591">
        <v>0</v>
      </c>
      <c r="M591" t="s">
        <v>6371</v>
      </c>
    </row>
    <row r="592" spans="1:13">
      <c r="A592" t="s">
        <v>1483</v>
      </c>
      <c r="B592" t="s">
        <v>1484</v>
      </c>
      <c r="C592">
        <v>44736</v>
      </c>
      <c r="D592">
        <v>296828933</v>
      </c>
      <c r="E592">
        <v>25748</v>
      </c>
      <c r="F592">
        <v>69</v>
      </c>
      <c r="G592">
        <v>407776018</v>
      </c>
      <c r="H592">
        <v>8669558</v>
      </c>
      <c r="I592">
        <v>5178604164</v>
      </c>
      <c r="J592">
        <v>18</v>
      </c>
      <c r="K592">
        <v>83</v>
      </c>
      <c r="L592">
        <v>0</v>
      </c>
      <c r="M592" t="s">
        <v>6370</v>
      </c>
    </row>
    <row r="593" spans="1:13">
      <c r="A593" t="s">
        <v>1487</v>
      </c>
      <c r="B593" t="s">
        <v>1488</v>
      </c>
      <c r="C593">
        <v>45092</v>
      </c>
      <c r="D593">
        <v>84655991</v>
      </c>
      <c r="E593">
        <v>13107</v>
      </c>
      <c r="F593">
        <v>69</v>
      </c>
      <c r="G593">
        <v>75076449</v>
      </c>
      <c r="H593">
        <v>510479</v>
      </c>
      <c r="I593">
        <v>382487197</v>
      </c>
      <c r="J593">
        <v>36</v>
      </c>
      <c r="K593">
        <v>89</v>
      </c>
      <c r="L593">
        <v>0</v>
      </c>
      <c r="M593" t="s">
        <v>6370</v>
      </c>
    </row>
    <row r="594" spans="1:13">
      <c r="A594" t="s">
        <v>1489</v>
      </c>
      <c r="B594" t="s">
        <v>1490</v>
      </c>
      <c r="C594">
        <v>45083</v>
      </c>
      <c r="D594">
        <v>242661037</v>
      </c>
      <c r="E594">
        <v>43999</v>
      </c>
      <c r="F594">
        <v>74</v>
      </c>
      <c r="G594">
        <v>51722759</v>
      </c>
      <c r="H594">
        <v>783780</v>
      </c>
      <c r="I594">
        <v>646143014</v>
      </c>
      <c r="J594">
        <v>5</v>
      </c>
      <c r="K594">
        <v>948</v>
      </c>
      <c r="L594">
        <v>1</v>
      </c>
      <c r="M594" t="s">
        <v>6370</v>
      </c>
    </row>
    <row r="595" spans="1:13">
      <c r="A595" t="s">
        <v>1491</v>
      </c>
      <c r="B595" t="s">
        <v>59</v>
      </c>
      <c r="C595">
        <v>43522</v>
      </c>
      <c r="D595">
        <v>317223968</v>
      </c>
      <c r="E595">
        <v>47247</v>
      </c>
      <c r="F595">
        <v>54</v>
      </c>
      <c r="G595">
        <v>1867482161</v>
      </c>
      <c r="H595">
        <v>5147665</v>
      </c>
      <c r="I595">
        <v>14034398</v>
      </c>
      <c r="J595">
        <v>21</v>
      </c>
      <c r="K595">
        <v>9</v>
      </c>
      <c r="L595">
        <v>1</v>
      </c>
      <c r="M595" t="s">
        <v>6371</v>
      </c>
    </row>
    <row r="596" spans="1:13">
      <c r="A596" t="s">
        <v>1492</v>
      </c>
      <c r="B596" t="s">
        <v>285</v>
      </c>
      <c r="C596">
        <v>44092</v>
      </c>
      <c r="D596">
        <v>787546548</v>
      </c>
      <c r="E596">
        <v>110389</v>
      </c>
      <c r="F596">
        <v>63</v>
      </c>
      <c r="G596">
        <v>396861382</v>
      </c>
      <c r="H596">
        <v>6241346</v>
      </c>
      <c r="I596">
        <v>561056269</v>
      </c>
      <c r="J596">
        <v>178</v>
      </c>
      <c r="K596">
        <v>339</v>
      </c>
      <c r="L596">
        <v>0</v>
      </c>
      <c r="M596" t="s">
        <v>6371</v>
      </c>
    </row>
    <row r="597" spans="1:13">
      <c r="A597" t="s">
        <v>1493</v>
      </c>
      <c r="B597" t="s">
        <v>1326</v>
      </c>
      <c r="C597">
        <v>41982</v>
      </c>
      <c r="D597">
        <v>2235160830</v>
      </c>
      <c r="E597">
        <v>403355</v>
      </c>
      <c r="F597">
        <v>81</v>
      </c>
      <c r="G597">
        <v>656310159</v>
      </c>
      <c r="H597">
        <v>4852226</v>
      </c>
      <c r="I597">
        <v>885273359</v>
      </c>
      <c r="J597">
        <v>115</v>
      </c>
      <c r="K597">
        <v>61</v>
      </c>
      <c r="L597">
        <v>1</v>
      </c>
      <c r="M597" t="s">
        <v>6371</v>
      </c>
    </row>
    <row r="598" spans="1:13">
      <c r="A598" t="s">
        <v>1494</v>
      </c>
      <c r="B598" t="s">
        <v>535</v>
      </c>
      <c r="C598">
        <v>42810</v>
      </c>
      <c r="D598">
        <v>1456894713</v>
      </c>
      <c r="E598">
        <v>141677</v>
      </c>
      <c r="F598">
        <v>71</v>
      </c>
      <c r="G598">
        <v>1523128022</v>
      </c>
      <c r="H598">
        <v>9966382</v>
      </c>
      <c r="I598">
        <v>386013926</v>
      </c>
      <c r="J598">
        <v>173</v>
      </c>
      <c r="K598">
        <v>17</v>
      </c>
      <c r="L598">
        <v>0</v>
      </c>
      <c r="M598" t="s">
        <v>6371</v>
      </c>
    </row>
    <row r="599" spans="1:13">
      <c r="A599" t="s">
        <v>1495</v>
      </c>
      <c r="B599" t="s">
        <v>371</v>
      </c>
      <c r="C599">
        <v>43973</v>
      </c>
      <c r="D599">
        <v>1060378159</v>
      </c>
      <c r="E599">
        <v>104647</v>
      </c>
      <c r="F599">
        <v>68</v>
      </c>
      <c r="G599">
        <v>514581598</v>
      </c>
      <c r="H599">
        <v>6465409</v>
      </c>
      <c r="I599">
        <v>538854965</v>
      </c>
      <c r="J599">
        <v>320</v>
      </c>
      <c r="K599">
        <v>438</v>
      </c>
      <c r="L599">
        <v>0</v>
      </c>
      <c r="M599" t="s">
        <v>6371</v>
      </c>
    </row>
    <row r="600" spans="1:13">
      <c r="A600">
        <v>0.44097222222222221</v>
      </c>
      <c r="B600" t="s">
        <v>642</v>
      </c>
      <c r="C600">
        <v>44868</v>
      </c>
      <c r="D600">
        <v>539802784</v>
      </c>
      <c r="E600">
        <v>82093</v>
      </c>
      <c r="F600">
        <v>74</v>
      </c>
      <c r="G600">
        <v>94379586</v>
      </c>
      <c r="H600">
        <v>652780</v>
      </c>
      <c r="I600">
        <v>119710596</v>
      </c>
      <c r="J600">
        <v>187</v>
      </c>
      <c r="K600">
        <v>265</v>
      </c>
      <c r="L600">
        <v>0</v>
      </c>
      <c r="M600" t="s">
        <v>6370</v>
      </c>
    </row>
    <row r="601" spans="1:13">
      <c r="A601" t="s">
        <v>1498</v>
      </c>
      <c r="B601" t="s">
        <v>47</v>
      </c>
      <c r="C601">
        <v>44505</v>
      </c>
      <c r="D601">
        <v>631789333</v>
      </c>
      <c r="E601">
        <v>99512</v>
      </c>
      <c r="F601">
        <v>65</v>
      </c>
      <c r="G601">
        <v>182180447</v>
      </c>
      <c r="H601">
        <v>1908939</v>
      </c>
      <c r="I601">
        <v>181078488</v>
      </c>
      <c r="J601">
        <v>89</v>
      </c>
      <c r="K601">
        <v>1005</v>
      </c>
      <c r="L601">
        <v>1</v>
      </c>
      <c r="M601" t="s">
        <v>6370</v>
      </c>
    </row>
    <row r="602" spans="1:13">
      <c r="A602" t="s">
        <v>1499</v>
      </c>
      <c r="B602" t="s">
        <v>1500</v>
      </c>
      <c r="C602">
        <v>40834</v>
      </c>
      <c r="D602">
        <v>1654956613</v>
      </c>
      <c r="E602">
        <v>177834</v>
      </c>
      <c r="F602">
        <v>77</v>
      </c>
      <c r="G602">
        <v>2989286684</v>
      </c>
      <c r="H602">
        <v>19870174</v>
      </c>
      <c r="I602">
        <v>8594414469</v>
      </c>
      <c r="J602">
        <v>94</v>
      </c>
      <c r="K602">
        <v>66</v>
      </c>
      <c r="L602">
        <v>0</v>
      </c>
      <c r="M602" t="s">
        <v>6371</v>
      </c>
    </row>
    <row r="603" spans="1:13">
      <c r="A603" t="s">
        <v>1501</v>
      </c>
      <c r="B603" t="s">
        <v>633</v>
      </c>
      <c r="C603">
        <v>43480</v>
      </c>
      <c r="D603">
        <v>759388276</v>
      </c>
      <c r="E603">
        <v>68502</v>
      </c>
      <c r="F603">
        <v>65</v>
      </c>
      <c r="G603">
        <v>1595484197</v>
      </c>
      <c r="H603">
        <v>8161642</v>
      </c>
      <c r="I603">
        <v>543804719</v>
      </c>
      <c r="J603">
        <v>40</v>
      </c>
      <c r="K603">
        <v>15</v>
      </c>
      <c r="L603">
        <v>0</v>
      </c>
      <c r="M603" t="s">
        <v>6371</v>
      </c>
    </row>
    <row r="604" spans="1:13">
      <c r="A604" t="s">
        <v>1504</v>
      </c>
      <c r="B604" t="s">
        <v>148</v>
      </c>
      <c r="C604">
        <v>44533</v>
      </c>
      <c r="D604">
        <v>456871037</v>
      </c>
      <c r="E604">
        <v>71261</v>
      </c>
      <c r="F604">
        <v>66</v>
      </c>
      <c r="G604">
        <v>142820854</v>
      </c>
      <c r="H604">
        <v>1393679</v>
      </c>
      <c r="I604">
        <v>1676387442</v>
      </c>
      <c r="J604">
        <v>105</v>
      </c>
      <c r="K604">
        <v>1324</v>
      </c>
      <c r="L604">
        <v>1</v>
      </c>
      <c r="M604" t="s">
        <v>6370</v>
      </c>
    </row>
    <row r="605" spans="1:13">
      <c r="A605" t="s">
        <v>1505</v>
      </c>
      <c r="B605" t="s">
        <v>47</v>
      </c>
      <c r="C605">
        <v>43217</v>
      </c>
      <c r="D605">
        <v>1953403531</v>
      </c>
      <c r="E605">
        <v>239092</v>
      </c>
      <c r="F605">
        <v>74</v>
      </c>
      <c r="G605">
        <v>48443287</v>
      </c>
      <c r="H605">
        <v>734538</v>
      </c>
      <c r="I605">
        <v>97061584</v>
      </c>
      <c r="J605">
        <v>144</v>
      </c>
      <c r="K605">
        <v>203</v>
      </c>
      <c r="L605">
        <v>1</v>
      </c>
      <c r="M605" t="s">
        <v>6371</v>
      </c>
    </row>
    <row r="606" spans="1:13">
      <c r="A606" t="s">
        <v>1506</v>
      </c>
      <c r="B606" t="s">
        <v>1507</v>
      </c>
      <c r="C606">
        <v>40909</v>
      </c>
      <c r="D606">
        <v>1394048309</v>
      </c>
      <c r="E606">
        <v>211162</v>
      </c>
      <c r="F606">
        <v>77</v>
      </c>
      <c r="G606">
        <v>2007334200</v>
      </c>
      <c r="H606">
        <v>12223928</v>
      </c>
      <c r="I606">
        <v>367016981</v>
      </c>
      <c r="J606">
        <v>222</v>
      </c>
      <c r="K606">
        <v>967</v>
      </c>
      <c r="L606">
        <v>0</v>
      </c>
      <c r="M606" t="s">
        <v>6371</v>
      </c>
    </row>
    <row r="607" spans="1:13">
      <c r="A607" t="s">
        <v>1510</v>
      </c>
      <c r="B607" t="s">
        <v>978</v>
      </c>
      <c r="C607">
        <v>43497</v>
      </c>
      <c r="D607">
        <v>995452298</v>
      </c>
      <c r="E607">
        <v>188608</v>
      </c>
      <c r="F607">
        <v>65</v>
      </c>
      <c r="G607">
        <v>464369299</v>
      </c>
      <c r="H607">
        <v>4586152</v>
      </c>
      <c r="I607">
        <v>1282810923</v>
      </c>
      <c r="J607">
        <v>255</v>
      </c>
      <c r="K607">
        <v>196</v>
      </c>
      <c r="L607">
        <v>0</v>
      </c>
      <c r="M607" t="s">
        <v>6371</v>
      </c>
    </row>
    <row r="608" spans="1:13">
      <c r="A608" t="s">
        <v>1515</v>
      </c>
      <c r="B608" t="s">
        <v>1046</v>
      </c>
      <c r="C608">
        <v>44306</v>
      </c>
      <c r="D608">
        <v>257167813</v>
      </c>
      <c r="E608">
        <v>38896</v>
      </c>
      <c r="F608">
        <v>55</v>
      </c>
      <c r="G608">
        <v>794011391</v>
      </c>
      <c r="H608">
        <v>4280865</v>
      </c>
      <c r="I608">
        <v>2167134347</v>
      </c>
      <c r="J608">
        <v>69</v>
      </c>
      <c r="K608">
        <v>176</v>
      </c>
      <c r="L608">
        <v>1</v>
      </c>
      <c r="M608" t="s">
        <v>6370</v>
      </c>
    </row>
    <row r="609" spans="1:13">
      <c r="A609" t="s">
        <v>1518</v>
      </c>
      <c r="B609" t="s">
        <v>163</v>
      </c>
      <c r="C609">
        <v>44679</v>
      </c>
      <c r="D609">
        <v>582023797</v>
      </c>
      <c r="E609">
        <v>48881</v>
      </c>
      <c r="F609">
        <v>70</v>
      </c>
      <c r="G609">
        <v>293059162</v>
      </c>
      <c r="H609">
        <v>1383526</v>
      </c>
      <c r="I609">
        <v>805988782</v>
      </c>
      <c r="J609">
        <v>26</v>
      </c>
      <c r="K609">
        <v>222</v>
      </c>
      <c r="L609">
        <v>0</v>
      </c>
      <c r="M609" t="s">
        <v>6370</v>
      </c>
    </row>
    <row r="610" spans="1:13">
      <c r="A610" t="s">
        <v>224</v>
      </c>
      <c r="B610" t="s">
        <v>1519</v>
      </c>
      <c r="C610">
        <v>43875</v>
      </c>
      <c r="D610">
        <v>27312761</v>
      </c>
      <c r="E610">
        <v>9048</v>
      </c>
      <c r="F610">
        <v>38</v>
      </c>
      <c r="G610">
        <v>3538161</v>
      </c>
      <c r="H610">
        <v>118805</v>
      </c>
      <c r="I610">
        <v>5979843010</v>
      </c>
      <c r="J610">
        <v>6</v>
      </c>
      <c r="K610">
        <v>239</v>
      </c>
      <c r="L610">
        <v>1</v>
      </c>
      <c r="M610" t="s">
        <v>6371</v>
      </c>
    </row>
    <row r="611" spans="1:13">
      <c r="A611" t="s">
        <v>1525</v>
      </c>
      <c r="B611" t="s">
        <v>1526</v>
      </c>
      <c r="C611">
        <v>44211</v>
      </c>
      <c r="D611">
        <v>721002104</v>
      </c>
      <c r="E611">
        <v>146298</v>
      </c>
      <c r="F611">
        <v>71</v>
      </c>
      <c r="G611">
        <v>118729044</v>
      </c>
      <c r="H611">
        <v>952700</v>
      </c>
      <c r="I611">
        <v>81735548</v>
      </c>
      <c r="J611">
        <v>201</v>
      </c>
      <c r="K611">
        <v>220</v>
      </c>
      <c r="L611">
        <v>0</v>
      </c>
      <c r="M611" t="s">
        <v>6370</v>
      </c>
    </row>
    <row r="612" spans="1:13">
      <c r="A612" t="s">
        <v>1529</v>
      </c>
      <c r="B612" t="s">
        <v>1530</v>
      </c>
      <c r="C612">
        <v>45422</v>
      </c>
      <c r="D612">
        <v>20538101</v>
      </c>
      <c r="E612">
        <v>3675</v>
      </c>
      <c r="F612">
        <v>74</v>
      </c>
      <c r="G612">
        <v>3575151</v>
      </c>
      <c r="H612">
        <v>101311</v>
      </c>
      <c r="I612">
        <v>108700</v>
      </c>
      <c r="J612">
        <v>23</v>
      </c>
      <c r="K612">
        <v>5</v>
      </c>
      <c r="L612">
        <v>1</v>
      </c>
      <c r="M612" t="s">
        <v>6370</v>
      </c>
    </row>
    <row r="613" spans="1:13">
      <c r="A613" t="s">
        <v>1531</v>
      </c>
      <c r="B613" t="s">
        <v>123</v>
      </c>
      <c r="C613">
        <v>41275</v>
      </c>
      <c r="D613">
        <v>2525355904</v>
      </c>
      <c r="E613">
        <v>208671</v>
      </c>
      <c r="F613">
        <v>77</v>
      </c>
      <c r="G613">
        <v>1884843329</v>
      </c>
      <c r="H613">
        <v>9916244</v>
      </c>
      <c r="I613">
        <v>4406781129</v>
      </c>
      <c r="J613">
        <v>249</v>
      </c>
      <c r="K613">
        <v>80</v>
      </c>
      <c r="L613">
        <v>0</v>
      </c>
      <c r="M613" t="s">
        <v>6371</v>
      </c>
    </row>
    <row r="614" spans="1:13">
      <c r="A614" t="s">
        <v>1535</v>
      </c>
      <c r="B614" t="s">
        <v>1536</v>
      </c>
      <c r="C614">
        <v>43147</v>
      </c>
      <c r="D614">
        <v>667508675</v>
      </c>
      <c r="E614">
        <v>78737</v>
      </c>
      <c r="F614">
        <v>61</v>
      </c>
      <c r="G614">
        <v>1001147152</v>
      </c>
      <c r="H614">
        <v>7847053</v>
      </c>
      <c r="I614">
        <v>8778203835</v>
      </c>
      <c r="J614">
        <v>97</v>
      </c>
      <c r="K614">
        <v>152</v>
      </c>
      <c r="L614">
        <v>0</v>
      </c>
      <c r="M614" t="s">
        <v>6371</v>
      </c>
    </row>
    <row r="615" spans="1:13">
      <c r="A615" t="s">
        <v>1540</v>
      </c>
      <c r="B615" t="s">
        <v>295</v>
      </c>
      <c r="C615">
        <v>44260</v>
      </c>
      <c r="D615">
        <v>793287638</v>
      </c>
      <c r="E615">
        <v>225513</v>
      </c>
      <c r="F615">
        <v>71</v>
      </c>
      <c r="G615">
        <v>104966782</v>
      </c>
      <c r="H615">
        <v>872923</v>
      </c>
      <c r="I615">
        <v>319496635</v>
      </c>
      <c r="J615">
        <v>130</v>
      </c>
      <c r="K615">
        <v>82</v>
      </c>
      <c r="L615">
        <v>1</v>
      </c>
      <c r="M615" t="s">
        <v>6370</v>
      </c>
    </row>
    <row r="616" spans="1:13">
      <c r="A616" t="s">
        <v>1543</v>
      </c>
      <c r="B616" t="s">
        <v>1544</v>
      </c>
      <c r="C616">
        <v>45002</v>
      </c>
      <c r="D616">
        <v>459282058</v>
      </c>
      <c r="E616">
        <v>67717</v>
      </c>
      <c r="F616">
        <v>72</v>
      </c>
      <c r="G616">
        <v>100210832</v>
      </c>
      <c r="H616">
        <v>673502</v>
      </c>
      <c r="I616">
        <v>147682062</v>
      </c>
      <c r="J616">
        <v>46</v>
      </c>
      <c r="K616">
        <v>102</v>
      </c>
      <c r="L616">
        <v>1</v>
      </c>
      <c r="M616" t="s">
        <v>6370</v>
      </c>
    </row>
    <row r="617" spans="1:13">
      <c r="A617" t="s">
        <v>1547</v>
      </c>
      <c r="B617" t="s">
        <v>1548</v>
      </c>
      <c r="C617">
        <v>44029</v>
      </c>
      <c r="D617">
        <v>670245273</v>
      </c>
      <c r="E617">
        <v>83819</v>
      </c>
      <c r="F617">
        <v>64</v>
      </c>
      <c r="G617">
        <v>537033479</v>
      </c>
      <c r="H617">
        <v>4862491</v>
      </c>
      <c r="I617">
        <v>1736930175</v>
      </c>
      <c r="J617">
        <v>58</v>
      </c>
      <c r="K617">
        <v>388</v>
      </c>
      <c r="L617">
        <v>0</v>
      </c>
      <c r="M617" t="s">
        <v>6371</v>
      </c>
    </row>
    <row r="618" spans="1:13">
      <c r="A618" t="s">
        <v>1550</v>
      </c>
      <c r="B618" t="s">
        <v>1551</v>
      </c>
      <c r="C618">
        <v>44316</v>
      </c>
      <c r="D618">
        <v>218431985</v>
      </c>
      <c r="E618">
        <v>56998</v>
      </c>
      <c r="F618">
        <v>61</v>
      </c>
      <c r="G618">
        <v>336505073</v>
      </c>
      <c r="H618">
        <v>3901948</v>
      </c>
      <c r="I618">
        <v>4731467896</v>
      </c>
      <c r="J618">
        <v>24</v>
      </c>
      <c r="K618">
        <v>98</v>
      </c>
      <c r="L618">
        <v>0</v>
      </c>
      <c r="M618" t="s">
        <v>6370</v>
      </c>
    </row>
    <row r="619" spans="1:13">
      <c r="A619" t="s">
        <v>1558</v>
      </c>
      <c r="B619" t="s">
        <v>718</v>
      </c>
      <c r="C619">
        <v>44827</v>
      </c>
      <c r="D619">
        <v>157806193</v>
      </c>
      <c r="E619">
        <v>27840</v>
      </c>
      <c r="F619">
        <v>64</v>
      </c>
      <c r="G619">
        <v>216925153</v>
      </c>
      <c r="H619">
        <v>1357039</v>
      </c>
      <c r="I619">
        <v>507673872</v>
      </c>
      <c r="J619">
        <v>41</v>
      </c>
      <c r="K619">
        <v>172</v>
      </c>
      <c r="L619">
        <v>1</v>
      </c>
      <c r="M619" t="s">
        <v>6370</v>
      </c>
    </row>
    <row r="620" spans="1:13">
      <c r="A620" t="s">
        <v>1559</v>
      </c>
      <c r="B620" t="s">
        <v>619</v>
      </c>
      <c r="C620">
        <v>42957</v>
      </c>
      <c r="D620">
        <v>846909112</v>
      </c>
      <c r="E620">
        <v>81897</v>
      </c>
      <c r="F620">
        <v>73</v>
      </c>
      <c r="G620">
        <v>2003507626</v>
      </c>
      <c r="H620">
        <v>8554387</v>
      </c>
      <c r="I620">
        <v>259122341</v>
      </c>
      <c r="J620">
        <v>50</v>
      </c>
      <c r="K620">
        <v>115</v>
      </c>
      <c r="L620">
        <v>0</v>
      </c>
      <c r="M620" t="s">
        <v>6371</v>
      </c>
    </row>
    <row r="621" spans="1:13">
      <c r="A621" t="s">
        <v>1566</v>
      </c>
      <c r="B621" t="s">
        <v>288</v>
      </c>
      <c r="C621">
        <v>43242</v>
      </c>
      <c r="D621">
        <v>880781313</v>
      </c>
      <c r="E621">
        <v>137341</v>
      </c>
      <c r="F621">
        <v>72</v>
      </c>
      <c r="G621">
        <v>432457883</v>
      </c>
      <c r="H621">
        <v>3689786</v>
      </c>
      <c r="I621">
        <v>33981823</v>
      </c>
      <c r="J621">
        <v>21</v>
      </c>
      <c r="K621">
        <v>113</v>
      </c>
      <c r="L621">
        <v>1</v>
      </c>
      <c r="M621" t="s">
        <v>6371</v>
      </c>
    </row>
    <row r="622" spans="1:13">
      <c r="A622" t="s">
        <v>1567</v>
      </c>
      <c r="B622" t="s">
        <v>1568</v>
      </c>
      <c r="C622">
        <v>44701</v>
      </c>
      <c r="D622">
        <v>399707517</v>
      </c>
      <c r="E622">
        <v>131547</v>
      </c>
      <c r="F622">
        <v>69</v>
      </c>
      <c r="G622">
        <v>44839108</v>
      </c>
      <c r="H622">
        <v>449678</v>
      </c>
      <c r="I622">
        <v>1130861</v>
      </c>
      <c r="J622">
        <v>66</v>
      </c>
      <c r="K622">
        <v>836</v>
      </c>
      <c r="L622">
        <v>1</v>
      </c>
      <c r="M622" t="s">
        <v>6370</v>
      </c>
    </row>
    <row r="623" spans="1:13">
      <c r="A623" t="s">
        <v>1575</v>
      </c>
      <c r="B623" t="s">
        <v>161</v>
      </c>
      <c r="C623">
        <v>43636</v>
      </c>
      <c r="D623">
        <v>741766886</v>
      </c>
      <c r="E623">
        <v>96241</v>
      </c>
      <c r="F623">
        <v>62</v>
      </c>
      <c r="G623">
        <v>659070547</v>
      </c>
      <c r="H623">
        <v>10294151</v>
      </c>
      <c r="I623">
        <v>493209730</v>
      </c>
      <c r="J623">
        <v>68</v>
      </c>
      <c r="K623">
        <v>504</v>
      </c>
      <c r="L623">
        <v>0</v>
      </c>
      <c r="M623" t="s">
        <v>6371</v>
      </c>
    </row>
    <row r="624" spans="1:13">
      <c r="A624" t="s">
        <v>1576</v>
      </c>
      <c r="B624" t="s">
        <v>1577</v>
      </c>
      <c r="C624">
        <v>44659</v>
      </c>
      <c r="D624">
        <v>244709550</v>
      </c>
      <c r="E624">
        <v>33533</v>
      </c>
      <c r="F624">
        <v>69</v>
      </c>
      <c r="G624">
        <v>92809269</v>
      </c>
      <c r="H624">
        <v>501049</v>
      </c>
      <c r="I624">
        <v>140118719</v>
      </c>
      <c r="J624">
        <v>31</v>
      </c>
      <c r="K624">
        <v>159</v>
      </c>
      <c r="L624">
        <v>0</v>
      </c>
      <c r="M624" t="s">
        <v>6370</v>
      </c>
    </row>
    <row r="625" spans="1:13">
      <c r="A625" t="s">
        <v>1579</v>
      </c>
      <c r="B625" t="s">
        <v>266</v>
      </c>
      <c r="C625">
        <v>45149</v>
      </c>
      <c r="D625">
        <v>433515672</v>
      </c>
      <c r="E625">
        <v>37313</v>
      </c>
      <c r="F625">
        <v>12</v>
      </c>
      <c r="G625">
        <v>37971085</v>
      </c>
      <c r="H625">
        <v>871048</v>
      </c>
      <c r="I625">
        <v>839351640</v>
      </c>
      <c r="J625">
        <v>73</v>
      </c>
      <c r="K625">
        <v>495</v>
      </c>
      <c r="L625">
        <v>1</v>
      </c>
      <c r="M625" t="s">
        <v>6370</v>
      </c>
    </row>
    <row r="626" spans="1:13">
      <c r="A626" t="s">
        <v>1580</v>
      </c>
      <c r="B626" t="s">
        <v>170</v>
      </c>
      <c r="C626">
        <v>44022</v>
      </c>
      <c r="D626">
        <v>599215039</v>
      </c>
      <c r="E626">
        <v>57051</v>
      </c>
      <c r="F626">
        <v>61</v>
      </c>
      <c r="G626">
        <v>834762162</v>
      </c>
      <c r="H626">
        <v>5130805</v>
      </c>
      <c r="I626">
        <v>779241131</v>
      </c>
      <c r="J626">
        <v>111</v>
      </c>
      <c r="K626">
        <v>168</v>
      </c>
      <c r="L626">
        <v>0</v>
      </c>
      <c r="M626" t="s">
        <v>6371</v>
      </c>
    </row>
    <row r="627" spans="1:13">
      <c r="A627" t="s">
        <v>1582</v>
      </c>
      <c r="B627" t="s">
        <v>1583</v>
      </c>
      <c r="C627">
        <v>43644</v>
      </c>
      <c r="D627">
        <v>968133091</v>
      </c>
      <c r="E627">
        <v>142494</v>
      </c>
      <c r="F627">
        <v>66</v>
      </c>
      <c r="G627">
        <v>707665227</v>
      </c>
      <c r="H627">
        <v>10665380</v>
      </c>
      <c r="I627">
        <v>6342877983</v>
      </c>
      <c r="J627">
        <v>76</v>
      </c>
      <c r="K627">
        <v>267</v>
      </c>
      <c r="L627">
        <v>1</v>
      </c>
      <c r="M627" t="s">
        <v>6371</v>
      </c>
    </row>
    <row r="628" spans="1:13">
      <c r="A628" t="s">
        <v>1587</v>
      </c>
      <c r="B628" t="s">
        <v>1588</v>
      </c>
      <c r="C628">
        <v>44832</v>
      </c>
      <c r="D628">
        <v>150177750</v>
      </c>
      <c r="E628">
        <v>30142</v>
      </c>
      <c r="F628">
        <v>59</v>
      </c>
      <c r="G628">
        <v>153683754</v>
      </c>
      <c r="H628">
        <v>1673637</v>
      </c>
      <c r="I628">
        <v>15253039012</v>
      </c>
      <c r="J628">
        <v>9</v>
      </c>
      <c r="K628">
        <v>281</v>
      </c>
      <c r="L628">
        <v>1</v>
      </c>
      <c r="M628" t="s">
        <v>6370</v>
      </c>
    </row>
    <row r="629" spans="1:13">
      <c r="A629" t="s">
        <v>1591</v>
      </c>
      <c r="B629" t="s">
        <v>1592</v>
      </c>
      <c r="C629">
        <v>45386</v>
      </c>
      <c r="D629">
        <v>34629239</v>
      </c>
      <c r="E629">
        <v>3962</v>
      </c>
      <c r="F629">
        <v>14</v>
      </c>
      <c r="G629">
        <v>2560026</v>
      </c>
      <c r="H629">
        <v>50310</v>
      </c>
      <c r="I629">
        <v>4592500</v>
      </c>
      <c r="J629">
        <v>49</v>
      </c>
      <c r="K629">
        <v>7</v>
      </c>
      <c r="L629">
        <v>1</v>
      </c>
      <c r="M629" t="s">
        <v>6370</v>
      </c>
    </row>
    <row r="630" spans="1:13">
      <c r="A630" t="s">
        <v>1596</v>
      </c>
      <c r="B630" t="s">
        <v>631</v>
      </c>
      <c r="C630">
        <v>42005</v>
      </c>
      <c r="D630">
        <v>2178606166</v>
      </c>
      <c r="E630">
        <v>291456</v>
      </c>
      <c r="F630">
        <v>79</v>
      </c>
      <c r="G630">
        <v>1256080361</v>
      </c>
      <c r="H630">
        <v>8723122</v>
      </c>
      <c r="I630">
        <v>1597020461</v>
      </c>
      <c r="J630">
        <v>458</v>
      </c>
      <c r="K630">
        <v>376</v>
      </c>
      <c r="L630">
        <v>0</v>
      </c>
      <c r="M630" t="s">
        <v>6371</v>
      </c>
    </row>
    <row r="631" spans="1:13">
      <c r="A631" t="s">
        <v>1597</v>
      </c>
      <c r="B631" t="s">
        <v>1598</v>
      </c>
      <c r="C631">
        <v>45205</v>
      </c>
      <c r="D631">
        <v>155648648</v>
      </c>
      <c r="E631">
        <v>28131</v>
      </c>
      <c r="F631">
        <v>82</v>
      </c>
      <c r="G631">
        <v>27758776</v>
      </c>
      <c r="H631">
        <v>286628</v>
      </c>
      <c r="I631">
        <v>7609548</v>
      </c>
      <c r="J631">
        <v>20</v>
      </c>
      <c r="K631">
        <v>203</v>
      </c>
      <c r="L631">
        <v>1</v>
      </c>
      <c r="M631" t="s">
        <v>6370</v>
      </c>
    </row>
    <row r="632" spans="1:13">
      <c r="A632" t="s">
        <v>1599</v>
      </c>
      <c r="B632" t="s">
        <v>315</v>
      </c>
      <c r="C632">
        <v>43735</v>
      </c>
      <c r="D632">
        <v>820923123</v>
      </c>
      <c r="E632">
        <v>158363</v>
      </c>
      <c r="F632">
        <v>68</v>
      </c>
      <c r="G632">
        <v>661665888</v>
      </c>
      <c r="H632">
        <v>6303898</v>
      </c>
      <c r="I632">
        <v>129969428</v>
      </c>
      <c r="J632">
        <v>68</v>
      </c>
      <c r="K632">
        <v>401</v>
      </c>
      <c r="L632">
        <v>1</v>
      </c>
      <c r="M632" t="s">
        <v>6371</v>
      </c>
    </row>
    <row r="633" spans="1:13">
      <c r="A633" t="s">
        <v>1602</v>
      </c>
      <c r="B633" t="s">
        <v>892</v>
      </c>
      <c r="C633">
        <v>40544</v>
      </c>
      <c r="D633">
        <v>1634403761</v>
      </c>
      <c r="E633">
        <v>244291</v>
      </c>
      <c r="F633">
        <v>74</v>
      </c>
      <c r="G633">
        <v>1855838617</v>
      </c>
      <c r="H633">
        <v>9070363</v>
      </c>
      <c r="I633">
        <v>510515661</v>
      </c>
      <c r="J633">
        <v>253</v>
      </c>
      <c r="K633">
        <v>53</v>
      </c>
      <c r="L633">
        <v>0</v>
      </c>
      <c r="M633" t="s">
        <v>6371</v>
      </c>
    </row>
    <row r="634" spans="1:13">
      <c r="A634" t="s">
        <v>1605</v>
      </c>
      <c r="B634" t="s">
        <v>1314</v>
      </c>
      <c r="C634">
        <v>45049</v>
      </c>
      <c r="D634">
        <v>218340846</v>
      </c>
      <c r="E634">
        <v>30667</v>
      </c>
      <c r="F634">
        <v>64</v>
      </c>
      <c r="G634">
        <v>223159269</v>
      </c>
      <c r="H634">
        <v>879627</v>
      </c>
      <c r="I634">
        <v>876147905</v>
      </c>
      <c r="J634">
        <v>20</v>
      </c>
      <c r="K634">
        <v>12</v>
      </c>
      <c r="L634">
        <v>1</v>
      </c>
      <c r="M634" t="s">
        <v>6370</v>
      </c>
    </row>
    <row r="635" spans="1:13">
      <c r="A635" t="s">
        <v>1607</v>
      </c>
      <c r="B635" t="s">
        <v>1608</v>
      </c>
      <c r="C635">
        <v>43531</v>
      </c>
      <c r="D635">
        <v>1184536529</v>
      </c>
      <c r="E635">
        <v>199838</v>
      </c>
      <c r="F635">
        <v>69</v>
      </c>
      <c r="G635">
        <v>439603979</v>
      </c>
      <c r="H635">
        <v>6566306</v>
      </c>
      <c r="I635">
        <v>6956515458</v>
      </c>
      <c r="J635">
        <v>124</v>
      </c>
      <c r="K635">
        <v>210</v>
      </c>
      <c r="L635">
        <v>0</v>
      </c>
      <c r="M635" t="s">
        <v>6371</v>
      </c>
    </row>
    <row r="636" spans="1:13">
      <c r="A636" t="s">
        <v>1610</v>
      </c>
      <c r="B636" t="s">
        <v>631</v>
      </c>
      <c r="C636">
        <v>42202</v>
      </c>
      <c r="D636">
        <v>1156342373</v>
      </c>
      <c r="E636">
        <v>168603</v>
      </c>
      <c r="F636">
        <v>78</v>
      </c>
      <c r="G636">
        <v>1961319809</v>
      </c>
      <c r="H636">
        <v>8520003</v>
      </c>
      <c r="I636">
        <v>982629718</v>
      </c>
      <c r="J636">
        <v>364</v>
      </c>
      <c r="K636">
        <v>80</v>
      </c>
      <c r="L636">
        <v>0</v>
      </c>
      <c r="M636" t="s">
        <v>6371</v>
      </c>
    </row>
    <row r="637" spans="1:13">
      <c r="A637" t="s">
        <v>1612</v>
      </c>
      <c r="B637" t="s">
        <v>1613</v>
      </c>
      <c r="C637">
        <v>42993</v>
      </c>
      <c r="D637">
        <v>1472430869</v>
      </c>
      <c r="E637">
        <v>187536</v>
      </c>
      <c r="F637">
        <v>73</v>
      </c>
      <c r="G637">
        <v>668707222</v>
      </c>
      <c r="H637">
        <v>7011620</v>
      </c>
      <c r="I637">
        <v>270757450</v>
      </c>
      <c r="J637">
        <v>68</v>
      </c>
      <c r="K637">
        <v>137</v>
      </c>
      <c r="L637">
        <v>0</v>
      </c>
      <c r="M637" t="s">
        <v>6371</v>
      </c>
    </row>
    <row r="638" spans="1:13">
      <c r="A638" t="s">
        <v>1615</v>
      </c>
      <c r="B638" t="s">
        <v>978</v>
      </c>
      <c r="C638">
        <v>44764</v>
      </c>
      <c r="D638">
        <v>460973352</v>
      </c>
      <c r="E638">
        <v>87026</v>
      </c>
      <c r="F638">
        <v>69</v>
      </c>
      <c r="G638">
        <v>21938855</v>
      </c>
      <c r="H638">
        <v>220610</v>
      </c>
      <c r="I638">
        <v>202563112</v>
      </c>
      <c r="J638">
        <v>93</v>
      </c>
      <c r="K638">
        <v>171</v>
      </c>
      <c r="L638">
        <v>0</v>
      </c>
      <c r="M638" t="s">
        <v>6370</v>
      </c>
    </row>
    <row r="639" spans="1:13">
      <c r="A639" t="s">
        <v>1616</v>
      </c>
      <c r="B639" t="s">
        <v>141</v>
      </c>
      <c r="C639">
        <v>43890</v>
      </c>
      <c r="D639">
        <v>745086450</v>
      </c>
      <c r="E639">
        <v>95154</v>
      </c>
      <c r="F639">
        <v>67</v>
      </c>
      <c r="G639">
        <v>818482247</v>
      </c>
      <c r="H639">
        <v>8068018</v>
      </c>
      <c r="I639">
        <v>1133216780</v>
      </c>
      <c r="J639">
        <v>128</v>
      </c>
      <c r="K639">
        <v>38</v>
      </c>
      <c r="L639">
        <v>0</v>
      </c>
      <c r="M639" t="s">
        <v>6371</v>
      </c>
    </row>
    <row r="640" spans="1:13">
      <c r="A640" t="s">
        <v>1617</v>
      </c>
      <c r="B640" t="s">
        <v>411</v>
      </c>
      <c r="C640">
        <v>45128</v>
      </c>
      <c r="D640">
        <v>234215735</v>
      </c>
      <c r="E640">
        <v>20419</v>
      </c>
      <c r="F640">
        <v>74</v>
      </c>
      <c r="G640">
        <v>189170317</v>
      </c>
      <c r="H640">
        <v>1734442</v>
      </c>
      <c r="I640">
        <v>297802502</v>
      </c>
      <c r="J640">
        <v>24</v>
      </c>
      <c r="K640">
        <v>21</v>
      </c>
      <c r="L640">
        <v>0</v>
      </c>
      <c r="M640" t="s">
        <v>6370</v>
      </c>
    </row>
    <row r="641" spans="1:13">
      <c r="A641" t="s">
        <v>40</v>
      </c>
      <c r="B641" t="s">
        <v>1618</v>
      </c>
      <c r="C641">
        <v>44316</v>
      </c>
      <c r="D641">
        <v>535847791</v>
      </c>
      <c r="E641">
        <v>57454</v>
      </c>
      <c r="F641">
        <v>73</v>
      </c>
      <c r="G641">
        <v>602969531</v>
      </c>
      <c r="H641">
        <v>3455570</v>
      </c>
      <c r="I641">
        <v>5134093462</v>
      </c>
      <c r="J641">
        <v>23</v>
      </c>
      <c r="K641">
        <v>394</v>
      </c>
      <c r="L641">
        <v>0</v>
      </c>
      <c r="M641" t="s">
        <v>6370</v>
      </c>
    </row>
    <row r="642" spans="1:13">
      <c r="A642" t="s">
        <v>1619</v>
      </c>
      <c r="B642" t="s">
        <v>1011</v>
      </c>
      <c r="C642">
        <v>44034</v>
      </c>
      <c r="D642">
        <v>716319941</v>
      </c>
      <c r="E642">
        <v>98905</v>
      </c>
      <c r="F642">
        <v>65</v>
      </c>
      <c r="G642">
        <v>460154791</v>
      </c>
      <c r="H642">
        <v>3442896</v>
      </c>
      <c r="I642">
        <v>1506051452</v>
      </c>
      <c r="J642">
        <v>145</v>
      </c>
      <c r="K642">
        <v>115</v>
      </c>
      <c r="L642">
        <v>0</v>
      </c>
      <c r="M642" t="s">
        <v>6371</v>
      </c>
    </row>
    <row r="643" spans="1:13">
      <c r="A643" t="s">
        <v>1621</v>
      </c>
      <c r="B643" t="s">
        <v>1033</v>
      </c>
      <c r="C643">
        <v>43280</v>
      </c>
      <c r="D643">
        <v>1749353402</v>
      </c>
      <c r="E643">
        <v>182732</v>
      </c>
      <c r="F643">
        <v>72</v>
      </c>
      <c r="G643">
        <v>244698483</v>
      </c>
      <c r="H643">
        <v>2156754</v>
      </c>
      <c r="I643">
        <v>379547638</v>
      </c>
      <c r="J643">
        <v>148</v>
      </c>
      <c r="K643">
        <v>53</v>
      </c>
      <c r="L643">
        <v>1</v>
      </c>
      <c r="M643" t="s">
        <v>6371</v>
      </c>
    </row>
    <row r="644" spans="1:13">
      <c r="A644" t="s">
        <v>1622</v>
      </c>
      <c r="B644" t="s">
        <v>1623</v>
      </c>
      <c r="C644">
        <v>44148</v>
      </c>
      <c r="D644">
        <v>164137928</v>
      </c>
      <c r="E644">
        <v>47324</v>
      </c>
      <c r="F644">
        <v>58</v>
      </c>
      <c r="G644">
        <v>569438267</v>
      </c>
      <c r="H644">
        <v>9098356</v>
      </c>
      <c r="I644">
        <v>8443743856</v>
      </c>
      <c r="J644">
        <v>43</v>
      </c>
      <c r="K644">
        <v>26</v>
      </c>
      <c r="L644">
        <v>0</v>
      </c>
      <c r="M644" t="s">
        <v>6371</v>
      </c>
    </row>
    <row r="645" spans="1:13">
      <c r="A645" t="s">
        <v>1627</v>
      </c>
      <c r="B645" t="s">
        <v>1628</v>
      </c>
      <c r="C645">
        <v>45085</v>
      </c>
      <c r="D645">
        <v>142574143</v>
      </c>
      <c r="E645">
        <v>72496</v>
      </c>
      <c r="F645">
        <v>62</v>
      </c>
      <c r="G645">
        <v>16368063</v>
      </c>
      <c r="H645">
        <v>168658</v>
      </c>
      <c r="I645">
        <v>264112132</v>
      </c>
      <c r="J645">
        <v>90</v>
      </c>
      <c r="K645">
        <v>45</v>
      </c>
      <c r="L645">
        <v>1</v>
      </c>
      <c r="M645" t="s">
        <v>6370</v>
      </c>
    </row>
    <row r="646" spans="1:13">
      <c r="A646" t="s">
        <v>1633</v>
      </c>
      <c r="B646" t="s">
        <v>1062</v>
      </c>
      <c r="C646">
        <v>44728</v>
      </c>
      <c r="D646">
        <v>302939117</v>
      </c>
      <c r="E646">
        <v>48916</v>
      </c>
      <c r="F646">
        <v>62</v>
      </c>
      <c r="G646">
        <v>236850911</v>
      </c>
      <c r="H646">
        <v>1744818</v>
      </c>
      <c r="I646">
        <v>74013480</v>
      </c>
      <c r="J646">
        <v>57</v>
      </c>
      <c r="K646">
        <v>654</v>
      </c>
      <c r="L646">
        <v>0</v>
      </c>
      <c r="M646" t="s">
        <v>6370</v>
      </c>
    </row>
    <row r="647" spans="1:13">
      <c r="A647" t="s">
        <v>1640</v>
      </c>
      <c r="B647" t="s">
        <v>1641</v>
      </c>
      <c r="C647">
        <v>44385</v>
      </c>
      <c r="D647">
        <v>701919939</v>
      </c>
      <c r="E647">
        <v>105247</v>
      </c>
      <c r="F647">
        <v>68</v>
      </c>
      <c r="G647">
        <v>560364244</v>
      </c>
      <c r="H647">
        <v>2647485</v>
      </c>
      <c r="I647">
        <v>74137126</v>
      </c>
      <c r="J647">
        <v>85</v>
      </c>
      <c r="K647">
        <v>15</v>
      </c>
      <c r="L647">
        <v>1</v>
      </c>
      <c r="M647" t="s">
        <v>6370</v>
      </c>
    </row>
    <row r="648" spans="1:13">
      <c r="A648" t="s">
        <v>1642</v>
      </c>
      <c r="B648" t="s">
        <v>1643</v>
      </c>
      <c r="C648">
        <v>44232</v>
      </c>
      <c r="D648">
        <v>861100951</v>
      </c>
      <c r="E648">
        <v>153435</v>
      </c>
      <c r="F648">
        <v>74</v>
      </c>
      <c r="G648">
        <v>95899960</v>
      </c>
      <c r="H648">
        <v>848696</v>
      </c>
      <c r="I648">
        <v>184453448</v>
      </c>
      <c r="J648">
        <v>122</v>
      </c>
      <c r="K648">
        <v>305</v>
      </c>
      <c r="L648">
        <v>0</v>
      </c>
      <c r="M648" t="s">
        <v>6370</v>
      </c>
    </row>
    <row r="649" spans="1:13">
      <c r="A649" t="s">
        <v>1653</v>
      </c>
      <c r="B649" t="s">
        <v>1654</v>
      </c>
      <c r="C649">
        <v>43028</v>
      </c>
      <c r="D649">
        <v>871780891</v>
      </c>
      <c r="E649">
        <v>56085</v>
      </c>
      <c r="F649">
        <v>68</v>
      </c>
      <c r="G649">
        <v>2169311851</v>
      </c>
      <c r="H649">
        <v>4669074</v>
      </c>
      <c r="I649">
        <v>121241311</v>
      </c>
      <c r="J649">
        <v>41</v>
      </c>
      <c r="K649">
        <v>55</v>
      </c>
      <c r="L649">
        <v>0</v>
      </c>
      <c r="M649" t="s">
        <v>6371</v>
      </c>
    </row>
    <row r="650" spans="1:13">
      <c r="A650" t="s">
        <v>1655</v>
      </c>
      <c r="B650" t="s">
        <v>1656</v>
      </c>
      <c r="C650">
        <v>45425</v>
      </c>
      <c r="D650">
        <v>8699917</v>
      </c>
      <c r="E650">
        <v>533</v>
      </c>
      <c r="F650">
        <v>58</v>
      </c>
      <c r="G650">
        <v>31498812</v>
      </c>
      <c r="H650">
        <v>685645</v>
      </c>
      <c r="I650">
        <v>329800</v>
      </c>
      <c r="J650">
        <v>5</v>
      </c>
      <c r="K650">
        <v>9</v>
      </c>
      <c r="L650">
        <v>0</v>
      </c>
      <c r="M650" t="s">
        <v>6370</v>
      </c>
    </row>
    <row r="651" spans="1:13">
      <c r="A651" t="s">
        <v>1657</v>
      </c>
      <c r="B651" t="s">
        <v>912</v>
      </c>
      <c r="C651">
        <v>40909</v>
      </c>
      <c r="D651">
        <v>1419912461</v>
      </c>
      <c r="E651">
        <v>180128</v>
      </c>
      <c r="F651">
        <v>70</v>
      </c>
      <c r="G651">
        <v>2336257288</v>
      </c>
      <c r="H651">
        <v>11532780</v>
      </c>
      <c r="I651">
        <v>6890158</v>
      </c>
      <c r="J651">
        <v>164</v>
      </c>
      <c r="K651">
        <v>81</v>
      </c>
      <c r="L651">
        <v>0</v>
      </c>
      <c r="M651" t="s">
        <v>6371</v>
      </c>
    </row>
    <row r="652" spans="1:13">
      <c r="A652" t="s">
        <v>1658</v>
      </c>
      <c r="B652" t="s">
        <v>1659</v>
      </c>
      <c r="C652">
        <v>44609</v>
      </c>
      <c r="D652">
        <v>535013440</v>
      </c>
      <c r="E652">
        <v>57772</v>
      </c>
      <c r="F652">
        <v>71</v>
      </c>
      <c r="G652">
        <v>162236183</v>
      </c>
      <c r="H652">
        <v>1010851</v>
      </c>
      <c r="I652">
        <v>4479627831</v>
      </c>
      <c r="J652">
        <v>54</v>
      </c>
      <c r="K652">
        <v>327</v>
      </c>
      <c r="L652">
        <v>1</v>
      </c>
      <c r="M652" t="s">
        <v>6370</v>
      </c>
    </row>
    <row r="653" spans="1:13">
      <c r="A653" t="s">
        <v>1662</v>
      </c>
      <c r="B653" t="s">
        <v>1663</v>
      </c>
      <c r="C653">
        <v>45079</v>
      </c>
      <c r="D653">
        <v>354097795</v>
      </c>
      <c r="E653">
        <v>53606</v>
      </c>
      <c r="F653">
        <v>74</v>
      </c>
      <c r="G653">
        <v>89166241</v>
      </c>
      <c r="H653">
        <v>599270</v>
      </c>
      <c r="I653">
        <v>107126101</v>
      </c>
      <c r="J653">
        <v>64</v>
      </c>
      <c r="K653">
        <v>53</v>
      </c>
      <c r="L653">
        <v>1</v>
      </c>
      <c r="M653" t="s">
        <v>6370</v>
      </c>
    </row>
    <row r="654" spans="1:13">
      <c r="A654" t="s">
        <v>1669</v>
      </c>
      <c r="B654" t="s">
        <v>1174</v>
      </c>
      <c r="C654">
        <v>43503</v>
      </c>
      <c r="D654">
        <v>968194426</v>
      </c>
      <c r="E654">
        <v>121168</v>
      </c>
      <c r="F654">
        <v>64</v>
      </c>
      <c r="G654">
        <v>468753245</v>
      </c>
      <c r="H654">
        <v>3701432</v>
      </c>
      <c r="I654">
        <v>175481915</v>
      </c>
      <c r="J654">
        <v>171</v>
      </c>
      <c r="K654">
        <v>955</v>
      </c>
      <c r="L654">
        <v>0</v>
      </c>
      <c r="M654" t="s">
        <v>6371</v>
      </c>
    </row>
    <row r="655" spans="1:13">
      <c r="A655" t="s">
        <v>1672</v>
      </c>
      <c r="B655" t="s">
        <v>444</v>
      </c>
      <c r="C655">
        <v>44126</v>
      </c>
      <c r="D655">
        <v>579749218</v>
      </c>
      <c r="E655">
        <v>90725</v>
      </c>
      <c r="F655">
        <v>65</v>
      </c>
      <c r="G655">
        <v>645701697</v>
      </c>
      <c r="H655">
        <v>3354975</v>
      </c>
      <c r="I655">
        <v>1294351127</v>
      </c>
      <c r="J655">
        <v>89</v>
      </c>
      <c r="K655">
        <v>13</v>
      </c>
      <c r="L655">
        <v>1</v>
      </c>
      <c r="M655" t="s">
        <v>6371</v>
      </c>
    </row>
    <row r="656" spans="1:13">
      <c r="A656" t="s">
        <v>1675</v>
      </c>
      <c r="B656" t="s">
        <v>1676</v>
      </c>
      <c r="C656">
        <v>44119</v>
      </c>
      <c r="D656">
        <v>233139871</v>
      </c>
      <c r="E656">
        <v>77694</v>
      </c>
      <c r="F656">
        <v>63</v>
      </c>
      <c r="G656">
        <v>425539008</v>
      </c>
      <c r="H656">
        <v>2824144</v>
      </c>
      <c r="I656">
        <v>111422826</v>
      </c>
      <c r="J656">
        <v>53</v>
      </c>
      <c r="K656">
        <v>57</v>
      </c>
      <c r="L656">
        <v>1</v>
      </c>
      <c r="M656" t="s">
        <v>6371</v>
      </c>
    </row>
    <row r="657" spans="1:13">
      <c r="A657" t="s">
        <v>1681</v>
      </c>
      <c r="B657" t="s">
        <v>444</v>
      </c>
      <c r="C657">
        <v>45114</v>
      </c>
      <c r="D657">
        <v>310562790</v>
      </c>
      <c r="E657">
        <v>33458</v>
      </c>
      <c r="F657">
        <v>79</v>
      </c>
      <c r="G657">
        <v>113130284</v>
      </c>
      <c r="H657">
        <v>482647</v>
      </c>
      <c r="I657">
        <v>372688472</v>
      </c>
      <c r="J657">
        <v>55</v>
      </c>
      <c r="K657">
        <v>50</v>
      </c>
      <c r="L657">
        <v>1</v>
      </c>
      <c r="M657" t="s">
        <v>6370</v>
      </c>
    </row>
    <row r="658" spans="1:13">
      <c r="A658" t="s">
        <v>1682</v>
      </c>
      <c r="B658" t="s">
        <v>1083</v>
      </c>
      <c r="C658">
        <v>43385</v>
      </c>
      <c r="D658">
        <v>1070685587</v>
      </c>
      <c r="E658">
        <v>203323</v>
      </c>
      <c r="F658">
        <v>71</v>
      </c>
      <c r="G658">
        <v>494548432</v>
      </c>
      <c r="H658">
        <v>4682485</v>
      </c>
      <c r="I658">
        <v>463776007</v>
      </c>
      <c r="J658">
        <v>82</v>
      </c>
      <c r="K658">
        <v>90</v>
      </c>
      <c r="L658">
        <v>1</v>
      </c>
      <c r="M658" t="s">
        <v>6371</v>
      </c>
    </row>
    <row r="659" spans="1:13">
      <c r="A659" t="s">
        <v>1687</v>
      </c>
      <c r="B659" t="s">
        <v>1688</v>
      </c>
      <c r="C659">
        <v>45023</v>
      </c>
      <c r="D659">
        <v>144252786</v>
      </c>
      <c r="E659">
        <v>35929</v>
      </c>
      <c r="F659">
        <v>64</v>
      </c>
      <c r="G659">
        <v>68229038</v>
      </c>
      <c r="H659">
        <v>1462629</v>
      </c>
      <c r="I659">
        <v>3002241315</v>
      </c>
      <c r="J659">
        <v>17</v>
      </c>
      <c r="K659">
        <v>817</v>
      </c>
      <c r="L659">
        <v>0</v>
      </c>
      <c r="M659" t="s">
        <v>6370</v>
      </c>
    </row>
    <row r="660" spans="1:13">
      <c r="A660" t="s">
        <v>1690</v>
      </c>
      <c r="B660" t="s">
        <v>127</v>
      </c>
      <c r="C660">
        <v>44413</v>
      </c>
      <c r="D660">
        <v>465348362</v>
      </c>
      <c r="E660">
        <v>89586</v>
      </c>
      <c r="F660">
        <v>57</v>
      </c>
      <c r="G660">
        <v>218889957</v>
      </c>
      <c r="H660">
        <v>2186587</v>
      </c>
      <c r="I660">
        <v>224955330</v>
      </c>
      <c r="J660">
        <v>151</v>
      </c>
      <c r="K660">
        <v>489</v>
      </c>
      <c r="L660">
        <v>0</v>
      </c>
      <c r="M660" t="s">
        <v>6370</v>
      </c>
    </row>
    <row r="661" spans="1:13">
      <c r="A661" t="s">
        <v>1691</v>
      </c>
      <c r="B661" t="s">
        <v>61</v>
      </c>
      <c r="C661">
        <v>44855</v>
      </c>
      <c r="D661">
        <v>711138043</v>
      </c>
      <c r="E661">
        <v>42535</v>
      </c>
      <c r="F661">
        <v>73</v>
      </c>
      <c r="G661">
        <v>26695871</v>
      </c>
      <c r="H661">
        <v>411132</v>
      </c>
      <c r="I661">
        <v>302181012</v>
      </c>
      <c r="J661">
        <v>66</v>
      </c>
      <c r="K661">
        <v>1936</v>
      </c>
      <c r="L661">
        <v>1</v>
      </c>
      <c r="M661" t="s">
        <v>6370</v>
      </c>
    </row>
    <row r="662" spans="1:13">
      <c r="A662" t="s">
        <v>1696</v>
      </c>
      <c r="B662" t="s">
        <v>148</v>
      </c>
      <c r="C662">
        <v>44904</v>
      </c>
      <c r="D662">
        <v>561645790</v>
      </c>
      <c r="E662">
        <v>58561</v>
      </c>
      <c r="F662">
        <v>82</v>
      </c>
      <c r="G662">
        <v>79127644</v>
      </c>
      <c r="H662">
        <v>867545</v>
      </c>
      <c r="I662">
        <v>220878489</v>
      </c>
      <c r="J662">
        <v>64</v>
      </c>
      <c r="K662">
        <v>293</v>
      </c>
      <c r="L662">
        <v>1</v>
      </c>
      <c r="M662" t="s">
        <v>6370</v>
      </c>
    </row>
    <row r="663" spans="1:13">
      <c r="A663" t="s">
        <v>1704</v>
      </c>
      <c r="B663" t="s">
        <v>1705</v>
      </c>
      <c r="C663">
        <v>45099</v>
      </c>
      <c r="D663">
        <v>251442618</v>
      </c>
      <c r="E663">
        <v>19913</v>
      </c>
      <c r="F663">
        <v>71</v>
      </c>
      <c r="G663">
        <v>209201810</v>
      </c>
      <c r="H663">
        <v>958198</v>
      </c>
      <c r="I663">
        <v>541965678</v>
      </c>
      <c r="J663">
        <v>23</v>
      </c>
      <c r="K663">
        <v>354</v>
      </c>
      <c r="L663">
        <v>0</v>
      </c>
      <c r="M663" t="s">
        <v>6370</v>
      </c>
    </row>
    <row r="664" spans="1:13">
      <c r="A664" t="s">
        <v>1706</v>
      </c>
      <c r="B664" t="s">
        <v>384</v>
      </c>
      <c r="C664">
        <v>44869</v>
      </c>
      <c r="D664">
        <v>600073400</v>
      </c>
      <c r="E664">
        <v>73593</v>
      </c>
      <c r="F664">
        <v>71</v>
      </c>
      <c r="G664">
        <v>171936153</v>
      </c>
      <c r="H664">
        <v>975795</v>
      </c>
      <c r="I664">
        <v>450971538</v>
      </c>
      <c r="J664">
        <v>24</v>
      </c>
      <c r="K664">
        <v>50</v>
      </c>
      <c r="L664">
        <v>0</v>
      </c>
      <c r="M664" t="s">
        <v>6370</v>
      </c>
    </row>
    <row r="665" spans="1:13">
      <c r="A665" t="s">
        <v>1709</v>
      </c>
      <c r="B665" t="s">
        <v>411</v>
      </c>
      <c r="C665">
        <v>44914</v>
      </c>
      <c r="D665">
        <v>614497357</v>
      </c>
      <c r="E665">
        <v>47586</v>
      </c>
      <c r="F665">
        <v>74</v>
      </c>
      <c r="G665">
        <v>202069442</v>
      </c>
      <c r="H665">
        <v>2934641</v>
      </c>
      <c r="I665">
        <v>1587051148</v>
      </c>
      <c r="J665">
        <v>44</v>
      </c>
      <c r="K665">
        <v>20</v>
      </c>
      <c r="L665">
        <v>0</v>
      </c>
      <c r="M665" t="s">
        <v>6370</v>
      </c>
    </row>
    <row r="666" spans="1:13">
      <c r="A666" t="s">
        <v>1718</v>
      </c>
      <c r="B666" t="s">
        <v>1305</v>
      </c>
      <c r="C666">
        <v>44474</v>
      </c>
      <c r="D666">
        <v>912709169</v>
      </c>
      <c r="E666">
        <v>94302</v>
      </c>
      <c r="F666">
        <v>67</v>
      </c>
      <c r="G666">
        <v>410395727</v>
      </c>
      <c r="H666">
        <v>3097097</v>
      </c>
      <c r="I666">
        <v>303742856</v>
      </c>
      <c r="J666">
        <v>69</v>
      </c>
      <c r="K666">
        <v>265</v>
      </c>
      <c r="L666">
        <v>1</v>
      </c>
      <c r="M666" t="s">
        <v>6370</v>
      </c>
    </row>
    <row r="667" spans="1:13">
      <c r="A667" t="s">
        <v>1719</v>
      </c>
      <c r="B667" t="s">
        <v>444</v>
      </c>
      <c r="C667">
        <v>45100</v>
      </c>
      <c r="D667">
        <v>268383799</v>
      </c>
      <c r="E667">
        <v>47936</v>
      </c>
      <c r="F667">
        <v>68</v>
      </c>
      <c r="G667">
        <v>69047745</v>
      </c>
      <c r="H667">
        <v>591951</v>
      </c>
      <c r="I667">
        <v>103169265</v>
      </c>
      <c r="J667">
        <v>61</v>
      </c>
      <c r="K667">
        <v>6</v>
      </c>
      <c r="L667">
        <v>1</v>
      </c>
      <c r="M667" t="s">
        <v>6370</v>
      </c>
    </row>
    <row r="668" spans="1:13">
      <c r="A668" t="s">
        <v>1720</v>
      </c>
      <c r="B668" t="s">
        <v>1721</v>
      </c>
      <c r="C668">
        <v>45233</v>
      </c>
      <c r="D668">
        <v>271566931</v>
      </c>
      <c r="E668">
        <v>33970</v>
      </c>
      <c r="F668">
        <v>80</v>
      </c>
      <c r="G668">
        <v>24725245</v>
      </c>
      <c r="H668">
        <v>376377</v>
      </c>
      <c r="I668">
        <v>8704294</v>
      </c>
      <c r="J668">
        <v>15</v>
      </c>
      <c r="K668">
        <v>75</v>
      </c>
      <c r="L668">
        <v>1</v>
      </c>
      <c r="M668" t="s">
        <v>6370</v>
      </c>
    </row>
    <row r="669" spans="1:13">
      <c r="A669" t="s">
        <v>1726</v>
      </c>
      <c r="B669" t="s">
        <v>515</v>
      </c>
      <c r="C669">
        <v>42136</v>
      </c>
      <c r="D669">
        <v>1724766252</v>
      </c>
      <c r="E669">
        <v>240346</v>
      </c>
      <c r="F669">
        <v>79</v>
      </c>
      <c r="G669">
        <v>1832805733</v>
      </c>
      <c r="H669">
        <v>14628417</v>
      </c>
      <c r="I669">
        <v>515516585</v>
      </c>
      <c r="J669">
        <v>7</v>
      </c>
      <c r="K669">
        <v>225</v>
      </c>
      <c r="L669">
        <v>0</v>
      </c>
      <c r="M669" t="s">
        <v>6371</v>
      </c>
    </row>
    <row r="670" spans="1:13">
      <c r="A670" t="s">
        <v>373</v>
      </c>
      <c r="B670" t="s">
        <v>903</v>
      </c>
      <c r="C670">
        <v>45120</v>
      </c>
      <c r="D670">
        <v>299291405</v>
      </c>
      <c r="E670">
        <v>45754</v>
      </c>
      <c r="F670">
        <v>28</v>
      </c>
      <c r="G670">
        <v>59684881</v>
      </c>
      <c r="H670">
        <v>1156874</v>
      </c>
      <c r="I670">
        <v>341762321</v>
      </c>
      <c r="J670">
        <v>106</v>
      </c>
      <c r="K670">
        <v>649</v>
      </c>
      <c r="L670">
        <v>1</v>
      </c>
      <c r="M670" t="s">
        <v>6370</v>
      </c>
    </row>
    <row r="671" spans="1:13">
      <c r="A671" t="s">
        <v>1729</v>
      </c>
      <c r="B671" t="s">
        <v>112</v>
      </c>
      <c r="C671">
        <v>43860</v>
      </c>
      <c r="D671">
        <v>967029446</v>
      </c>
      <c r="E671">
        <v>108666</v>
      </c>
      <c r="F671">
        <v>71</v>
      </c>
      <c r="G671">
        <v>570687048</v>
      </c>
      <c r="H671">
        <v>4489378</v>
      </c>
      <c r="I671">
        <v>430832681</v>
      </c>
      <c r="J671">
        <v>231</v>
      </c>
      <c r="K671">
        <v>67</v>
      </c>
      <c r="L671">
        <v>0</v>
      </c>
      <c r="M671" t="s">
        <v>6371</v>
      </c>
    </row>
    <row r="672" spans="1:13">
      <c r="A672" t="s">
        <v>1730</v>
      </c>
      <c r="B672" t="s">
        <v>1731</v>
      </c>
      <c r="C672">
        <v>40179</v>
      </c>
      <c r="D672">
        <v>1791778314</v>
      </c>
      <c r="E672">
        <v>344490</v>
      </c>
      <c r="F672">
        <v>81</v>
      </c>
      <c r="G672">
        <v>599930123</v>
      </c>
      <c r="H672">
        <v>5713061</v>
      </c>
      <c r="I672">
        <v>2757623631</v>
      </c>
      <c r="J672">
        <v>195</v>
      </c>
      <c r="K672">
        <v>167</v>
      </c>
      <c r="L672">
        <v>0</v>
      </c>
      <c r="M672" t="s">
        <v>6371</v>
      </c>
    </row>
    <row r="673" spans="1:13">
      <c r="A673" t="s">
        <v>1732</v>
      </c>
      <c r="B673" t="s">
        <v>449</v>
      </c>
      <c r="C673">
        <v>43235</v>
      </c>
      <c r="D673">
        <v>1110994645</v>
      </c>
      <c r="E673">
        <v>186456</v>
      </c>
      <c r="F673">
        <v>74</v>
      </c>
      <c r="G673">
        <v>143629586</v>
      </c>
      <c r="H673">
        <v>1388832</v>
      </c>
      <c r="I673">
        <v>194904663</v>
      </c>
      <c r="J673">
        <v>85</v>
      </c>
      <c r="K673">
        <v>186</v>
      </c>
      <c r="L673">
        <v>1</v>
      </c>
      <c r="M673" t="s">
        <v>6371</v>
      </c>
    </row>
    <row r="674" spans="1:13">
      <c r="A674" t="s">
        <v>1734</v>
      </c>
      <c r="B674" t="s">
        <v>1735</v>
      </c>
      <c r="C674">
        <v>44401</v>
      </c>
      <c r="D674">
        <v>460770585</v>
      </c>
      <c r="E674">
        <v>137449</v>
      </c>
      <c r="F674">
        <v>9</v>
      </c>
      <c r="G674">
        <v>129095680</v>
      </c>
      <c r="H674">
        <v>2000723</v>
      </c>
      <c r="I674">
        <v>5783885492</v>
      </c>
      <c r="J674">
        <v>24</v>
      </c>
      <c r="K674">
        <v>1191</v>
      </c>
      <c r="L674">
        <v>1</v>
      </c>
      <c r="M674" t="s">
        <v>6370</v>
      </c>
    </row>
    <row r="675" spans="1:13">
      <c r="A675" t="s">
        <v>1736</v>
      </c>
      <c r="B675" t="s">
        <v>674</v>
      </c>
      <c r="C675">
        <v>41626</v>
      </c>
      <c r="D675">
        <v>547207250</v>
      </c>
      <c r="E675">
        <v>103666</v>
      </c>
      <c r="F675">
        <v>65</v>
      </c>
      <c r="G675">
        <v>1350062601</v>
      </c>
      <c r="H675">
        <v>11897425</v>
      </c>
      <c r="I675">
        <v>1943093911</v>
      </c>
      <c r="J675">
        <v>135</v>
      </c>
      <c r="K675">
        <v>113</v>
      </c>
      <c r="L675">
        <v>0</v>
      </c>
      <c r="M675" t="s">
        <v>6371</v>
      </c>
    </row>
    <row r="676" spans="1:13">
      <c r="A676" t="s">
        <v>1738</v>
      </c>
      <c r="B676" t="s">
        <v>305</v>
      </c>
      <c r="C676">
        <v>44505</v>
      </c>
      <c r="D676">
        <v>463977298</v>
      </c>
      <c r="E676">
        <v>100305</v>
      </c>
      <c r="F676">
        <v>66</v>
      </c>
      <c r="G676">
        <v>219573887</v>
      </c>
      <c r="H676">
        <v>2918828</v>
      </c>
      <c r="I676">
        <v>26701713</v>
      </c>
      <c r="J676">
        <v>81</v>
      </c>
      <c r="K676">
        <v>388</v>
      </c>
      <c r="L676">
        <v>0</v>
      </c>
      <c r="M676" t="s">
        <v>6370</v>
      </c>
    </row>
    <row r="677" spans="1:13">
      <c r="A677" t="s">
        <v>1747</v>
      </c>
      <c r="B677" t="s">
        <v>70</v>
      </c>
      <c r="C677">
        <v>44757</v>
      </c>
      <c r="D677">
        <v>817286460</v>
      </c>
      <c r="E677">
        <v>55620</v>
      </c>
      <c r="F677">
        <v>83</v>
      </c>
      <c r="G677">
        <v>156580179</v>
      </c>
      <c r="H677">
        <v>1685462</v>
      </c>
      <c r="I677">
        <v>357890160</v>
      </c>
      <c r="J677">
        <v>67</v>
      </c>
      <c r="K677">
        <v>1122</v>
      </c>
      <c r="L677">
        <v>0</v>
      </c>
      <c r="M677" t="s">
        <v>6370</v>
      </c>
    </row>
    <row r="678" spans="1:13">
      <c r="A678" t="s">
        <v>1748</v>
      </c>
      <c r="B678" t="s">
        <v>471</v>
      </c>
      <c r="C678">
        <v>44288</v>
      </c>
      <c r="D678">
        <v>392745531</v>
      </c>
      <c r="E678">
        <v>141221</v>
      </c>
      <c r="F678">
        <v>67</v>
      </c>
      <c r="G678">
        <v>96203913</v>
      </c>
      <c r="H678">
        <v>1246093</v>
      </c>
      <c r="I678">
        <v>137477748</v>
      </c>
      <c r="J678">
        <v>21</v>
      </c>
      <c r="K678">
        <v>3</v>
      </c>
      <c r="L678">
        <v>1</v>
      </c>
      <c r="M678" t="s">
        <v>6370</v>
      </c>
    </row>
    <row r="679" spans="1:13">
      <c r="A679" t="s">
        <v>1749</v>
      </c>
      <c r="B679" t="s">
        <v>879</v>
      </c>
      <c r="C679">
        <v>43761</v>
      </c>
      <c r="D679">
        <v>1222228366</v>
      </c>
      <c r="E679">
        <v>109325</v>
      </c>
      <c r="F679">
        <v>72</v>
      </c>
      <c r="G679">
        <v>569150755</v>
      </c>
      <c r="H679">
        <v>10176233</v>
      </c>
      <c r="I679">
        <v>519924812</v>
      </c>
      <c r="J679">
        <v>174</v>
      </c>
      <c r="K679">
        <v>169</v>
      </c>
      <c r="L679">
        <v>0</v>
      </c>
      <c r="M679" t="s">
        <v>6371</v>
      </c>
    </row>
    <row r="680" spans="1:13">
      <c r="A680" t="s">
        <v>1750</v>
      </c>
      <c r="B680" t="s">
        <v>1751</v>
      </c>
      <c r="C680">
        <v>43504</v>
      </c>
      <c r="D680">
        <v>340112388</v>
      </c>
      <c r="E680">
        <v>66487</v>
      </c>
      <c r="F680">
        <v>60</v>
      </c>
      <c r="G680">
        <v>283340446</v>
      </c>
      <c r="H680">
        <v>3313053</v>
      </c>
      <c r="I680">
        <v>132694197</v>
      </c>
      <c r="J680">
        <v>28</v>
      </c>
      <c r="K680">
        <v>32</v>
      </c>
      <c r="L680">
        <v>0</v>
      </c>
      <c r="M680" t="s">
        <v>6371</v>
      </c>
    </row>
    <row r="681" spans="1:13">
      <c r="A681" t="s">
        <v>1752</v>
      </c>
      <c r="B681" t="s">
        <v>1534</v>
      </c>
      <c r="C681">
        <v>45016</v>
      </c>
      <c r="D681">
        <v>86327319</v>
      </c>
      <c r="E681">
        <v>18112</v>
      </c>
      <c r="F681">
        <v>51</v>
      </c>
      <c r="G681">
        <v>65828097</v>
      </c>
      <c r="H681">
        <v>457580</v>
      </c>
      <c r="I681">
        <v>137960911</v>
      </c>
      <c r="J681">
        <v>18</v>
      </c>
      <c r="K681">
        <v>1989</v>
      </c>
      <c r="L681">
        <v>1</v>
      </c>
      <c r="M681" t="s">
        <v>6370</v>
      </c>
    </row>
    <row r="682" spans="1:13">
      <c r="A682" t="s">
        <v>1755</v>
      </c>
      <c r="B682" t="s">
        <v>288</v>
      </c>
      <c r="C682">
        <v>43509</v>
      </c>
      <c r="D682">
        <v>1306374052</v>
      </c>
      <c r="E682">
        <v>213493</v>
      </c>
      <c r="F682">
        <v>73</v>
      </c>
      <c r="G682">
        <v>606402216</v>
      </c>
      <c r="H682">
        <v>5432558</v>
      </c>
      <c r="I682">
        <v>281781468</v>
      </c>
      <c r="J682">
        <v>45</v>
      </c>
      <c r="K682">
        <v>198</v>
      </c>
      <c r="L682">
        <v>1</v>
      </c>
      <c r="M682" t="s">
        <v>6371</v>
      </c>
    </row>
    <row r="683" spans="1:13">
      <c r="A683" t="s">
        <v>1756</v>
      </c>
      <c r="B683" t="s">
        <v>522</v>
      </c>
      <c r="C683">
        <v>44911</v>
      </c>
      <c r="D683">
        <v>562099076</v>
      </c>
      <c r="E683">
        <v>51229</v>
      </c>
      <c r="F683">
        <v>70</v>
      </c>
      <c r="G683">
        <v>11080081</v>
      </c>
      <c r="H683">
        <v>68671</v>
      </c>
      <c r="I683">
        <v>1746059702</v>
      </c>
      <c r="J683">
        <v>49</v>
      </c>
      <c r="K683">
        <v>36</v>
      </c>
      <c r="L683">
        <v>0</v>
      </c>
      <c r="M683" t="s">
        <v>6370</v>
      </c>
    </row>
    <row r="684" spans="1:13">
      <c r="A684" t="s">
        <v>1757</v>
      </c>
      <c r="B684" t="s">
        <v>1758</v>
      </c>
      <c r="C684">
        <v>44642</v>
      </c>
      <c r="D684">
        <v>300430813</v>
      </c>
      <c r="E684">
        <v>50552</v>
      </c>
      <c r="F684">
        <v>69</v>
      </c>
      <c r="G684">
        <v>103550086</v>
      </c>
      <c r="H684">
        <v>844925</v>
      </c>
      <c r="I684">
        <v>3375488113</v>
      </c>
      <c r="J684">
        <v>51</v>
      </c>
      <c r="K684">
        <v>46</v>
      </c>
      <c r="L684">
        <v>0</v>
      </c>
      <c r="M684" t="s">
        <v>6370</v>
      </c>
    </row>
    <row r="685" spans="1:13">
      <c r="A685" t="s">
        <v>1761</v>
      </c>
      <c r="B685" t="s">
        <v>1762</v>
      </c>
      <c r="C685">
        <v>44231</v>
      </c>
      <c r="D685">
        <v>642558596</v>
      </c>
      <c r="E685">
        <v>106151</v>
      </c>
      <c r="F685">
        <v>64</v>
      </c>
      <c r="G685">
        <v>357508658</v>
      </c>
      <c r="H685">
        <v>2089382</v>
      </c>
      <c r="I685">
        <v>2853555921</v>
      </c>
      <c r="J685">
        <v>77</v>
      </c>
      <c r="K685">
        <v>45</v>
      </c>
      <c r="L685">
        <v>0</v>
      </c>
      <c r="M685" t="s">
        <v>6370</v>
      </c>
    </row>
    <row r="686" spans="1:13">
      <c r="A686" t="s">
        <v>1763</v>
      </c>
      <c r="B686" t="s">
        <v>141</v>
      </c>
      <c r="C686">
        <v>44687</v>
      </c>
      <c r="D686">
        <v>831868563</v>
      </c>
      <c r="E686">
        <v>93211</v>
      </c>
      <c r="F686">
        <v>73</v>
      </c>
      <c r="G686">
        <v>181498962</v>
      </c>
      <c r="H686">
        <v>1237772</v>
      </c>
      <c r="I686">
        <v>985066343</v>
      </c>
      <c r="J686">
        <v>36</v>
      </c>
      <c r="K686">
        <v>391</v>
      </c>
      <c r="L686">
        <v>0</v>
      </c>
      <c r="M686" t="s">
        <v>6370</v>
      </c>
    </row>
    <row r="687" spans="1:13">
      <c r="A687" t="s">
        <v>1766</v>
      </c>
      <c r="B687" t="s">
        <v>1767</v>
      </c>
      <c r="C687">
        <v>42909</v>
      </c>
      <c r="D687">
        <v>1059940209</v>
      </c>
      <c r="E687">
        <v>169454</v>
      </c>
      <c r="F687">
        <v>74</v>
      </c>
      <c r="G687">
        <v>569314714</v>
      </c>
      <c r="H687">
        <v>6558074</v>
      </c>
      <c r="I687">
        <v>22241102823</v>
      </c>
      <c r="J687">
        <v>15</v>
      </c>
      <c r="K687">
        <v>556</v>
      </c>
      <c r="L687">
        <v>0</v>
      </c>
      <c r="M687" t="s">
        <v>6371</v>
      </c>
    </row>
    <row r="688" spans="1:13">
      <c r="A688" t="s">
        <v>1768</v>
      </c>
      <c r="B688" t="s">
        <v>127</v>
      </c>
      <c r="C688">
        <v>44232</v>
      </c>
      <c r="D688">
        <v>812954133</v>
      </c>
      <c r="E688">
        <v>137681</v>
      </c>
      <c r="F688">
        <v>81</v>
      </c>
      <c r="G688">
        <v>66369681</v>
      </c>
      <c r="H688">
        <v>851906</v>
      </c>
      <c r="I688">
        <v>797041217</v>
      </c>
      <c r="J688">
        <v>147</v>
      </c>
      <c r="K688">
        <v>7</v>
      </c>
      <c r="L688">
        <v>1</v>
      </c>
      <c r="M688" t="s">
        <v>6370</v>
      </c>
    </row>
    <row r="689" spans="1:13">
      <c r="A689" t="s">
        <v>1769</v>
      </c>
      <c r="B689" t="s">
        <v>1770</v>
      </c>
      <c r="C689">
        <v>45149</v>
      </c>
      <c r="D689">
        <v>129427492</v>
      </c>
      <c r="E689">
        <v>44672</v>
      </c>
      <c r="F689">
        <v>71</v>
      </c>
      <c r="G689">
        <v>10933079</v>
      </c>
      <c r="H689">
        <v>80021</v>
      </c>
      <c r="I689">
        <v>135983684</v>
      </c>
      <c r="J689">
        <v>69</v>
      </c>
      <c r="K689">
        <v>3</v>
      </c>
      <c r="L689">
        <v>0</v>
      </c>
      <c r="M689" t="s">
        <v>6370</v>
      </c>
    </row>
    <row r="690" spans="1:13">
      <c r="A690" t="s">
        <v>1771</v>
      </c>
      <c r="B690" t="s">
        <v>1772</v>
      </c>
      <c r="C690">
        <v>44589</v>
      </c>
      <c r="D690">
        <v>360584207</v>
      </c>
      <c r="E690">
        <v>68868</v>
      </c>
      <c r="F690">
        <v>66</v>
      </c>
      <c r="G690">
        <v>41254765</v>
      </c>
      <c r="H690">
        <v>1015183</v>
      </c>
      <c r="I690">
        <v>667895022</v>
      </c>
      <c r="J690">
        <v>34</v>
      </c>
      <c r="K690">
        <v>2116</v>
      </c>
      <c r="L690">
        <v>0</v>
      </c>
      <c r="M690" t="s">
        <v>6370</v>
      </c>
    </row>
    <row r="691" spans="1:13">
      <c r="A691" t="s">
        <v>1774</v>
      </c>
      <c r="B691" t="s">
        <v>674</v>
      </c>
      <c r="C691">
        <v>43629</v>
      </c>
      <c r="D691">
        <v>822696809</v>
      </c>
      <c r="E691">
        <v>141261</v>
      </c>
      <c r="F691">
        <v>68</v>
      </c>
      <c r="G691">
        <v>587804570</v>
      </c>
      <c r="H691">
        <v>5432716</v>
      </c>
      <c r="I691">
        <v>404031807</v>
      </c>
      <c r="J691">
        <v>184</v>
      </c>
      <c r="K691">
        <v>124</v>
      </c>
      <c r="L691">
        <v>0</v>
      </c>
      <c r="M691" t="s">
        <v>6371</v>
      </c>
    </row>
    <row r="692" spans="1:13">
      <c r="A692" t="s">
        <v>1777</v>
      </c>
      <c r="B692" t="s">
        <v>983</v>
      </c>
      <c r="C692">
        <v>43791</v>
      </c>
      <c r="D692">
        <v>572441305</v>
      </c>
      <c r="E692">
        <v>113061</v>
      </c>
      <c r="F692">
        <v>67</v>
      </c>
      <c r="G692">
        <v>317626075</v>
      </c>
      <c r="H692">
        <v>4533617</v>
      </c>
      <c r="I692">
        <v>1659032393</v>
      </c>
      <c r="J692">
        <v>20</v>
      </c>
      <c r="K692">
        <v>54</v>
      </c>
      <c r="L692">
        <v>1</v>
      </c>
      <c r="M692" t="s">
        <v>6371</v>
      </c>
    </row>
    <row r="693" spans="1:13">
      <c r="A693" t="s">
        <v>1780</v>
      </c>
      <c r="B693" t="s">
        <v>1781</v>
      </c>
      <c r="C693">
        <v>44190</v>
      </c>
      <c r="D693">
        <v>710319373</v>
      </c>
      <c r="E693">
        <v>209136</v>
      </c>
      <c r="F693">
        <v>74</v>
      </c>
      <c r="G693">
        <v>183959519</v>
      </c>
      <c r="H693">
        <v>2671075</v>
      </c>
      <c r="I693">
        <v>363975031</v>
      </c>
      <c r="J693">
        <v>31</v>
      </c>
      <c r="K693">
        <v>59</v>
      </c>
      <c r="L693">
        <v>1</v>
      </c>
      <c r="M693" t="s">
        <v>6371</v>
      </c>
    </row>
    <row r="694" spans="1:13">
      <c r="A694" t="s">
        <v>1783</v>
      </c>
      <c r="B694" t="s">
        <v>357</v>
      </c>
      <c r="C694">
        <v>40909</v>
      </c>
      <c r="D694">
        <v>1828026153</v>
      </c>
      <c r="E694">
        <v>249663</v>
      </c>
      <c r="F694">
        <v>78</v>
      </c>
      <c r="G694">
        <v>1051247406</v>
      </c>
      <c r="H694">
        <v>7080472</v>
      </c>
      <c r="I694">
        <v>397860038</v>
      </c>
      <c r="J694">
        <v>58</v>
      </c>
      <c r="K694">
        <v>135</v>
      </c>
      <c r="L694">
        <v>1</v>
      </c>
      <c r="M694" t="s">
        <v>6371</v>
      </c>
    </row>
    <row r="695" spans="1:13">
      <c r="A695" t="s">
        <v>1785</v>
      </c>
      <c r="B695" t="s">
        <v>1196</v>
      </c>
      <c r="C695">
        <v>42874</v>
      </c>
      <c r="D695">
        <v>1784308411</v>
      </c>
      <c r="E695">
        <v>157818</v>
      </c>
      <c r="F695">
        <v>75</v>
      </c>
      <c r="G695">
        <v>837720618</v>
      </c>
      <c r="H695">
        <v>7077307</v>
      </c>
      <c r="I695">
        <v>886160801</v>
      </c>
      <c r="J695">
        <v>92</v>
      </c>
      <c r="K695">
        <v>241</v>
      </c>
      <c r="L695">
        <v>0</v>
      </c>
      <c r="M695" t="s">
        <v>6371</v>
      </c>
    </row>
    <row r="696" spans="1:13">
      <c r="A696" t="s">
        <v>1786</v>
      </c>
      <c r="B696" t="s">
        <v>245</v>
      </c>
      <c r="C696">
        <v>45072</v>
      </c>
      <c r="D696">
        <v>127466467</v>
      </c>
      <c r="E696">
        <v>16650</v>
      </c>
      <c r="F696">
        <v>67</v>
      </c>
      <c r="G696">
        <v>13668402</v>
      </c>
      <c r="H696">
        <v>152488</v>
      </c>
      <c r="I696">
        <v>9346042</v>
      </c>
      <c r="J696">
        <v>57</v>
      </c>
      <c r="K696">
        <v>710</v>
      </c>
      <c r="L696">
        <v>0</v>
      </c>
      <c r="M696" t="s">
        <v>6370</v>
      </c>
    </row>
    <row r="697" spans="1:13">
      <c r="A697" t="s">
        <v>1788</v>
      </c>
      <c r="B697" t="s">
        <v>1789</v>
      </c>
      <c r="C697">
        <v>45181</v>
      </c>
      <c r="D697">
        <v>128024416</v>
      </c>
      <c r="E697">
        <v>20826</v>
      </c>
      <c r="F697">
        <v>7</v>
      </c>
      <c r="G697">
        <v>14394570</v>
      </c>
      <c r="H697">
        <v>139320</v>
      </c>
      <c r="I697">
        <v>8090936</v>
      </c>
      <c r="J697">
        <v>73</v>
      </c>
      <c r="K697">
        <v>77</v>
      </c>
      <c r="L697">
        <v>0</v>
      </c>
      <c r="M697" t="s">
        <v>6370</v>
      </c>
    </row>
    <row r="698" spans="1:13">
      <c r="A698" t="s">
        <v>1792</v>
      </c>
      <c r="B698" t="s">
        <v>1618</v>
      </c>
      <c r="C698">
        <v>44547</v>
      </c>
      <c r="D698">
        <v>285723562</v>
      </c>
      <c r="E698">
        <v>63343</v>
      </c>
      <c r="F698">
        <v>63</v>
      </c>
      <c r="G698">
        <v>316060497</v>
      </c>
      <c r="H698">
        <v>3601489</v>
      </c>
      <c r="I698">
        <v>6484877304</v>
      </c>
      <c r="J698">
        <v>32</v>
      </c>
      <c r="K698">
        <v>715</v>
      </c>
      <c r="L698">
        <v>0</v>
      </c>
      <c r="M698" t="s">
        <v>6370</v>
      </c>
    </row>
    <row r="699" spans="1:13">
      <c r="A699" t="s">
        <v>1793</v>
      </c>
      <c r="B699" t="s">
        <v>1794</v>
      </c>
      <c r="C699">
        <v>44323</v>
      </c>
      <c r="D699">
        <v>535695469</v>
      </c>
      <c r="E699">
        <v>188778</v>
      </c>
      <c r="F699">
        <v>6</v>
      </c>
      <c r="G699">
        <v>171889127</v>
      </c>
      <c r="H699">
        <v>3367746</v>
      </c>
      <c r="I699">
        <v>1011224005</v>
      </c>
      <c r="J699">
        <v>58</v>
      </c>
      <c r="K699">
        <v>9</v>
      </c>
      <c r="L699">
        <v>1</v>
      </c>
      <c r="M699" t="s">
        <v>6370</v>
      </c>
    </row>
    <row r="700" spans="1:13">
      <c r="A700" t="s">
        <v>1802</v>
      </c>
      <c r="B700" t="s">
        <v>1803</v>
      </c>
      <c r="C700">
        <v>42594</v>
      </c>
      <c r="D700">
        <v>972005229</v>
      </c>
      <c r="E700">
        <v>186174</v>
      </c>
      <c r="F700">
        <v>69</v>
      </c>
      <c r="G700">
        <v>1178473071</v>
      </c>
      <c r="H700">
        <v>9750786</v>
      </c>
      <c r="I700">
        <v>184153973</v>
      </c>
      <c r="J700">
        <v>160</v>
      </c>
      <c r="K700">
        <v>108</v>
      </c>
      <c r="L700">
        <v>1</v>
      </c>
      <c r="M700" t="s">
        <v>6371</v>
      </c>
    </row>
    <row r="701" spans="1:13">
      <c r="A701" t="s">
        <v>1805</v>
      </c>
      <c r="B701" t="s">
        <v>295</v>
      </c>
      <c r="C701">
        <v>44442</v>
      </c>
      <c r="D701">
        <v>459480135</v>
      </c>
      <c r="E701">
        <v>137691</v>
      </c>
      <c r="F701">
        <v>68</v>
      </c>
      <c r="G701">
        <v>94845922</v>
      </c>
      <c r="H701">
        <v>710635</v>
      </c>
      <c r="I701">
        <v>550340528</v>
      </c>
      <c r="J701">
        <v>77</v>
      </c>
      <c r="K701">
        <v>608</v>
      </c>
      <c r="L701">
        <v>1</v>
      </c>
      <c r="M701" t="s">
        <v>6370</v>
      </c>
    </row>
    <row r="702" spans="1:13">
      <c r="A702" t="s">
        <v>1808</v>
      </c>
      <c r="B702" t="s">
        <v>434</v>
      </c>
      <c r="C702">
        <v>43355</v>
      </c>
      <c r="D702">
        <v>1291244134</v>
      </c>
      <c r="E702">
        <v>241882</v>
      </c>
      <c r="F702">
        <v>29</v>
      </c>
      <c r="G702">
        <v>576756813</v>
      </c>
      <c r="H702">
        <v>6989481</v>
      </c>
      <c r="I702">
        <v>1853292133</v>
      </c>
      <c r="J702">
        <v>39</v>
      </c>
      <c r="K702">
        <v>116</v>
      </c>
      <c r="L702">
        <v>1</v>
      </c>
      <c r="M702" t="s">
        <v>6371</v>
      </c>
    </row>
    <row r="703" spans="1:13">
      <c r="A703" t="s">
        <v>1810</v>
      </c>
      <c r="B703" t="s">
        <v>646</v>
      </c>
      <c r="C703">
        <v>45380</v>
      </c>
      <c r="D703">
        <v>63142772</v>
      </c>
      <c r="E703">
        <v>7213</v>
      </c>
      <c r="F703">
        <v>79</v>
      </c>
      <c r="G703">
        <v>320436</v>
      </c>
      <c r="H703">
        <v>6638</v>
      </c>
      <c r="I703">
        <v>63352002</v>
      </c>
      <c r="J703">
        <v>23</v>
      </c>
      <c r="K703">
        <v>53</v>
      </c>
      <c r="L703">
        <v>1</v>
      </c>
      <c r="M703" t="s">
        <v>6370</v>
      </c>
    </row>
    <row r="704" spans="1:13">
      <c r="A704" t="s">
        <v>1811</v>
      </c>
      <c r="B704" t="s">
        <v>1812</v>
      </c>
      <c r="C704">
        <v>44833</v>
      </c>
      <c r="D704">
        <v>416361102</v>
      </c>
      <c r="E704">
        <v>48450</v>
      </c>
      <c r="F704">
        <v>69</v>
      </c>
      <c r="G704">
        <v>251373932</v>
      </c>
      <c r="H704">
        <v>911711</v>
      </c>
      <c r="I704">
        <v>1931498021</v>
      </c>
      <c r="J704">
        <v>42</v>
      </c>
      <c r="K704">
        <v>26</v>
      </c>
      <c r="L704">
        <v>0</v>
      </c>
      <c r="M704" t="s">
        <v>6370</v>
      </c>
    </row>
    <row r="705" spans="1:13">
      <c r="A705" t="s">
        <v>1813</v>
      </c>
      <c r="B705" t="s">
        <v>1814</v>
      </c>
      <c r="C705">
        <v>43357</v>
      </c>
      <c r="D705">
        <v>996942947</v>
      </c>
      <c r="E705">
        <v>188378</v>
      </c>
      <c r="F705">
        <v>71</v>
      </c>
      <c r="G705">
        <v>614755305</v>
      </c>
      <c r="H705">
        <v>5707814</v>
      </c>
      <c r="I705">
        <v>424030507</v>
      </c>
      <c r="J705">
        <v>40</v>
      </c>
      <c r="K705">
        <v>56</v>
      </c>
      <c r="L705">
        <v>1</v>
      </c>
      <c r="M705" t="s">
        <v>6371</v>
      </c>
    </row>
    <row r="706" spans="1:13">
      <c r="A706" t="s">
        <v>1817</v>
      </c>
      <c r="B706" t="s">
        <v>576</v>
      </c>
      <c r="C706">
        <v>45015</v>
      </c>
      <c r="D706">
        <v>287853890</v>
      </c>
      <c r="E706">
        <v>21244</v>
      </c>
      <c r="F706">
        <v>65</v>
      </c>
      <c r="G706">
        <v>267142398</v>
      </c>
      <c r="H706">
        <v>1552179</v>
      </c>
      <c r="I706">
        <v>550080768</v>
      </c>
      <c r="J706">
        <v>31</v>
      </c>
      <c r="K706">
        <v>65</v>
      </c>
      <c r="L706">
        <v>0</v>
      </c>
      <c r="M706" t="s">
        <v>6370</v>
      </c>
    </row>
    <row r="707" spans="1:13">
      <c r="A707" t="s">
        <v>1818</v>
      </c>
      <c r="B707" t="s">
        <v>1296</v>
      </c>
      <c r="C707">
        <v>43573</v>
      </c>
      <c r="D707">
        <v>693061510</v>
      </c>
      <c r="E707">
        <v>73605</v>
      </c>
      <c r="F707">
        <v>63</v>
      </c>
      <c r="G707">
        <v>1315371330</v>
      </c>
      <c r="H707">
        <v>9042596</v>
      </c>
      <c r="I707">
        <v>81046643</v>
      </c>
      <c r="J707">
        <v>56</v>
      </c>
      <c r="K707">
        <v>30</v>
      </c>
      <c r="L707">
        <v>1</v>
      </c>
      <c r="M707" t="s">
        <v>6371</v>
      </c>
    </row>
    <row r="708" spans="1:13">
      <c r="A708" t="s">
        <v>1819</v>
      </c>
      <c r="B708" t="s">
        <v>1820</v>
      </c>
      <c r="C708">
        <v>44141</v>
      </c>
      <c r="D708">
        <v>378239461</v>
      </c>
      <c r="E708">
        <v>126894</v>
      </c>
      <c r="F708">
        <v>62</v>
      </c>
      <c r="G708">
        <v>477876565</v>
      </c>
      <c r="H708">
        <v>3072709</v>
      </c>
      <c r="I708">
        <v>230352883</v>
      </c>
      <c r="J708">
        <v>72</v>
      </c>
      <c r="K708">
        <v>198</v>
      </c>
      <c r="L708">
        <v>1</v>
      </c>
      <c r="M708" t="s">
        <v>6371</v>
      </c>
    </row>
    <row r="709" spans="1:13">
      <c r="A709" t="s">
        <v>1824</v>
      </c>
      <c r="B709" t="s">
        <v>715</v>
      </c>
      <c r="C709">
        <v>45002</v>
      </c>
      <c r="D709">
        <v>225556005</v>
      </c>
      <c r="E709">
        <v>25164</v>
      </c>
      <c r="F709">
        <v>73</v>
      </c>
      <c r="G709">
        <v>23904394</v>
      </c>
      <c r="H709">
        <v>111346</v>
      </c>
      <c r="I709">
        <v>56949752</v>
      </c>
      <c r="J709">
        <v>28</v>
      </c>
      <c r="K709">
        <v>117</v>
      </c>
      <c r="L709">
        <v>0</v>
      </c>
      <c r="M709" t="s">
        <v>6370</v>
      </c>
    </row>
    <row r="710" spans="1:13">
      <c r="A710" t="s">
        <v>1825</v>
      </c>
      <c r="B710" t="s">
        <v>187</v>
      </c>
      <c r="C710">
        <v>44631</v>
      </c>
      <c r="D710">
        <v>144889291</v>
      </c>
      <c r="E710">
        <v>63045</v>
      </c>
      <c r="F710">
        <v>59</v>
      </c>
      <c r="G710">
        <v>98375891</v>
      </c>
      <c r="H710">
        <v>844144</v>
      </c>
      <c r="I710">
        <v>515213856</v>
      </c>
      <c r="J710">
        <v>31</v>
      </c>
      <c r="K710">
        <v>726</v>
      </c>
      <c r="L710">
        <v>1</v>
      </c>
      <c r="M710" t="s">
        <v>6370</v>
      </c>
    </row>
    <row r="711" spans="1:13">
      <c r="A711" t="s">
        <v>1826</v>
      </c>
      <c r="B711" t="s">
        <v>184</v>
      </c>
      <c r="C711">
        <v>42300</v>
      </c>
      <c r="D711">
        <v>1550553401</v>
      </c>
      <c r="E711">
        <v>140637</v>
      </c>
      <c r="F711">
        <v>68</v>
      </c>
      <c r="G711">
        <v>347935820</v>
      </c>
      <c r="H711">
        <v>3794833</v>
      </c>
      <c r="I711">
        <v>707793848</v>
      </c>
      <c r="J711">
        <v>288</v>
      </c>
      <c r="K711">
        <v>119</v>
      </c>
      <c r="L711">
        <v>0</v>
      </c>
      <c r="M711" t="s">
        <v>6371</v>
      </c>
    </row>
    <row r="712" spans="1:13">
      <c r="A712" t="s">
        <v>1829</v>
      </c>
      <c r="B712" t="s">
        <v>705</v>
      </c>
      <c r="C712">
        <v>44839</v>
      </c>
      <c r="D712">
        <v>218661601</v>
      </c>
      <c r="E712">
        <v>25714</v>
      </c>
      <c r="F712">
        <v>57</v>
      </c>
      <c r="G712">
        <v>173995566</v>
      </c>
      <c r="H712">
        <v>1354818</v>
      </c>
      <c r="I712">
        <v>2353588008</v>
      </c>
      <c r="J712">
        <v>8</v>
      </c>
      <c r="K712">
        <v>600</v>
      </c>
      <c r="L712">
        <v>0</v>
      </c>
      <c r="M712" t="s">
        <v>6370</v>
      </c>
    </row>
    <row r="713" spans="1:13">
      <c r="A713" t="s">
        <v>1830</v>
      </c>
      <c r="B713" t="s">
        <v>1831</v>
      </c>
      <c r="C713">
        <v>45044</v>
      </c>
      <c r="D713">
        <v>100360956</v>
      </c>
      <c r="E713">
        <v>15383</v>
      </c>
      <c r="F713">
        <v>69</v>
      </c>
      <c r="G713">
        <v>12196961</v>
      </c>
      <c r="H713">
        <v>98714</v>
      </c>
      <c r="I713">
        <v>57109846</v>
      </c>
      <c r="J713">
        <v>19</v>
      </c>
      <c r="K713">
        <v>37</v>
      </c>
      <c r="L713">
        <v>0</v>
      </c>
      <c r="M713" t="s">
        <v>6370</v>
      </c>
    </row>
    <row r="714" spans="1:13">
      <c r="A714" t="s">
        <v>1832</v>
      </c>
      <c r="B714" t="s">
        <v>221</v>
      </c>
      <c r="C714">
        <v>44967</v>
      </c>
      <c r="D714">
        <v>164507374</v>
      </c>
      <c r="E714">
        <v>29896</v>
      </c>
      <c r="F714">
        <v>67</v>
      </c>
      <c r="G714">
        <v>47201934</v>
      </c>
      <c r="H714">
        <v>291689</v>
      </c>
      <c r="I714">
        <v>220946119</v>
      </c>
      <c r="J714">
        <v>20</v>
      </c>
      <c r="K714">
        <v>4</v>
      </c>
      <c r="L714">
        <v>0</v>
      </c>
      <c r="M714" t="s">
        <v>6370</v>
      </c>
    </row>
    <row r="715" spans="1:13">
      <c r="A715" t="s">
        <v>1833</v>
      </c>
      <c r="B715" t="s">
        <v>1305</v>
      </c>
      <c r="C715">
        <v>45106</v>
      </c>
      <c r="D715">
        <v>368429447</v>
      </c>
      <c r="E715">
        <v>46625</v>
      </c>
      <c r="F715">
        <v>75</v>
      </c>
      <c r="G715">
        <v>74049864</v>
      </c>
      <c r="H715">
        <v>676666</v>
      </c>
      <c r="I715">
        <v>6911099</v>
      </c>
      <c r="J715">
        <v>52</v>
      </c>
      <c r="K715">
        <v>49</v>
      </c>
      <c r="L715">
        <v>1</v>
      </c>
      <c r="M715" t="s">
        <v>6370</v>
      </c>
    </row>
    <row r="716" spans="1:13">
      <c r="A716" t="s">
        <v>1834</v>
      </c>
      <c r="B716" t="s">
        <v>19</v>
      </c>
      <c r="C716">
        <v>44694</v>
      </c>
      <c r="D716">
        <v>426936498</v>
      </c>
      <c r="E716">
        <v>118020</v>
      </c>
      <c r="F716">
        <v>74</v>
      </c>
      <c r="G716">
        <v>124386115</v>
      </c>
      <c r="H716">
        <v>2134071</v>
      </c>
      <c r="I716">
        <v>186922543</v>
      </c>
      <c r="J716">
        <v>48</v>
      </c>
      <c r="K716">
        <v>122</v>
      </c>
      <c r="L716">
        <v>1</v>
      </c>
      <c r="M716" t="s">
        <v>6370</v>
      </c>
    </row>
    <row r="717" spans="1:13">
      <c r="A717" t="s">
        <v>1840</v>
      </c>
      <c r="B717" t="s">
        <v>127</v>
      </c>
      <c r="C717">
        <v>42045</v>
      </c>
      <c r="D717">
        <v>1667089416</v>
      </c>
      <c r="E717">
        <v>97707</v>
      </c>
      <c r="F717">
        <v>69</v>
      </c>
      <c r="G717">
        <v>955666073</v>
      </c>
      <c r="H717">
        <v>8354260</v>
      </c>
      <c r="I717">
        <v>1048617583</v>
      </c>
      <c r="J717">
        <v>26</v>
      </c>
      <c r="K717">
        <v>91</v>
      </c>
      <c r="L717">
        <v>1</v>
      </c>
      <c r="M717" t="s">
        <v>6371</v>
      </c>
    </row>
    <row r="718" spans="1:13">
      <c r="A718" t="s">
        <v>1841</v>
      </c>
      <c r="B718" t="s">
        <v>1842</v>
      </c>
      <c r="C718">
        <v>42978</v>
      </c>
      <c r="D718">
        <v>648757330</v>
      </c>
      <c r="E718">
        <v>66961</v>
      </c>
      <c r="F718">
        <v>55</v>
      </c>
      <c r="G718">
        <v>1402505864</v>
      </c>
      <c r="H718">
        <v>15657910</v>
      </c>
      <c r="I718">
        <v>243585831</v>
      </c>
      <c r="J718">
        <v>62</v>
      </c>
      <c r="K718">
        <v>6</v>
      </c>
      <c r="L718">
        <v>1</v>
      </c>
      <c r="M718" t="s">
        <v>6371</v>
      </c>
    </row>
    <row r="719" spans="1:13">
      <c r="A719" t="s">
        <v>1843</v>
      </c>
      <c r="B719" t="s">
        <v>180</v>
      </c>
      <c r="C719">
        <v>44554</v>
      </c>
      <c r="D719">
        <v>255707376</v>
      </c>
      <c r="E719">
        <v>35404</v>
      </c>
      <c r="F719">
        <v>64</v>
      </c>
      <c r="G719">
        <v>132383657</v>
      </c>
      <c r="H719">
        <v>926647</v>
      </c>
      <c r="I719">
        <v>3229349729</v>
      </c>
      <c r="J719">
        <v>4</v>
      </c>
      <c r="K719">
        <v>44</v>
      </c>
      <c r="L719">
        <v>1</v>
      </c>
      <c r="M719" t="s">
        <v>6370</v>
      </c>
    </row>
    <row r="720" spans="1:13">
      <c r="A720" t="s">
        <v>1844</v>
      </c>
      <c r="B720" t="s">
        <v>24</v>
      </c>
      <c r="C720">
        <v>44995</v>
      </c>
      <c r="D720">
        <v>173349210</v>
      </c>
      <c r="E720">
        <v>22117</v>
      </c>
      <c r="F720">
        <v>65</v>
      </c>
      <c r="G720">
        <v>69971780</v>
      </c>
      <c r="H720">
        <v>926126</v>
      </c>
      <c r="I720">
        <v>120314198</v>
      </c>
      <c r="J720">
        <v>40</v>
      </c>
      <c r="K720">
        <v>416</v>
      </c>
      <c r="L720">
        <v>1</v>
      </c>
      <c r="M720" t="s">
        <v>6370</v>
      </c>
    </row>
    <row r="721" spans="1:13">
      <c r="A721" t="s">
        <v>1846</v>
      </c>
      <c r="B721" t="s">
        <v>1847</v>
      </c>
      <c r="C721">
        <v>44673</v>
      </c>
      <c r="D721">
        <v>34621941</v>
      </c>
      <c r="E721">
        <v>15846</v>
      </c>
      <c r="F721">
        <v>36</v>
      </c>
      <c r="G721">
        <v>4019929</v>
      </c>
      <c r="H721">
        <v>89953</v>
      </c>
      <c r="I721">
        <v>5720070197</v>
      </c>
      <c r="J721">
        <v>1</v>
      </c>
      <c r="K721">
        <v>734</v>
      </c>
      <c r="L721">
        <v>1</v>
      </c>
      <c r="M721" t="s">
        <v>6370</v>
      </c>
    </row>
    <row r="722" spans="1:13">
      <c r="A722" t="s">
        <v>1848</v>
      </c>
      <c r="B722" t="s">
        <v>879</v>
      </c>
      <c r="C722">
        <v>43033</v>
      </c>
      <c r="D722">
        <v>1358424406</v>
      </c>
      <c r="E722">
        <v>123735</v>
      </c>
      <c r="F722">
        <v>71</v>
      </c>
      <c r="G722">
        <v>930929767</v>
      </c>
      <c r="H722">
        <v>8736302</v>
      </c>
      <c r="I722">
        <v>253791542</v>
      </c>
      <c r="J722">
        <v>116</v>
      </c>
      <c r="K722">
        <v>14</v>
      </c>
      <c r="L722">
        <v>0</v>
      </c>
      <c r="M722" t="s">
        <v>6371</v>
      </c>
    </row>
    <row r="723" spans="1:13">
      <c r="A723" t="s">
        <v>1849</v>
      </c>
      <c r="B723" t="s">
        <v>1850</v>
      </c>
      <c r="C723">
        <v>42321</v>
      </c>
      <c r="D723">
        <v>1422563654</v>
      </c>
      <c r="E723">
        <v>129568</v>
      </c>
      <c r="F723">
        <v>71</v>
      </c>
      <c r="G723">
        <v>710718042</v>
      </c>
      <c r="H723">
        <v>9930759</v>
      </c>
      <c r="I723">
        <v>736544909</v>
      </c>
      <c r="J723">
        <v>138</v>
      </c>
      <c r="K723">
        <v>288</v>
      </c>
      <c r="L723">
        <v>0</v>
      </c>
      <c r="M723" t="s">
        <v>6371</v>
      </c>
    </row>
    <row r="724" spans="1:13">
      <c r="A724" t="s">
        <v>1851</v>
      </c>
      <c r="B724" t="s">
        <v>1852</v>
      </c>
      <c r="C724">
        <v>45366</v>
      </c>
      <c r="D724">
        <v>196612187</v>
      </c>
      <c r="E724">
        <v>3800</v>
      </c>
      <c r="F724">
        <v>85</v>
      </c>
      <c r="G724">
        <v>38102046</v>
      </c>
      <c r="H724">
        <v>2794580</v>
      </c>
      <c r="I724">
        <v>26700</v>
      </c>
      <c r="J724">
        <v>16</v>
      </c>
      <c r="K724">
        <v>95</v>
      </c>
      <c r="L724">
        <v>0</v>
      </c>
      <c r="M724" t="s">
        <v>6370</v>
      </c>
    </row>
    <row r="725" spans="1:13">
      <c r="A725" t="s">
        <v>1853</v>
      </c>
      <c r="B725" t="s">
        <v>1854</v>
      </c>
      <c r="C725">
        <v>44519</v>
      </c>
      <c r="D725">
        <v>318018082</v>
      </c>
      <c r="E725">
        <v>41062</v>
      </c>
      <c r="F725">
        <v>65</v>
      </c>
      <c r="G725">
        <v>580242930</v>
      </c>
      <c r="H725">
        <v>3471774</v>
      </c>
      <c r="I725">
        <v>1100134488</v>
      </c>
      <c r="J725">
        <v>35</v>
      </c>
      <c r="K725">
        <v>155</v>
      </c>
      <c r="L725">
        <v>0</v>
      </c>
      <c r="M725" t="s">
        <v>6370</v>
      </c>
    </row>
    <row r="726" spans="1:13">
      <c r="A726" t="s">
        <v>1856</v>
      </c>
      <c r="B726" t="s">
        <v>1857</v>
      </c>
      <c r="C726">
        <v>44437</v>
      </c>
      <c r="D726">
        <v>451323154</v>
      </c>
      <c r="E726">
        <v>143071</v>
      </c>
      <c r="F726">
        <v>67</v>
      </c>
      <c r="G726">
        <v>75632640</v>
      </c>
      <c r="H726">
        <v>1192980</v>
      </c>
      <c r="I726">
        <v>4707280248</v>
      </c>
      <c r="J726">
        <v>24</v>
      </c>
      <c r="K726">
        <v>182</v>
      </c>
      <c r="L726">
        <v>0</v>
      </c>
      <c r="M726" t="s">
        <v>6370</v>
      </c>
    </row>
    <row r="727" spans="1:13">
      <c r="A727" t="s">
        <v>1860</v>
      </c>
      <c r="B727" t="s">
        <v>1102</v>
      </c>
      <c r="C727">
        <v>44967</v>
      </c>
      <c r="D727">
        <v>684103586</v>
      </c>
      <c r="E727">
        <v>42304</v>
      </c>
      <c r="F727">
        <v>76</v>
      </c>
      <c r="G727">
        <v>125144381</v>
      </c>
      <c r="H727">
        <v>583066</v>
      </c>
      <c r="I727">
        <v>622470844</v>
      </c>
      <c r="J727">
        <v>37</v>
      </c>
      <c r="K727">
        <v>2</v>
      </c>
      <c r="L727">
        <v>0</v>
      </c>
      <c r="M727" t="s">
        <v>6370</v>
      </c>
    </row>
    <row r="728" spans="1:13">
      <c r="A728" t="s">
        <v>1861</v>
      </c>
      <c r="B728" t="s">
        <v>1862</v>
      </c>
      <c r="C728">
        <v>43602</v>
      </c>
      <c r="D728">
        <v>962546385</v>
      </c>
      <c r="E728">
        <v>198786</v>
      </c>
      <c r="F728">
        <v>76</v>
      </c>
      <c r="G728">
        <v>262134097</v>
      </c>
      <c r="H728">
        <v>4025958</v>
      </c>
      <c r="I728">
        <v>247993418</v>
      </c>
      <c r="J728">
        <v>106</v>
      </c>
      <c r="K728">
        <v>1</v>
      </c>
      <c r="L728">
        <v>1</v>
      </c>
      <c r="M728" t="s">
        <v>6371</v>
      </c>
    </row>
    <row r="729" spans="1:13">
      <c r="A729" t="s">
        <v>1863</v>
      </c>
      <c r="B729" t="s">
        <v>1355</v>
      </c>
      <c r="C729">
        <v>44421</v>
      </c>
      <c r="D729">
        <v>347218974</v>
      </c>
      <c r="E729">
        <v>34933</v>
      </c>
      <c r="F729">
        <v>57</v>
      </c>
      <c r="G729">
        <v>662346628</v>
      </c>
      <c r="H729">
        <v>2983631</v>
      </c>
      <c r="I729">
        <v>394751759</v>
      </c>
      <c r="J729">
        <v>23</v>
      </c>
      <c r="K729">
        <v>312</v>
      </c>
      <c r="L729">
        <v>0</v>
      </c>
      <c r="M729" t="s">
        <v>6370</v>
      </c>
    </row>
    <row r="730" spans="1:13">
      <c r="A730" t="s">
        <v>1864</v>
      </c>
      <c r="B730" t="s">
        <v>22</v>
      </c>
      <c r="C730">
        <v>45223</v>
      </c>
      <c r="D730">
        <v>219995278</v>
      </c>
      <c r="E730">
        <v>26538</v>
      </c>
      <c r="F730">
        <v>78</v>
      </c>
      <c r="G730">
        <v>25556375</v>
      </c>
      <c r="H730">
        <v>392029</v>
      </c>
      <c r="I730">
        <v>561266399</v>
      </c>
      <c r="J730">
        <v>18</v>
      </c>
      <c r="K730">
        <v>42</v>
      </c>
      <c r="L730">
        <v>1</v>
      </c>
      <c r="M730" t="s">
        <v>6370</v>
      </c>
    </row>
    <row r="731" spans="1:13">
      <c r="A731" t="s">
        <v>1869</v>
      </c>
      <c r="B731" t="s">
        <v>330</v>
      </c>
      <c r="C731">
        <v>43805</v>
      </c>
      <c r="D731">
        <v>703865912</v>
      </c>
      <c r="E731">
        <v>78873</v>
      </c>
      <c r="F731">
        <v>68</v>
      </c>
      <c r="G731">
        <v>344504691</v>
      </c>
      <c r="H731">
        <v>5473016</v>
      </c>
      <c r="I731">
        <v>2298790080</v>
      </c>
      <c r="J731">
        <v>74</v>
      </c>
      <c r="K731">
        <v>170</v>
      </c>
      <c r="L731">
        <v>0</v>
      </c>
      <c r="M731" t="s">
        <v>6371</v>
      </c>
    </row>
    <row r="732" spans="1:13">
      <c r="A732" t="s">
        <v>1870</v>
      </c>
      <c r="B732" t="s">
        <v>221</v>
      </c>
      <c r="C732">
        <v>44127</v>
      </c>
      <c r="D732">
        <v>472886929</v>
      </c>
      <c r="E732">
        <v>66543</v>
      </c>
      <c r="F732">
        <v>70</v>
      </c>
      <c r="G732">
        <v>247466941</v>
      </c>
      <c r="H732">
        <v>1347724</v>
      </c>
      <c r="I732">
        <v>454676514</v>
      </c>
      <c r="J732">
        <v>71</v>
      </c>
      <c r="K732">
        <v>35</v>
      </c>
      <c r="L732">
        <v>0</v>
      </c>
      <c r="M732" t="s">
        <v>6371</v>
      </c>
    </row>
    <row r="733" spans="1:13">
      <c r="A733" t="s">
        <v>1873</v>
      </c>
      <c r="B733" t="s">
        <v>355</v>
      </c>
      <c r="C733">
        <v>44032</v>
      </c>
      <c r="D733">
        <v>578061816</v>
      </c>
      <c r="E733">
        <v>190490</v>
      </c>
      <c r="F733">
        <v>67</v>
      </c>
      <c r="G733">
        <v>261251373</v>
      </c>
      <c r="H733">
        <v>2123833</v>
      </c>
      <c r="I733">
        <v>259813719</v>
      </c>
      <c r="J733">
        <v>28</v>
      </c>
      <c r="K733">
        <v>121</v>
      </c>
      <c r="L733">
        <v>1</v>
      </c>
      <c r="M733" t="s">
        <v>6371</v>
      </c>
    </row>
    <row r="734" spans="1:13">
      <c r="A734" t="s">
        <v>1874</v>
      </c>
      <c r="B734" t="s">
        <v>520</v>
      </c>
      <c r="C734">
        <v>44722</v>
      </c>
      <c r="D734">
        <v>401066217</v>
      </c>
      <c r="E734">
        <v>70661</v>
      </c>
      <c r="F734">
        <v>69</v>
      </c>
      <c r="G734">
        <v>54641192</v>
      </c>
      <c r="H734">
        <v>657641</v>
      </c>
      <c r="I734">
        <v>172191</v>
      </c>
      <c r="J734">
        <v>79</v>
      </c>
      <c r="K734">
        <v>2585</v>
      </c>
      <c r="L734">
        <v>0</v>
      </c>
      <c r="M734" t="s">
        <v>6370</v>
      </c>
    </row>
    <row r="735" spans="1:13">
      <c r="A735" t="s">
        <v>1875</v>
      </c>
      <c r="B735" t="s">
        <v>1876</v>
      </c>
      <c r="C735">
        <v>45080</v>
      </c>
      <c r="D735">
        <v>27444985</v>
      </c>
      <c r="E735">
        <v>8182</v>
      </c>
      <c r="F735">
        <v>56</v>
      </c>
      <c r="G735">
        <v>30407112</v>
      </c>
      <c r="H735">
        <v>269687</v>
      </c>
      <c r="I735">
        <v>619648663</v>
      </c>
      <c r="J735">
        <v>18</v>
      </c>
      <c r="K735">
        <v>11</v>
      </c>
      <c r="L735">
        <v>0</v>
      </c>
      <c r="M735" t="s">
        <v>6370</v>
      </c>
    </row>
    <row r="736" spans="1:13">
      <c r="A736" t="s">
        <v>1877</v>
      </c>
      <c r="B736" t="s">
        <v>1878</v>
      </c>
      <c r="C736">
        <v>45002</v>
      </c>
      <c r="D736">
        <v>228240866</v>
      </c>
      <c r="E736">
        <v>33819</v>
      </c>
      <c r="F736">
        <v>68</v>
      </c>
      <c r="G736">
        <v>71928705</v>
      </c>
      <c r="H736">
        <v>887392</v>
      </c>
      <c r="I736">
        <v>1249845764</v>
      </c>
      <c r="J736">
        <v>37</v>
      </c>
      <c r="K736">
        <v>1642</v>
      </c>
      <c r="L736">
        <v>1</v>
      </c>
      <c r="M736" t="s">
        <v>6370</v>
      </c>
    </row>
    <row r="737" spans="1:13">
      <c r="A737" t="s">
        <v>1879</v>
      </c>
      <c r="B737" t="s">
        <v>1880</v>
      </c>
      <c r="C737">
        <v>44496</v>
      </c>
      <c r="D737">
        <v>452087681</v>
      </c>
      <c r="E737">
        <v>66494</v>
      </c>
      <c r="F737">
        <v>65</v>
      </c>
      <c r="G737">
        <v>509694751</v>
      </c>
      <c r="H737">
        <v>2049523</v>
      </c>
      <c r="I737">
        <v>754567803</v>
      </c>
      <c r="J737">
        <v>53</v>
      </c>
      <c r="K737">
        <v>145</v>
      </c>
      <c r="L737">
        <v>1</v>
      </c>
      <c r="M737" t="s">
        <v>6370</v>
      </c>
    </row>
    <row r="738" spans="1:13">
      <c r="A738" t="s">
        <v>1883</v>
      </c>
      <c r="B738" t="s">
        <v>1884</v>
      </c>
      <c r="C738">
        <v>41275</v>
      </c>
      <c r="D738">
        <v>2541833602</v>
      </c>
      <c r="E738">
        <v>369150</v>
      </c>
      <c r="F738">
        <v>80</v>
      </c>
      <c r="G738">
        <v>533440453</v>
      </c>
      <c r="H738">
        <v>4627060</v>
      </c>
      <c r="I738">
        <v>3108986398</v>
      </c>
      <c r="J738">
        <v>231</v>
      </c>
      <c r="K738">
        <v>171</v>
      </c>
      <c r="L738">
        <v>0</v>
      </c>
      <c r="M738" t="s">
        <v>6371</v>
      </c>
    </row>
    <row r="739" spans="1:13">
      <c r="A739" t="s">
        <v>1885</v>
      </c>
      <c r="B739" t="s">
        <v>522</v>
      </c>
      <c r="C739">
        <v>44896</v>
      </c>
      <c r="D739">
        <v>511421362</v>
      </c>
      <c r="E739">
        <v>37923</v>
      </c>
      <c r="F739">
        <v>75</v>
      </c>
      <c r="G739">
        <v>265678775</v>
      </c>
      <c r="H739">
        <v>844731</v>
      </c>
      <c r="I739">
        <v>204148897</v>
      </c>
      <c r="J739">
        <v>24</v>
      </c>
      <c r="K739">
        <v>5</v>
      </c>
      <c r="L739">
        <v>1</v>
      </c>
      <c r="M739" t="s">
        <v>6370</v>
      </c>
    </row>
    <row r="740" spans="1:13">
      <c r="A740" t="s">
        <v>1886</v>
      </c>
      <c r="B740" t="s">
        <v>1887</v>
      </c>
      <c r="C740">
        <v>44932</v>
      </c>
      <c r="D740">
        <v>190126590</v>
      </c>
      <c r="E740">
        <v>39734</v>
      </c>
      <c r="F740">
        <v>63</v>
      </c>
      <c r="G740">
        <v>71742798</v>
      </c>
      <c r="H740">
        <v>984809</v>
      </c>
      <c r="I740">
        <v>1435693104</v>
      </c>
      <c r="J740">
        <v>47</v>
      </c>
      <c r="K740">
        <v>2376</v>
      </c>
      <c r="L740">
        <v>1</v>
      </c>
      <c r="M740" t="s">
        <v>6370</v>
      </c>
    </row>
    <row r="741" spans="1:13">
      <c r="A741" t="s">
        <v>1889</v>
      </c>
      <c r="B741" t="s">
        <v>1890</v>
      </c>
      <c r="C741">
        <v>44750</v>
      </c>
      <c r="D741">
        <v>315014005</v>
      </c>
      <c r="E741">
        <v>61987</v>
      </c>
      <c r="F741">
        <v>71</v>
      </c>
      <c r="G741">
        <v>77564375</v>
      </c>
      <c r="H741">
        <v>661614</v>
      </c>
      <c r="I741">
        <v>366123920</v>
      </c>
      <c r="J741">
        <v>27</v>
      </c>
      <c r="K741">
        <v>21</v>
      </c>
      <c r="L741">
        <v>1</v>
      </c>
      <c r="M741" t="s">
        <v>6370</v>
      </c>
    </row>
    <row r="742" spans="1:13">
      <c r="A742" t="s">
        <v>1892</v>
      </c>
      <c r="B742" t="s">
        <v>1893</v>
      </c>
      <c r="C742">
        <v>42044</v>
      </c>
      <c r="D742">
        <v>2097181065</v>
      </c>
      <c r="E742">
        <v>286668</v>
      </c>
      <c r="F742">
        <v>84</v>
      </c>
      <c r="G742">
        <v>807672690</v>
      </c>
      <c r="H742">
        <v>8866507</v>
      </c>
      <c r="I742">
        <v>1722597041</v>
      </c>
      <c r="J742">
        <v>78</v>
      </c>
      <c r="K742">
        <v>43</v>
      </c>
      <c r="L742">
        <v>0</v>
      </c>
      <c r="M742" t="s">
        <v>6371</v>
      </c>
    </row>
    <row r="743" spans="1:13">
      <c r="A743" t="s">
        <v>1894</v>
      </c>
      <c r="B743" t="s">
        <v>384</v>
      </c>
      <c r="C743">
        <v>44910</v>
      </c>
      <c r="D743">
        <v>347558532</v>
      </c>
      <c r="E743">
        <v>68744</v>
      </c>
      <c r="F743">
        <v>67</v>
      </c>
      <c r="G743">
        <v>151166424</v>
      </c>
      <c r="H743">
        <v>705558</v>
      </c>
      <c r="I743">
        <v>323188246</v>
      </c>
      <c r="J743">
        <v>18</v>
      </c>
      <c r="K743">
        <v>9</v>
      </c>
      <c r="L743">
        <v>0</v>
      </c>
      <c r="M743" t="s">
        <v>6370</v>
      </c>
    </row>
    <row r="744" spans="1:13">
      <c r="A744" t="s">
        <v>1898</v>
      </c>
      <c r="B744" t="s">
        <v>747</v>
      </c>
      <c r="C744">
        <v>44806</v>
      </c>
      <c r="D744">
        <v>242057987</v>
      </c>
      <c r="E744">
        <v>77898</v>
      </c>
      <c r="F744">
        <v>67</v>
      </c>
      <c r="G744">
        <v>39581789</v>
      </c>
      <c r="H744">
        <v>457747</v>
      </c>
      <c r="I744">
        <v>109453452</v>
      </c>
      <c r="J744">
        <v>10</v>
      </c>
      <c r="K744">
        <v>7</v>
      </c>
      <c r="L744">
        <v>1</v>
      </c>
      <c r="M744" t="s">
        <v>6370</v>
      </c>
    </row>
    <row r="745" spans="1:13">
      <c r="A745" t="s">
        <v>1907</v>
      </c>
      <c r="B745" t="s">
        <v>295</v>
      </c>
      <c r="C745">
        <v>43280</v>
      </c>
      <c r="D745">
        <v>1118459427</v>
      </c>
      <c r="E745">
        <v>175188</v>
      </c>
      <c r="F745">
        <v>71</v>
      </c>
      <c r="G745">
        <v>409939539</v>
      </c>
      <c r="H745">
        <v>3134200</v>
      </c>
      <c r="I745">
        <v>2167216619</v>
      </c>
      <c r="J745">
        <v>147</v>
      </c>
      <c r="K745">
        <v>107</v>
      </c>
      <c r="L745">
        <v>1</v>
      </c>
      <c r="M745" t="s">
        <v>6371</v>
      </c>
    </row>
    <row r="746" spans="1:13">
      <c r="A746" t="s">
        <v>1908</v>
      </c>
      <c r="B746" t="s">
        <v>920</v>
      </c>
      <c r="C746">
        <v>44656</v>
      </c>
      <c r="D746">
        <v>397988770</v>
      </c>
      <c r="E746">
        <v>28165</v>
      </c>
      <c r="F746">
        <v>69</v>
      </c>
      <c r="G746">
        <v>583304882</v>
      </c>
      <c r="H746">
        <v>4759365</v>
      </c>
      <c r="I746">
        <v>1878718115</v>
      </c>
      <c r="J746">
        <v>31</v>
      </c>
      <c r="K746">
        <v>78</v>
      </c>
      <c r="L746">
        <v>0</v>
      </c>
      <c r="M746" t="s">
        <v>6370</v>
      </c>
    </row>
    <row r="747" spans="1:13">
      <c r="A747" t="s">
        <v>1911</v>
      </c>
      <c r="B747" t="s">
        <v>781</v>
      </c>
      <c r="C747">
        <v>43875</v>
      </c>
      <c r="D747">
        <v>416388749</v>
      </c>
      <c r="E747">
        <v>112485</v>
      </c>
      <c r="F747">
        <v>69</v>
      </c>
      <c r="G747">
        <v>122253253</v>
      </c>
      <c r="H747">
        <v>1631776</v>
      </c>
      <c r="I747">
        <v>940333420</v>
      </c>
      <c r="J747">
        <v>27</v>
      </c>
      <c r="K747">
        <v>125</v>
      </c>
      <c r="L747">
        <v>1</v>
      </c>
      <c r="M747" t="s">
        <v>6371</v>
      </c>
    </row>
    <row r="748" spans="1:13">
      <c r="A748" t="s">
        <v>1912</v>
      </c>
      <c r="B748" t="s">
        <v>1913</v>
      </c>
      <c r="C748">
        <v>44029</v>
      </c>
      <c r="D748">
        <v>712664065</v>
      </c>
      <c r="E748">
        <v>165234</v>
      </c>
      <c r="F748">
        <v>63</v>
      </c>
      <c r="G748">
        <v>384597914</v>
      </c>
      <c r="H748">
        <v>4775085</v>
      </c>
      <c r="I748">
        <v>247613041</v>
      </c>
      <c r="J748">
        <v>183</v>
      </c>
      <c r="K748">
        <v>259</v>
      </c>
      <c r="L748">
        <v>1</v>
      </c>
      <c r="M748" t="s">
        <v>6371</v>
      </c>
    </row>
    <row r="749" spans="1:13">
      <c r="A749" t="s">
        <v>1916</v>
      </c>
      <c r="B749" t="s">
        <v>391</v>
      </c>
      <c r="C749">
        <v>44106</v>
      </c>
      <c r="D749">
        <v>561712007</v>
      </c>
      <c r="E749">
        <v>40766</v>
      </c>
      <c r="F749">
        <v>65</v>
      </c>
      <c r="G749">
        <v>959285337</v>
      </c>
      <c r="H749">
        <v>16946156</v>
      </c>
      <c r="I749">
        <v>694367550</v>
      </c>
      <c r="J749">
        <v>55</v>
      </c>
      <c r="K749">
        <v>9</v>
      </c>
      <c r="L749">
        <v>0</v>
      </c>
      <c r="M749" t="s">
        <v>6371</v>
      </c>
    </row>
    <row r="750" spans="1:13">
      <c r="A750" t="s">
        <v>1924</v>
      </c>
      <c r="B750" t="s">
        <v>336</v>
      </c>
      <c r="C750">
        <v>43042</v>
      </c>
      <c r="D750">
        <v>598040653</v>
      </c>
      <c r="E750">
        <v>52952</v>
      </c>
      <c r="F750">
        <v>64</v>
      </c>
      <c r="G750">
        <v>1871767126</v>
      </c>
      <c r="H750">
        <v>7019685</v>
      </c>
      <c r="I750">
        <v>44176203</v>
      </c>
      <c r="J750">
        <v>38</v>
      </c>
      <c r="K750">
        <v>176</v>
      </c>
      <c r="L750">
        <v>0</v>
      </c>
      <c r="M750" t="s">
        <v>6371</v>
      </c>
    </row>
    <row r="751" spans="1:13">
      <c r="A751" t="s">
        <v>1926</v>
      </c>
      <c r="B751" t="s">
        <v>444</v>
      </c>
      <c r="C751">
        <v>43706</v>
      </c>
      <c r="D751">
        <v>663578551</v>
      </c>
      <c r="E751">
        <v>76919</v>
      </c>
      <c r="F751">
        <v>67</v>
      </c>
      <c r="G751">
        <v>1120507756</v>
      </c>
      <c r="H751">
        <v>4714790</v>
      </c>
      <c r="I751">
        <v>121300058</v>
      </c>
      <c r="J751">
        <v>60</v>
      </c>
      <c r="K751">
        <v>53</v>
      </c>
      <c r="L751">
        <v>0</v>
      </c>
      <c r="M751" t="s">
        <v>6371</v>
      </c>
    </row>
    <row r="752" spans="1:13">
      <c r="A752" t="s">
        <v>1928</v>
      </c>
      <c r="B752" t="s">
        <v>1013</v>
      </c>
      <c r="C752">
        <v>44224</v>
      </c>
      <c r="D752">
        <v>361357607</v>
      </c>
      <c r="E752">
        <v>70546</v>
      </c>
      <c r="F752">
        <v>57</v>
      </c>
      <c r="G752">
        <v>668095711</v>
      </c>
      <c r="H752">
        <v>3934415</v>
      </c>
      <c r="I752">
        <v>1087148231</v>
      </c>
      <c r="J752">
        <v>27</v>
      </c>
      <c r="K752">
        <v>25</v>
      </c>
      <c r="L752">
        <v>1</v>
      </c>
      <c r="M752" t="s">
        <v>6370</v>
      </c>
    </row>
    <row r="753" spans="1:13">
      <c r="A753" t="s">
        <v>1931</v>
      </c>
      <c r="B753" t="s">
        <v>1932</v>
      </c>
      <c r="C753">
        <v>45085</v>
      </c>
      <c r="D753">
        <v>148677837</v>
      </c>
      <c r="E753">
        <v>17100</v>
      </c>
      <c r="F753">
        <v>65</v>
      </c>
      <c r="G753">
        <v>254704259</v>
      </c>
      <c r="H753">
        <v>1938875</v>
      </c>
      <c r="I753">
        <v>724569</v>
      </c>
      <c r="J753">
        <v>21</v>
      </c>
      <c r="K753">
        <v>2</v>
      </c>
      <c r="L753">
        <v>0</v>
      </c>
      <c r="M753" t="s">
        <v>6370</v>
      </c>
    </row>
    <row r="754" spans="1:13">
      <c r="A754" t="s">
        <v>1933</v>
      </c>
      <c r="B754" t="s">
        <v>1770</v>
      </c>
      <c r="C754">
        <v>44249</v>
      </c>
      <c r="D754">
        <v>336943720</v>
      </c>
      <c r="E754">
        <v>191372</v>
      </c>
      <c r="F754">
        <v>71</v>
      </c>
      <c r="G754">
        <v>31888669</v>
      </c>
      <c r="H754">
        <v>286044</v>
      </c>
      <c r="I754">
        <v>155341425</v>
      </c>
      <c r="J754">
        <v>91</v>
      </c>
      <c r="K754">
        <v>27</v>
      </c>
      <c r="L754">
        <v>0</v>
      </c>
      <c r="M754" t="s">
        <v>6370</v>
      </c>
    </row>
    <row r="755" spans="1:13">
      <c r="A755" t="s">
        <v>1934</v>
      </c>
      <c r="B755" t="s">
        <v>715</v>
      </c>
      <c r="C755">
        <v>44603</v>
      </c>
      <c r="D755">
        <v>262185115</v>
      </c>
      <c r="E755">
        <v>47288</v>
      </c>
      <c r="F755">
        <v>71</v>
      </c>
      <c r="G755">
        <v>121592933</v>
      </c>
      <c r="H755">
        <v>606455</v>
      </c>
      <c r="I755">
        <v>149251921</v>
      </c>
      <c r="J755">
        <v>25</v>
      </c>
      <c r="K755">
        <v>123</v>
      </c>
      <c r="L755">
        <v>0</v>
      </c>
      <c r="M755" t="s">
        <v>6370</v>
      </c>
    </row>
    <row r="756" spans="1:13">
      <c r="A756" t="s">
        <v>1935</v>
      </c>
      <c r="B756" t="s">
        <v>409</v>
      </c>
      <c r="C756">
        <v>44981</v>
      </c>
      <c r="D756">
        <v>212084990</v>
      </c>
      <c r="E756">
        <v>34632</v>
      </c>
      <c r="F756">
        <v>37</v>
      </c>
      <c r="G756">
        <v>191028847</v>
      </c>
      <c r="H756">
        <v>3745346</v>
      </c>
      <c r="I756">
        <v>543360467</v>
      </c>
      <c r="J756">
        <v>15</v>
      </c>
      <c r="K756">
        <v>809</v>
      </c>
      <c r="L756">
        <v>0</v>
      </c>
      <c r="M756" t="s">
        <v>6370</v>
      </c>
    </row>
    <row r="757" spans="1:13">
      <c r="A757" t="s">
        <v>1940</v>
      </c>
      <c r="B757" t="s">
        <v>418</v>
      </c>
      <c r="C757">
        <v>44645</v>
      </c>
      <c r="D757">
        <v>129335327</v>
      </c>
      <c r="E757">
        <v>27681</v>
      </c>
      <c r="F757">
        <v>60</v>
      </c>
      <c r="G757">
        <v>215778342</v>
      </c>
      <c r="H757">
        <v>1548240</v>
      </c>
      <c r="I757">
        <v>2692316483</v>
      </c>
      <c r="J757">
        <v>10</v>
      </c>
      <c r="K757">
        <v>62</v>
      </c>
      <c r="L757">
        <v>1</v>
      </c>
      <c r="M757" t="s">
        <v>6370</v>
      </c>
    </row>
    <row r="758" spans="1:13">
      <c r="A758" t="s">
        <v>1942</v>
      </c>
      <c r="B758" t="s">
        <v>1913</v>
      </c>
      <c r="C758">
        <v>44316</v>
      </c>
      <c r="D758">
        <v>352955079</v>
      </c>
      <c r="E758">
        <v>108705</v>
      </c>
      <c r="F758">
        <v>68</v>
      </c>
      <c r="G758">
        <v>285741830</v>
      </c>
      <c r="H758">
        <v>1939019</v>
      </c>
      <c r="I758">
        <v>177512619</v>
      </c>
      <c r="J758">
        <v>73</v>
      </c>
      <c r="K758">
        <v>114</v>
      </c>
      <c r="L758">
        <v>1</v>
      </c>
      <c r="M758" t="s">
        <v>6370</v>
      </c>
    </row>
    <row r="759" spans="1:13">
      <c r="A759" t="s">
        <v>1943</v>
      </c>
      <c r="B759" t="s">
        <v>1944</v>
      </c>
      <c r="C759">
        <v>42997</v>
      </c>
      <c r="D759">
        <v>1056346890</v>
      </c>
      <c r="E759">
        <v>198581</v>
      </c>
      <c r="F759">
        <v>71</v>
      </c>
      <c r="G759">
        <v>498454408</v>
      </c>
      <c r="H759">
        <v>5874304</v>
      </c>
      <c r="I759">
        <v>1247183383</v>
      </c>
      <c r="J759">
        <v>74</v>
      </c>
      <c r="K759">
        <v>40</v>
      </c>
      <c r="L759">
        <v>1</v>
      </c>
      <c r="M759" t="s">
        <v>6371</v>
      </c>
    </row>
    <row r="760" spans="1:13">
      <c r="A760" t="s">
        <v>1945</v>
      </c>
      <c r="B760" t="s">
        <v>182</v>
      </c>
      <c r="C760">
        <v>42922</v>
      </c>
      <c r="D760">
        <v>1150653471</v>
      </c>
      <c r="E760">
        <v>195032</v>
      </c>
      <c r="F760">
        <v>70</v>
      </c>
      <c r="G760">
        <v>822892668</v>
      </c>
      <c r="H760">
        <v>6651112</v>
      </c>
      <c r="I760">
        <v>812215684</v>
      </c>
      <c r="J760">
        <v>112</v>
      </c>
      <c r="K760">
        <v>35</v>
      </c>
      <c r="L760">
        <v>1</v>
      </c>
      <c r="M760" t="s">
        <v>6371</v>
      </c>
    </row>
    <row r="761" spans="1:13">
      <c r="A761" t="s">
        <v>1946</v>
      </c>
      <c r="B761" t="s">
        <v>127</v>
      </c>
      <c r="C761">
        <v>44232</v>
      </c>
      <c r="D761">
        <v>939627795</v>
      </c>
      <c r="E761">
        <v>67381</v>
      </c>
      <c r="F761">
        <v>87</v>
      </c>
      <c r="G761">
        <v>371522364</v>
      </c>
      <c r="H761">
        <v>3979062</v>
      </c>
      <c r="I761">
        <v>265186570</v>
      </c>
      <c r="J761">
        <v>61</v>
      </c>
      <c r="K761">
        <v>216</v>
      </c>
      <c r="L761">
        <v>0</v>
      </c>
      <c r="M761" t="s">
        <v>6370</v>
      </c>
    </row>
    <row r="762" spans="1:13">
      <c r="A762" t="s">
        <v>1947</v>
      </c>
      <c r="B762" t="s">
        <v>1291</v>
      </c>
      <c r="C762">
        <v>43381</v>
      </c>
      <c r="D762">
        <v>1020435750</v>
      </c>
      <c r="E762">
        <v>157944</v>
      </c>
      <c r="F762">
        <v>69</v>
      </c>
      <c r="G762">
        <v>199282045</v>
      </c>
      <c r="H762">
        <v>3250046</v>
      </c>
      <c r="I762">
        <v>21650351404</v>
      </c>
      <c r="J762">
        <v>70</v>
      </c>
      <c r="K762">
        <v>95</v>
      </c>
      <c r="L762">
        <v>0</v>
      </c>
      <c r="M762" t="s">
        <v>6371</v>
      </c>
    </row>
    <row r="763" spans="1:13">
      <c r="A763" t="s">
        <v>1948</v>
      </c>
      <c r="B763" t="s">
        <v>1949</v>
      </c>
      <c r="C763">
        <v>45023</v>
      </c>
      <c r="D763">
        <v>269669185</v>
      </c>
      <c r="E763">
        <v>44019</v>
      </c>
      <c r="F763">
        <v>67</v>
      </c>
      <c r="G763">
        <v>29035288</v>
      </c>
      <c r="H763">
        <v>608532</v>
      </c>
      <c r="I763">
        <v>531883271</v>
      </c>
      <c r="J763">
        <v>43</v>
      </c>
      <c r="K763">
        <v>444</v>
      </c>
      <c r="L763">
        <v>0</v>
      </c>
      <c r="M763" t="s">
        <v>6370</v>
      </c>
    </row>
    <row r="764" spans="1:13">
      <c r="A764" t="s">
        <v>1952</v>
      </c>
      <c r="B764" t="s">
        <v>1953</v>
      </c>
      <c r="C764">
        <v>45407</v>
      </c>
      <c r="D764">
        <v>34621656</v>
      </c>
      <c r="E764">
        <v>4787</v>
      </c>
      <c r="F764">
        <v>76</v>
      </c>
      <c r="G764">
        <v>8346529</v>
      </c>
      <c r="H764">
        <v>193964</v>
      </c>
      <c r="I764">
        <v>9450</v>
      </c>
      <c r="J764">
        <v>104</v>
      </c>
      <c r="K764">
        <v>41</v>
      </c>
      <c r="L764">
        <v>0</v>
      </c>
      <c r="M764" t="s">
        <v>6370</v>
      </c>
    </row>
    <row r="765" spans="1:13">
      <c r="A765" t="s">
        <v>1954</v>
      </c>
      <c r="B765" t="s">
        <v>1955</v>
      </c>
      <c r="C765">
        <v>43910</v>
      </c>
      <c r="D765">
        <v>1675083208</v>
      </c>
      <c r="E765">
        <v>191604</v>
      </c>
      <c r="F765">
        <v>80</v>
      </c>
      <c r="G765">
        <v>138807824</v>
      </c>
      <c r="H765">
        <v>3143644</v>
      </c>
      <c r="I765">
        <v>755895289</v>
      </c>
      <c r="J765">
        <v>105</v>
      </c>
      <c r="K765">
        <v>10</v>
      </c>
      <c r="L765">
        <v>0</v>
      </c>
      <c r="M765" t="s">
        <v>6371</v>
      </c>
    </row>
    <row r="766" spans="1:13">
      <c r="A766" t="s">
        <v>1956</v>
      </c>
      <c r="B766" t="s">
        <v>288</v>
      </c>
      <c r="C766">
        <v>44021</v>
      </c>
      <c r="D766">
        <v>959313617</v>
      </c>
      <c r="E766">
        <v>180366</v>
      </c>
      <c r="F766">
        <v>71</v>
      </c>
      <c r="G766">
        <v>135893380</v>
      </c>
      <c r="H766">
        <v>1681113</v>
      </c>
      <c r="I766">
        <v>37813204</v>
      </c>
      <c r="J766">
        <v>55</v>
      </c>
      <c r="K766">
        <v>23</v>
      </c>
      <c r="L766">
        <v>1</v>
      </c>
      <c r="M766" t="s">
        <v>6371</v>
      </c>
    </row>
    <row r="767" spans="1:13">
      <c r="A767" t="s">
        <v>1958</v>
      </c>
      <c r="B767" t="s">
        <v>112</v>
      </c>
      <c r="C767">
        <v>43917</v>
      </c>
      <c r="D767">
        <v>665464734</v>
      </c>
      <c r="E767">
        <v>90805</v>
      </c>
      <c r="F767">
        <v>67</v>
      </c>
      <c r="G767">
        <v>419361718</v>
      </c>
      <c r="H767">
        <v>3354831</v>
      </c>
      <c r="I767">
        <v>296169569</v>
      </c>
      <c r="J767">
        <v>104</v>
      </c>
      <c r="K767">
        <v>593</v>
      </c>
      <c r="L767">
        <v>0</v>
      </c>
      <c r="M767" t="s">
        <v>6371</v>
      </c>
    </row>
    <row r="768" spans="1:13">
      <c r="A768" t="s">
        <v>1962</v>
      </c>
      <c r="B768" t="s">
        <v>1963</v>
      </c>
      <c r="C768">
        <v>44995</v>
      </c>
      <c r="D768">
        <v>150463218</v>
      </c>
      <c r="E768">
        <v>44298</v>
      </c>
      <c r="F768">
        <v>67</v>
      </c>
      <c r="G768">
        <v>57191900</v>
      </c>
      <c r="H768">
        <v>289311</v>
      </c>
      <c r="I768">
        <v>275361521</v>
      </c>
      <c r="J768">
        <v>55</v>
      </c>
      <c r="K768">
        <v>250</v>
      </c>
      <c r="L768">
        <v>0</v>
      </c>
      <c r="M768" t="s">
        <v>6370</v>
      </c>
    </row>
    <row r="769" spans="1:13">
      <c r="A769" t="s">
        <v>1965</v>
      </c>
      <c r="B769" t="s">
        <v>285</v>
      </c>
      <c r="C769">
        <v>40867</v>
      </c>
      <c r="D769">
        <v>1599742798</v>
      </c>
      <c r="E769">
        <v>137106</v>
      </c>
      <c r="F769">
        <v>74</v>
      </c>
      <c r="G769">
        <v>2719936771</v>
      </c>
      <c r="H769">
        <v>14654354</v>
      </c>
      <c r="I769">
        <v>155713369</v>
      </c>
      <c r="J769">
        <v>272</v>
      </c>
      <c r="K769">
        <v>246</v>
      </c>
      <c r="L769">
        <v>0</v>
      </c>
      <c r="M769" t="s">
        <v>6371</v>
      </c>
    </row>
    <row r="770" spans="1:13">
      <c r="A770" t="s">
        <v>1969</v>
      </c>
      <c r="B770" t="s">
        <v>51</v>
      </c>
      <c r="C770">
        <v>44763</v>
      </c>
      <c r="D770">
        <v>572602278</v>
      </c>
      <c r="E770">
        <v>80064</v>
      </c>
      <c r="F770">
        <v>76</v>
      </c>
      <c r="G770">
        <v>115201405</v>
      </c>
      <c r="H770">
        <v>1469402</v>
      </c>
      <c r="I770">
        <v>104843270</v>
      </c>
      <c r="J770">
        <v>53</v>
      </c>
      <c r="K770">
        <v>33</v>
      </c>
      <c r="L770">
        <v>0</v>
      </c>
      <c r="M770" t="s">
        <v>6370</v>
      </c>
    </row>
    <row r="771" spans="1:13">
      <c r="A771" t="s">
        <v>1971</v>
      </c>
      <c r="B771" t="s">
        <v>1972</v>
      </c>
      <c r="C771">
        <v>44287</v>
      </c>
      <c r="D771">
        <v>654941874</v>
      </c>
      <c r="E771">
        <v>83163</v>
      </c>
      <c r="F771">
        <v>75</v>
      </c>
      <c r="G771">
        <v>556407060</v>
      </c>
      <c r="H771">
        <v>2672779</v>
      </c>
      <c r="I771">
        <v>187609192</v>
      </c>
      <c r="J771">
        <v>65</v>
      </c>
      <c r="K771">
        <v>15</v>
      </c>
      <c r="L771">
        <v>0</v>
      </c>
      <c r="M771" t="s">
        <v>6370</v>
      </c>
    </row>
    <row r="772" spans="1:13">
      <c r="A772" t="s">
        <v>1973</v>
      </c>
      <c r="B772" t="s">
        <v>99</v>
      </c>
      <c r="C772">
        <v>44568</v>
      </c>
      <c r="D772">
        <v>368155242</v>
      </c>
      <c r="E772">
        <v>125521</v>
      </c>
      <c r="F772">
        <v>65</v>
      </c>
      <c r="G772">
        <v>99364654</v>
      </c>
      <c r="H772">
        <v>1057381</v>
      </c>
      <c r="I772">
        <v>17698609</v>
      </c>
      <c r="J772">
        <v>59</v>
      </c>
      <c r="K772">
        <v>1152</v>
      </c>
      <c r="L772">
        <v>1</v>
      </c>
      <c r="M772" t="s">
        <v>6370</v>
      </c>
    </row>
    <row r="773" spans="1:13">
      <c r="A773" t="s">
        <v>1974</v>
      </c>
      <c r="B773" t="s">
        <v>92</v>
      </c>
      <c r="C773">
        <v>41533</v>
      </c>
      <c r="D773">
        <v>2544489950</v>
      </c>
      <c r="E773">
        <v>238611</v>
      </c>
      <c r="F773">
        <v>78</v>
      </c>
      <c r="G773">
        <v>1690342490</v>
      </c>
      <c r="H773">
        <v>16798785</v>
      </c>
      <c r="I773">
        <v>261203495</v>
      </c>
      <c r="J773">
        <v>172</v>
      </c>
      <c r="K773">
        <v>148</v>
      </c>
      <c r="L773">
        <v>0</v>
      </c>
      <c r="M773" t="s">
        <v>6371</v>
      </c>
    </row>
    <row r="774" spans="1:13">
      <c r="A774" t="s">
        <v>1975</v>
      </c>
      <c r="B774" t="s">
        <v>1976</v>
      </c>
      <c r="C774">
        <v>43630</v>
      </c>
      <c r="D774">
        <v>1123039235</v>
      </c>
      <c r="E774">
        <v>140766</v>
      </c>
      <c r="F774">
        <v>72</v>
      </c>
      <c r="G774">
        <v>763620890</v>
      </c>
      <c r="H774">
        <v>9727420</v>
      </c>
      <c r="I774">
        <v>590573342</v>
      </c>
      <c r="J774">
        <v>67</v>
      </c>
      <c r="K774">
        <v>175</v>
      </c>
      <c r="L774">
        <v>0</v>
      </c>
      <c r="M774" t="s">
        <v>6371</v>
      </c>
    </row>
    <row r="775" spans="1:13">
      <c r="A775" t="s">
        <v>1145</v>
      </c>
      <c r="B775" t="s">
        <v>61</v>
      </c>
      <c r="C775">
        <v>44855</v>
      </c>
      <c r="D775">
        <v>777305444</v>
      </c>
      <c r="E775">
        <v>47435</v>
      </c>
      <c r="F775">
        <v>75</v>
      </c>
      <c r="G775">
        <v>97902815</v>
      </c>
      <c r="H775">
        <v>1779726</v>
      </c>
      <c r="I775">
        <v>937766809</v>
      </c>
      <c r="J775">
        <v>63</v>
      </c>
      <c r="K775">
        <v>405</v>
      </c>
      <c r="L775">
        <v>1</v>
      </c>
      <c r="M775" t="s">
        <v>6370</v>
      </c>
    </row>
    <row r="776" spans="1:13">
      <c r="A776" t="s">
        <v>1985</v>
      </c>
      <c r="B776" t="s">
        <v>1986</v>
      </c>
      <c r="C776">
        <v>45149</v>
      </c>
      <c r="D776">
        <v>107754524</v>
      </c>
      <c r="E776">
        <v>16004</v>
      </c>
      <c r="F776">
        <v>66</v>
      </c>
      <c r="G776">
        <v>11577220</v>
      </c>
      <c r="H776">
        <v>74756</v>
      </c>
      <c r="I776">
        <v>53554260</v>
      </c>
      <c r="J776">
        <v>25</v>
      </c>
      <c r="K776">
        <v>6</v>
      </c>
      <c r="L776">
        <v>0</v>
      </c>
      <c r="M776" t="s">
        <v>6370</v>
      </c>
    </row>
    <row r="777" spans="1:13">
      <c r="A777" t="s">
        <v>1993</v>
      </c>
      <c r="B777" t="s">
        <v>19</v>
      </c>
      <c r="C777">
        <v>43104</v>
      </c>
      <c r="D777">
        <v>1638529683</v>
      </c>
      <c r="E777">
        <v>207686</v>
      </c>
      <c r="F777">
        <v>82</v>
      </c>
      <c r="G777">
        <v>633789787</v>
      </c>
      <c r="H777">
        <v>5683859</v>
      </c>
      <c r="I777">
        <v>211875110</v>
      </c>
      <c r="J777">
        <v>152</v>
      </c>
      <c r="K777">
        <v>39</v>
      </c>
      <c r="L777">
        <v>1</v>
      </c>
      <c r="M777" t="s">
        <v>6371</v>
      </c>
    </row>
    <row r="778" spans="1:13">
      <c r="A778" t="s">
        <v>1996</v>
      </c>
      <c r="B778" t="s">
        <v>182</v>
      </c>
      <c r="C778">
        <v>42566</v>
      </c>
      <c r="D778">
        <v>581220786</v>
      </c>
      <c r="E778">
        <v>115125</v>
      </c>
      <c r="F778">
        <v>65</v>
      </c>
      <c r="G778">
        <v>365678540</v>
      </c>
      <c r="H778">
        <v>2841760</v>
      </c>
      <c r="I778">
        <v>98210</v>
      </c>
      <c r="J778">
        <v>94</v>
      </c>
      <c r="K778">
        <v>17</v>
      </c>
      <c r="L778">
        <v>1</v>
      </c>
      <c r="M778" t="s">
        <v>6371</v>
      </c>
    </row>
    <row r="779" spans="1:13">
      <c r="A779" t="s">
        <v>1998</v>
      </c>
      <c r="B779" t="s">
        <v>295</v>
      </c>
      <c r="C779">
        <v>42812</v>
      </c>
      <c r="D779">
        <v>1625307365</v>
      </c>
      <c r="E779">
        <v>288559</v>
      </c>
      <c r="F779">
        <v>77</v>
      </c>
      <c r="G779">
        <v>410329826</v>
      </c>
      <c r="H779">
        <v>2747230</v>
      </c>
      <c r="I779">
        <v>907498533</v>
      </c>
      <c r="J779">
        <v>241</v>
      </c>
      <c r="K779">
        <v>51</v>
      </c>
      <c r="L779">
        <v>0</v>
      </c>
      <c r="M779" t="s">
        <v>6371</v>
      </c>
    </row>
    <row r="780" spans="1:13">
      <c r="A780" t="s">
        <v>1999</v>
      </c>
      <c r="B780" t="s">
        <v>2000</v>
      </c>
      <c r="C780">
        <v>45009</v>
      </c>
      <c r="D780">
        <v>1165398518</v>
      </c>
      <c r="E780">
        <v>16425</v>
      </c>
      <c r="F780">
        <v>84</v>
      </c>
      <c r="G780">
        <v>139608215</v>
      </c>
      <c r="H780">
        <v>4239579</v>
      </c>
      <c r="I780">
        <v>25133495</v>
      </c>
      <c r="J780">
        <v>20</v>
      </c>
      <c r="K780">
        <v>12</v>
      </c>
      <c r="L780">
        <v>0</v>
      </c>
      <c r="M780" t="s">
        <v>6370</v>
      </c>
    </row>
    <row r="781" spans="1:13">
      <c r="A781" t="s">
        <v>2001</v>
      </c>
      <c r="B781" t="s">
        <v>1728</v>
      </c>
      <c r="C781">
        <v>42713</v>
      </c>
      <c r="D781">
        <v>1662288901</v>
      </c>
      <c r="E781">
        <v>129306</v>
      </c>
      <c r="F781">
        <v>75</v>
      </c>
      <c r="G781">
        <v>1049659880</v>
      </c>
      <c r="H781">
        <v>9224750</v>
      </c>
      <c r="I781">
        <v>6028763</v>
      </c>
      <c r="J781">
        <v>130</v>
      </c>
      <c r="K781">
        <v>22</v>
      </c>
      <c r="L781">
        <v>0</v>
      </c>
      <c r="M781" t="s">
        <v>6371</v>
      </c>
    </row>
    <row r="782" spans="1:13">
      <c r="A782" t="s">
        <v>2002</v>
      </c>
      <c r="B782" t="s">
        <v>404</v>
      </c>
      <c r="C782">
        <v>45002</v>
      </c>
      <c r="D782">
        <v>308738277</v>
      </c>
      <c r="E782">
        <v>38674</v>
      </c>
      <c r="F782">
        <v>70</v>
      </c>
      <c r="G782">
        <v>77532151</v>
      </c>
      <c r="H782">
        <v>1140208</v>
      </c>
      <c r="I782">
        <v>1174579945</v>
      </c>
      <c r="J782">
        <v>29</v>
      </c>
      <c r="K782">
        <v>1061</v>
      </c>
      <c r="L782">
        <v>1</v>
      </c>
      <c r="M782" t="s">
        <v>6370</v>
      </c>
    </row>
    <row r="783" spans="1:13">
      <c r="A783" t="s">
        <v>2003</v>
      </c>
      <c r="B783" t="s">
        <v>2004</v>
      </c>
      <c r="C783">
        <v>42671</v>
      </c>
      <c r="D783">
        <v>936450891</v>
      </c>
      <c r="E783">
        <v>173279</v>
      </c>
      <c r="F783">
        <v>66</v>
      </c>
      <c r="G783">
        <v>59661695</v>
      </c>
      <c r="H783">
        <v>602296</v>
      </c>
      <c r="I783">
        <v>288759827</v>
      </c>
      <c r="J783">
        <v>194</v>
      </c>
      <c r="K783">
        <v>18</v>
      </c>
      <c r="L783">
        <v>1</v>
      </c>
      <c r="M783" t="s">
        <v>6371</v>
      </c>
    </row>
    <row r="784" spans="1:13">
      <c r="A784" t="s">
        <v>2005</v>
      </c>
      <c r="B784" t="s">
        <v>1923</v>
      </c>
      <c r="C784">
        <v>42790</v>
      </c>
      <c r="D784">
        <v>706158416</v>
      </c>
      <c r="E784">
        <v>87667</v>
      </c>
      <c r="F784">
        <v>65</v>
      </c>
      <c r="G784">
        <v>1601099483</v>
      </c>
      <c r="H784">
        <v>7360323</v>
      </c>
      <c r="I784">
        <v>233419445</v>
      </c>
      <c r="J784">
        <v>76</v>
      </c>
      <c r="K784">
        <v>69</v>
      </c>
      <c r="L784">
        <v>0</v>
      </c>
      <c r="M784" t="s">
        <v>6371</v>
      </c>
    </row>
    <row r="785" spans="1:13">
      <c r="A785" t="s">
        <v>2006</v>
      </c>
      <c r="B785" t="s">
        <v>2007</v>
      </c>
      <c r="C785">
        <v>45080</v>
      </c>
      <c r="D785">
        <v>128855739</v>
      </c>
      <c r="E785">
        <v>26723</v>
      </c>
      <c r="F785">
        <v>65</v>
      </c>
      <c r="G785">
        <v>17779741</v>
      </c>
      <c r="H785">
        <v>246939</v>
      </c>
      <c r="I785">
        <v>1598512701</v>
      </c>
      <c r="J785">
        <v>14</v>
      </c>
      <c r="K785">
        <v>1893</v>
      </c>
      <c r="L785">
        <v>1</v>
      </c>
      <c r="M785" t="s">
        <v>6370</v>
      </c>
    </row>
    <row r="786" spans="1:13">
      <c r="A786" t="s">
        <v>2008</v>
      </c>
      <c r="B786" t="s">
        <v>355</v>
      </c>
      <c r="C786">
        <v>44015</v>
      </c>
      <c r="D786">
        <v>560691819</v>
      </c>
      <c r="E786">
        <v>166545</v>
      </c>
      <c r="F786">
        <v>65</v>
      </c>
      <c r="G786">
        <v>303897464</v>
      </c>
      <c r="H786">
        <v>2717884</v>
      </c>
      <c r="I786">
        <v>79349687</v>
      </c>
      <c r="J786">
        <v>74</v>
      </c>
      <c r="K786">
        <v>103</v>
      </c>
      <c r="L786">
        <v>1</v>
      </c>
      <c r="M786" t="s">
        <v>6371</v>
      </c>
    </row>
    <row r="787" spans="1:13">
      <c r="A787" t="s">
        <v>2011</v>
      </c>
      <c r="B787" t="s">
        <v>2012</v>
      </c>
      <c r="C787">
        <v>43553</v>
      </c>
      <c r="D787">
        <v>92985109</v>
      </c>
      <c r="E787">
        <v>21725</v>
      </c>
      <c r="F787">
        <v>45</v>
      </c>
      <c r="G787">
        <v>166739538</v>
      </c>
      <c r="H787">
        <v>2648737</v>
      </c>
      <c r="I787">
        <v>9273764020</v>
      </c>
      <c r="J787">
        <v>11</v>
      </c>
      <c r="K787">
        <v>37</v>
      </c>
      <c r="L787">
        <v>1</v>
      </c>
      <c r="M787" t="s">
        <v>6371</v>
      </c>
    </row>
    <row r="788" spans="1:13">
      <c r="A788" t="s">
        <v>2013</v>
      </c>
      <c r="B788" t="s">
        <v>24</v>
      </c>
      <c r="C788">
        <v>41275</v>
      </c>
      <c r="D788">
        <v>930004605</v>
      </c>
      <c r="E788">
        <v>113036</v>
      </c>
      <c r="F788">
        <v>73</v>
      </c>
      <c r="G788">
        <v>1694450676</v>
      </c>
      <c r="H788">
        <v>11543620</v>
      </c>
      <c r="I788">
        <v>1460975398</v>
      </c>
      <c r="J788">
        <v>168</v>
      </c>
      <c r="K788">
        <v>101</v>
      </c>
      <c r="L788">
        <v>0</v>
      </c>
      <c r="M788" t="s">
        <v>6371</v>
      </c>
    </row>
    <row r="789" spans="1:13">
      <c r="A789" t="s">
        <v>2017</v>
      </c>
      <c r="B789" t="s">
        <v>63</v>
      </c>
      <c r="C789">
        <v>44596</v>
      </c>
      <c r="D789">
        <v>452628341</v>
      </c>
      <c r="E789">
        <v>58658</v>
      </c>
      <c r="F789">
        <v>71</v>
      </c>
      <c r="G789">
        <v>107628561</v>
      </c>
      <c r="H789">
        <v>1112016</v>
      </c>
      <c r="I789">
        <v>230696336</v>
      </c>
      <c r="J789">
        <v>90</v>
      </c>
      <c r="K789">
        <v>671</v>
      </c>
      <c r="L789">
        <v>0</v>
      </c>
      <c r="M789" t="s">
        <v>6370</v>
      </c>
    </row>
    <row r="790" spans="1:13">
      <c r="A790" t="s">
        <v>2018</v>
      </c>
      <c r="B790" t="s">
        <v>184</v>
      </c>
      <c r="C790">
        <v>44519</v>
      </c>
      <c r="D790">
        <v>562200390</v>
      </c>
      <c r="E790">
        <v>66469</v>
      </c>
      <c r="F790">
        <v>68</v>
      </c>
      <c r="G790">
        <v>175552661</v>
      </c>
      <c r="H790">
        <v>2085739</v>
      </c>
      <c r="I790">
        <v>324045421</v>
      </c>
      <c r="J790">
        <v>143</v>
      </c>
      <c r="K790">
        <v>150</v>
      </c>
      <c r="L790">
        <v>0</v>
      </c>
      <c r="M790" t="s">
        <v>6370</v>
      </c>
    </row>
    <row r="791" spans="1:13">
      <c r="A791" t="s">
        <v>2020</v>
      </c>
      <c r="B791" t="s">
        <v>2021</v>
      </c>
      <c r="C791">
        <v>42706</v>
      </c>
      <c r="D791">
        <v>960430911</v>
      </c>
      <c r="E791">
        <v>121478</v>
      </c>
      <c r="F791">
        <v>64</v>
      </c>
      <c r="G791">
        <v>686017624</v>
      </c>
      <c r="H791">
        <v>5762838</v>
      </c>
      <c r="I791">
        <v>318342595</v>
      </c>
      <c r="J791">
        <v>61</v>
      </c>
      <c r="K791">
        <v>34</v>
      </c>
      <c r="L791">
        <v>1</v>
      </c>
      <c r="M791" t="s">
        <v>6371</v>
      </c>
    </row>
    <row r="792" spans="1:13">
      <c r="A792" t="s">
        <v>2022</v>
      </c>
      <c r="B792" t="s">
        <v>920</v>
      </c>
      <c r="C792">
        <v>45026</v>
      </c>
      <c r="D792">
        <v>269067890</v>
      </c>
      <c r="E792">
        <v>20356</v>
      </c>
      <c r="F792">
        <v>71</v>
      </c>
      <c r="G792">
        <v>256133933</v>
      </c>
      <c r="H792">
        <v>2369761</v>
      </c>
      <c r="I792">
        <v>473159481</v>
      </c>
      <c r="J792">
        <v>34</v>
      </c>
      <c r="K792">
        <v>30</v>
      </c>
      <c r="L792">
        <v>0</v>
      </c>
      <c r="M792" t="s">
        <v>6370</v>
      </c>
    </row>
    <row r="793" spans="1:13">
      <c r="A793" t="s">
        <v>2023</v>
      </c>
      <c r="B793" t="s">
        <v>24</v>
      </c>
      <c r="C793">
        <v>44057</v>
      </c>
      <c r="D793">
        <v>629372240</v>
      </c>
      <c r="E793">
        <v>86326</v>
      </c>
      <c r="F793">
        <v>66</v>
      </c>
      <c r="G793">
        <v>301362454</v>
      </c>
      <c r="H793">
        <v>2670514</v>
      </c>
      <c r="I793">
        <v>286126363</v>
      </c>
      <c r="J793">
        <v>199</v>
      </c>
      <c r="K793">
        <v>130</v>
      </c>
      <c r="L793">
        <v>0</v>
      </c>
      <c r="M793" t="s">
        <v>6371</v>
      </c>
    </row>
    <row r="794" spans="1:13">
      <c r="A794" t="s">
        <v>2026</v>
      </c>
      <c r="B794" t="s">
        <v>141</v>
      </c>
      <c r="C794">
        <v>44687</v>
      </c>
      <c r="D794">
        <v>432885913</v>
      </c>
      <c r="E794">
        <v>51912</v>
      </c>
      <c r="F794">
        <v>71</v>
      </c>
      <c r="G794">
        <v>321888868</v>
      </c>
      <c r="H794">
        <v>1818193</v>
      </c>
      <c r="I794">
        <v>1232405599</v>
      </c>
      <c r="J794">
        <v>14</v>
      </c>
      <c r="K794">
        <v>42</v>
      </c>
      <c r="L794">
        <v>1</v>
      </c>
      <c r="M794" t="s">
        <v>6370</v>
      </c>
    </row>
    <row r="795" spans="1:13">
      <c r="A795" t="s">
        <v>2027</v>
      </c>
      <c r="B795" t="s">
        <v>1645</v>
      </c>
      <c r="C795">
        <v>43038</v>
      </c>
      <c r="D795">
        <v>1506766477</v>
      </c>
      <c r="E795">
        <v>257640</v>
      </c>
      <c r="F795">
        <v>80</v>
      </c>
      <c r="G795">
        <v>392508024</v>
      </c>
      <c r="H795">
        <v>2837908</v>
      </c>
      <c r="I795">
        <v>127112835</v>
      </c>
      <c r="J795">
        <v>93</v>
      </c>
      <c r="K795">
        <v>81</v>
      </c>
      <c r="L795">
        <v>1</v>
      </c>
      <c r="M795" t="s">
        <v>6371</v>
      </c>
    </row>
    <row r="796" spans="1:13">
      <c r="A796" t="s">
        <v>2036</v>
      </c>
      <c r="B796" t="s">
        <v>141</v>
      </c>
      <c r="C796">
        <v>43890</v>
      </c>
      <c r="D796">
        <v>868744690</v>
      </c>
      <c r="E796">
        <v>116275</v>
      </c>
      <c r="F796">
        <v>70</v>
      </c>
      <c r="G796">
        <v>491413241</v>
      </c>
      <c r="H796">
        <v>3414196</v>
      </c>
      <c r="I796">
        <v>989597627</v>
      </c>
      <c r="J796">
        <v>125</v>
      </c>
      <c r="K796">
        <v>11</v>
      </c>
      <c r="L796">
        <v>1</v>
      </c>
      <c r="M796" t="s">
        <v>6371</v>
      </c>
    </row>
    <row r="797" spans="1:13">
      <c r="A797" t="s">
        <v>2037</v>
      </c>
      <c r="B797" t="s">
        <v>285</v>
      </c>
      <c r="C797">
        <v>40179</v>
      </c>
      <c r="D797">
        <v>952635214</v>
      </c>
      <c r="E797">
        <v>136655</v>
      </c>
      <c r="F797">
        <v>76</v>
      </c>
      <c r="G797">
        <v>3312260344</v>
      </c>
      <c r="H797">
        <v>26679549</v>
      </c>
      <c r="I797">
        <v>1174409085</v>
      </c>
      <c r="J797">
        <v>90</v>
      </c>
      <c r="K797">
        <v>41</v>
      </c>
      <c r="L797">
        <v>0</v>
      </c>
      <c r="M797" t="s">
        <v>6371</v>
      </c>
    </row>
    <row r="798" spans="1:13">
      <c r="A798" t="s">
        <v>2038</v>
      </c>
      <c r="B798" t="s">
        <v>295</v>
      </c>
      <c r="C798">
        <v>44869</v>
      </c>
      <c r="D798">
        <v>253540951</v>
      </c>
      <c r="E798">
        <v>82934</v>
      </c>
      <c r="F798">
        <v>67</v>
      </c>
      <c r="G798">
        <v>22665894</v>
      </c>
      <c r="H798">
        <v>368326</v>
      </c>
      <c r="I798">
        <v>494336128</v>
      </c>
      <c r="J798">
        <v>17</v>
      </c>
      <c r="K798">
        <v>25</v>
      </c>
      <c r="L798">
        <v>1</v>
      </c>
      <c r="M798" t="s">
        <v>6370</v>
      </c>
    </row>
    <row r="799" spans="1:13">
      <c r="A799" t="s">
        <v>1958</v>
      </c>
      <c r="B799" t="s">
        <v>77</v>
      </c>
      <c r="C799">
        <v>44953</v>
      </c>
      <c r="D799">
        <v>215466975</v>
      </c>
      <c r="E799">
        <v>44476</v>
      </c>
      <c r="F799">
        <v>62</v>
      </c>
      <c r="G799">
        <v>28993149</v>
      </c>
      <c r="H799">
        <v>455224</v>
      </c>
      <c r="I799">
        <v>65897455</v>
      </c>
      <c r="J799">
        <v>44</v>
      </c>
      <c r="K799">
        <v>1410</v>
      </c>
      <c r="L799">
        <v>0</v>
      </c>
      <c r="M799" t="s">
        <v>6370</v>
      </c>
    </row>
    <row r="800" spans="1:13">
      <c r="A800" t="s">
        <v>2045</v>
      </c>
      <c r="B800" t="s">
        <v>305</v>
      </c>
      <c r="C800">
        <v>42650</v>
      </c>
      <c r="D800">
        <v>1425996809</v>
      </c>
      <c r="E800">
        <v>175419</v>
      </c>
      <c r="F800">
        <v>77</v>
      </c>
      <c r="G800">
        <v>181151693</v>
      </c>
      <c r="H800">
        <v>1671253</v>
      </c>
      <c r="I800">
        <v>968641395</v>
      </c>
      <c r="J800">
        <v>238</v>
      </c>
      <c r="K800">
        <v>368</v>
      </c>
      <c r="L800">
        <v>0</v>
      </c>
      <c r="M800" t="s">
        <v>6371</v>
      </c>
    </row>
    <row r="801" spans="1:13">
      <c r="A801" t="s">
        <v>2046</v>
      </c>
      <c r="B801" t="s">
        <v>2047</v>
      </c>
      <c r="C801">
        <v>44470</v>
      </c>
      <c r="D801">
        <v>431638330</v>
      </c>
      <c r="E801">
        <v>43727</v>
      </c>
      <c r="F801">
        <v>66</v>
      </c>
      <c r="G801">
        <v>564641494</v>
      </c>
      <c r="H801">
        <v>7674539</v>
      </c>
      <c r="I801">
        <v>2323894242</v>
      </c>
      <c r="J801">
        <v>33</v>
      </c>
      <c r="K801">
        <v>174</v>
      </c>
      <c r="L801">
        <v>0</v>
      </c>
      <c r="M801" t="s">
        <v>6370</v>
      </c>
    </row>
    <row r="802" spans="1:13">
      <c r="A802" t="s">
        <v>2048</v>
      </c>
      <c r="B802" t="s">
        <v>184</v>
      </c>
      <c r="C802">
        <v>40561</v>
      </c>
      <c r="D802">
        <v>1925879064</v>
      </c>
      <c r="E802">
        <v>211527</v>
      </c>
      <c r="F802">
        <v>75</v>
      </c>
      <c r="G802">
        <v>759564393</v>
      </c>
      <c r="H802">
        <v>4034527</v>
      </c>
      <c r="I802">
        <v>401049702</v>
      </c>
      <c r="J802">
        <v>249</v>
      </c>
      <c r="K802">
        <v>118</v>
      </c>
      <c r="L802">
        <v>0</v>
      </c>
      <c r="M802" t="s">
        <v>6371</v>
      </c>
    </row>
    <row r="803" spans="1:13">
      <c r="A803" t="s">
        <v>2049</v>
      </c>
      <c r="B803" t="s">
        <v>686</v>
      </c>
      <c r="C803">
        <v>45100</v>
      </c>
      <c r="D803">
        <v>112624663</v>
      </c>
      <c r="E803">
        <v>43943</v>
      </c>
      <c r="F803">
        <v>64</v>
      </c>
      <c r="G803">
        <v>23464236</v>
      </c>
      <c r="H803">
        <v>338591</v>
      </c>
      <c r="I803">
        <v>39562107</v>
      </c>
      <c r="J803">
        <v>53</v>
      </c>
      <c r="K803">
        <v>261</v>
      </c>
      <c r="L803">
        <v>1</v>
      </c>
      <c r="M803" t="s">
        <v>6370</v>
      </c>
    </row>
    <row r="804" spans="1:13">
      <c r="A804" t="s">
        <v>2053</v>
      </c>
      <c r="B804" t="s">
        <v>216</v>
      </c>
      <c r="C804">
        <v>43805</v>
      </c>
      <c r="D804">
        <v>538059363</v>
      </c>
      <c r="E804">
        <v>113736</v>
      </c>
      <c r="F804">
        <v>65</v>
      </c>
      <c r="G804">
        <v>215454028</v>
      </c>
      <c r="H804">
        <v>1626950</v>
      </c>
      <c r="I804">
        <v>1413496668</v>
      </c>
      <c r="J804">
        <v>85</v>
      </c>
      <c r="K804">
        <v>89</v>
      </c>
      <c r="L804">
        <v>1</v>
      </c>
      <c r="M804" t="s">
        <v>6371</v>
      </c>
    </row>
    <row r="805" spans="1:13">
      <c r="A805" t="s">
        <v>2056</v>
      </c>
      <c r="B805" t="s">
        <v>449</v>
      </c>
      <c r="C805">
        <v>43889</v>
      </c>
      <c r="D805">
        <v>417634388</v>
      </c>
      <c r="E805">
        <v>128536</v>
      </c>
      <c r="F805">
        <v>68</v>
      </c>
      <c r="G805">
        <v>507681327</v>
      </c>
      <c r="H805">
        <v>3069325</v>
      </c>
      <c r="I805">
        <v>174604275</v>
      </c>
      <c r="J805">
        <v>73</v>
      </c>
      <c r="K805">
        <v>70</v>
      </c>
      <c r="L805">
        <v>1</v>
      </c>
      <c r="M805" t="s">
        <v>6371</v>
      </c>
    </row>
    <row r="806" spans="1:13">
      <c r="A806" t="s">
        <v>2060</v>
      </c>
      <c r="B806" t="s">
        <v>2061</v>
      </c>
      <c r="C806">
        <v>42184</v>
      </c>
      <c r="D806">
        <v>990518773</v>
      </c>
      <c r="E806">
        <v>143056</v>
      </c>
      <c r="F806">
        <v>75</v>
      </c>
      <c r="G806">
        <v>1273135552</v>
      </c>
      <c r="H806">
        <v>7854653</v>
      </c>
      <c r="I806">
        <v>348767238</v>
      </c>
      <c r="J806">
        <v>101</v>
      </c>
      <c r="K806">
        <v>30</v>
      </c>
      <c r="L806">
        <v>0</v>
      </c>
      <c r="M806" t="s">
        <v>6371</v>
      </c>
    </row>
    <row r="807" spans="1:13">
      <c r="A807" t="s">
        <v>2065</v>
      </c>
      <c r="B807" t="s">
        <v>357</v>
      </c>
      <c r="C807">
        <v>44258</v>
      </c>
      <c r="D807">
        <v>730200775</v>
      </c>
      <c r="E807">
        <v>93856</v>
      </c>
      <c r="F807">
        <v>71</v>
      </c>
      <c r="G807">
        <v>313682727</v>
      </c>
      <c r="H807">
        <v>2530483</v>
      </c>
      <c r="I807">
        <v>79067338</v>
      </c>
      <c r="J807">
        <v>156</v>
      </c>
      <c r="K807">
        <v>150</v>
      </c>
      <c r="L807">
        <v>0</v>
      </c>
      <c r="M807" t="s">
        <v>6370</v>
      </c>
    </row>
    <row r="808" spans="1:13">
      <c r="A808" t="s">
        <v>2066</v>
      </c>
      <c r="B808" t="s">
        <v>2067</v>
      </c>
      <c r="C808">
        <v>45107</v>
      </c>
      <c r="D808">
        <v>112737954</v>
      </c>
      <c r="E808">
        <v>20339</v>
      </c>
      <c r="F808">
        <v>41</v>
      </c>
      <c r="G808">
        <v>37013758</v>
      </c>
      <c r="H808">
        <v>255685</v>
      </c>
      <c r="I808">
        <v>119315</v>
      </c>
      <c r="J808">
        <v>26</v>
      </c>
      <c r="K808">
        <v>38</v>
      </c>
      <c r="L808">
        <v>0</v>
      </c>
      <c r="M808" t="s">
        <v>6370</v>
      </c>
    </row>
    <row r="809" spans="1:13">
      <c r="A809" t="s">
        <v>2070</v>
      </c>
      <c r="B809" t="s">
        <v>2071</v>
      </c>
      <c r="C809">
        <v>42944</v>
      </c>
      <c r="D809">
        <v>658225560</v>
      </c>
      <c r="E809">
        <v>53101</v>
      </c>
      <c r="F809">
        <v>72</v>
      </c>
      <c r="G809">
        <v>1852547490</v>
      </c>
      <c r="H809">
        <v>5711737</v>
      </c>
      <c r="I809">
        <v>79388652</v>
      </c>
      <c r="J809">
        <v>47</v>
      </c>
      <c r="K809">
        <v>122</v>
      </c>
      <c r="L809">
        <v>0</v>
      </c>
      <c r="M809" t="s">
        <v>6371</v>
      </c>
    </row>
    <row r="810" spans="1:13">
      <c r="A810" t="s">
        <v>2075</v>
      </c>
      <c r="B810" t="s">
        <v>301</v>
      </c>
      <c r="C810">
        <v>44988</v>
      </c>
      <c r="D810">
        <v>266560481</v>
      </c>
      <c r="E810">
        <v>31680</v>
      </c>
      <c r="F810">
        <v>81</v>
      </c>
      <c r="G810">
        <v>40534712</v>
      </c>
      <c r="H810">
        <v>139755</v>
      </c>
      <c r="I810">
        <v>103569548</v>
      </c>
      <c r="J810">
        <v>26</v>
      </c>
      <c r="K810">
        <v>24</v>
      </c>
      <c r="L810">
        <v>0</v>
      </c>
      <c r="M810" t="s">
        <v>6370</v>
      </c>
    </row>
    <row r="811" spans="1:13">
      <c r="A811" t="s">
        <v>2076</v>
      </c>
      <c r="B811" t="s">
        <v>1986</v>
      </c>
      <c r="C811">
        <v>44358</v>
      </c>
      <c r="D811">
        <v>258769609</v>
      </c>
      <c r="E811">
        <v>48619</v>
      </c>
      <c r="F811">
        <v>68</v>
      </c>
      <c r="G811">
        <v>145224400</v>
      </c>
      <c r="H811">
        <v>822234</v>
      </c>
      <c r="I811">
        <v>116117655</v>
      </c>
      <c r="J811">
        <v>37</v>
      </c>
      <c r="K811">
        <v>146</v>
      </c>
      <c r="L811">
        <v>0</v>
      </c>
      <c r="M811" t="s">
        <v>6370</v>
      </c>
    </row>
    <row r="812" spans="1:13">
      <c r="A812" t="s">
        <v>2081</v>
      </c>
      <c r="B812" t="s">
        <v>2082</v>
      </c>
      <c r="C812">
        <v>43896</v>
      </c>
      <c r="D812">
        <v>378584974</v>
      </c>
      <c r="E812">
        <v>56415</v>
      </c>
      <c r="F812">
        <v>64</v>
      </c>
      <c r="G812">
        <v>116036942</v>
      </c>
      <c r="H812">
        <v>1608398</v>
      </c>
      <c r="I812">
        <v>5568445890</v>
      </c>
      <c r="J812">
        <v>24</v>
      </c>
      <c r="K812">
        <v>188</v>
      </c>
      <c r="L812">
        <v>1</v>
      </c>
      <c r="M812" t="s">
        <v>6371</v>
      </c>
    </row>
    <row r="813" spans="1:13">
      <c r="A813" t="s">
        <v>2087</v>
      </c>
      <c r="B813" t="s">
        <v>1113</v>
      </c>
      <c r="C813">
        <v>44529</v>
      </c>
      <c r="D813">
        <v>169074195</v>
      </c>
      <c r="E813">
        <v>77071</v>
      </c>
      <c r="F813">
        <v>59</v>
      </c>
      <c r="G813">
        <v>121560768</v>
      </c>
      <c r="H813">
        <v>904837</v>
      </c>
      <c r="I813">
        <v>214484764</v>
      </c>
      <c r="J813">
        <v>27</v>
      </c>
      <c r="K813">
        <v>96</v>
      </c>
      <c r="L813">
        <v>1</v>
      </c>
      <c r="M813" t="s">
        <v>6370</v>
      </c>
    </row>
    <row r="814" spans="1:13">
      <c r="A814" t="s">
        <v>2088</v>
      </c>
      <c r="B814" t="s">
        <v>2089</v>
      </c>
      <c r="C814">
        <v>42692</v>
      </c>
      <c r="D814">
        <v>551115166</v>
      </c>
      <c r="E814">
        <v>57721</v>
      </c>
      <c r="F814">
        <v>66</v>
      </c>
      <c r="G814">
        <v>1771543816</v>
      </c>
      <c r="H814">
        <v>5769300</v>
      </c>
      <c r="I814">
        <v>392249223</v>
      </c>
      <c r="J814">
        <v>66</v>
      </c>
      <c r="K814">
        <v>343</v>
      </c>
      <c r="L814">
        <v>0</v>
      </c>
      <c r="M814" t="s">
        <v>6371</v>
      </c>
    </row>
    <row r="815" spans="1:13">
      <c r="A815" t="s">
        <v>2090</v>
      </c>
      <c r="B815" t="s">
        <v>141</v>
      </c>
      <c r="C815">
        <v>44162</v>
      </c>
      <c r="D815">
        <v>990189999</v>
      </c>
      <c r="E815">
        <v>120639</v>
      </c>
      <c r="F815">
        <v>71</v>
      </c>
      <c r="G815">
        <v>354318464</v>
      </c>
      <c r="H815">
        <v>2521106</v>
      </c>
      <c r="I815">
        <v>229672086</v>
      </c>
      <c r="J815">
        <v>134</v>
      </c>
      <c r="K815">
        <v>81</v>
      </c>
      <c r="L815">
        <v>0</v>
      </c>
      <c r="M815" t="s">
        <v>6371</v>
      </c>
    </row>
    <row r="816" spans="1:13">
      <c r="A816" t="s">
        <v>2092</v>
      </c>
      <c r="B816" t="s">
        <v>522</v>
      </c>
      <c r="C816">
        <v>44775</v>
      </c>
      <c r="D816">
        <v>309329645</v>
      </c>
      <c r="E816">
        <v>30705</v>
      </c>
      <c r="F816">
        <v>68</v>
      </c>
      <c r="G816">
        <v>368079858</v>
      </c>
      <c r="H816">
        <v>1155888</v>
      </c>
      <c r="I816">
        <v>375768071</v>
      </c>
      <c r="J816">
        <v>6</v>
      </c>
      <c r="K816">
        <v>3</v>
      </c>
      <c r="L816">
        <v>0</v>
      </c>
      <c r="M816" t="s">
        <v>6370</v>
      </c>
    </row>
    <row r="817" spans="1:13">
      <c r="A817" t="s">
        <v>2093</v>
      </c>
      <c r="B817" t="s">
        <v>2094</v>
      </c>
      <c r="C817">
        <v>40909</v>
      </c>
      <c r="D817">
        <v>1232502989</v>
      </c>
      <c r="E817">
        <v>163195</v>
      </c>
      <c r="F817">
        <v>73</v>
      </c>
      <c r="G817">
        <v>349747981</v>
      </c>
      <c r="H817">
        <v>2670057</v>
      </c>
      <c r="I817">
        <v>198680803</v>
      </c>
      <c r="J817">
        <v>195</v>
      </c>
      <c r="K817">
        <v>356</v>
      </c>
      <c r="L817">
        <v>0</v>
      </c>
      <c r="M817" t="s">
        <v>6371</v>
      </c>
    </row>
    <row r="818" spans="1:13">
      <c r="A818" t="s">
        <v>2095</v>
      </c>
      <c r="B818" t="s">
        <v>121</v>
      </c>
      <c r="C818">
        <v>45042</v>
      </c>
      <c r="D818">
        <v>111124873</v>
      </c>
      <c r="E818">
        <v>35929</v>
      </c>
      <c r="F818">
        <v>65</v>
      </c>
      <c r="G818">
        <v>103077029</v>
      </c>
      <c r="H818">
        <v>789321</v>
      </c>
      <c r="I818">
        <v>291086000</v>
      </c>
      <c r="J818">
        <v>64</v>
      </c>
      <c r="K818">
        <v>34</v>
      </c>
      <c r="L818">
        <v>1</v>
      </c>
      <c r="M818" t="s">
        <v>6370</v>
      </c>
    </row>
    <row r="819" spans="1:13">
      <c r="A819" t="s">
        <v>2099</v>
      </c>
      <c r="B819" t="s">
        <v>2063</v>
      </c>
      <c r="C819">
        <v>43409</v>
      </c>
      <c r="D819">
        <v>915772593</v>
      </c>
      <c r="E819">
        <v>85897</v>
      </c>
      <c r="F819">
        <v>70</v>
      </c>
      <c r="G819">
        <v>1320370692</v>
      </c>
      <c r="H819">
        <v>7869990</v>
      </c>
      <c r="I819">
        <v>107834415</v>
      </c>
      <c r="J819">
        <v>45</v>
      </c>
      <c r="K819">
        <v>28</v>
      </c>
      <c r="L819">
        <v>0</v>
      </c>
      <c r="M819" t="s">
        <v>6371</v>
      </c>
    </row>
    <row r="820" spans="1:13">
      <c r="A820" t="s">
        <v>2100</v>
      </c>
      <c r="B820" t="s">
        <v>2101</v>
      </c>
      <c r="C820">
        <v>42005</v>
      </c>
      <c r="D820">
        <v>1162659862</v>
      </c>
      <c r="E820">
        <v>180669</v>
      </c>
      <c r="F820">
        <v>76</v>
      </c>
      <c r="G820">
        <v>1613180283</v>
      </c>
      <c r="H820">
        <v>10775520</v>
      </c>
      <c r="I820">
        <v>1580838186</v>
      </c>
      <c r="J820">
        <v>86</v>
      </c>
      <c r="K820">
        <v>15</v>
      </c>
      <c r="L820">
        <v>0</v>
      </c>
      <c r="M820" t="s">
        <v>6371</v>
      </c>
    </row>
    <row r="821" spans="1:13">
      <c r="A821" t="s">
        <v>2108</v>
      </c>
      <c r="B821" t="s">
        <v>1932</v>
      </c>
      <c r="C821">
        <v>44658</v>
      </c>
      <c r="D821">
        <v>122568157</v>
      </c>
      <c r="E821">
        <v>29662</v>
      </c>
      <c r="F821">
        <v>64</v>
      </c>
      <c r="G821">
        <v>208114605</v>
      </c>
      <c r="H821">
        <v>1550438</v>
      </c>
      <c r="I821">
        <v>9097455103</v>
      </c>
      <c r="J821">
        <v>7</v>
      </c>
      <c r="K821">
        <v>551</v>
      </c>
      <c r="L821">
        <v>1</v>
      </c>
      <c r="M821" t="s">
        <v>6370</v>
      </c>
    </row>
    <row r="822" spans="1:13">
      <c r="A822" t="s">
        <v>2114</v>
      </c>
      <c r="B822" t="s">
        <v>389</v>
      </c>
      <c r="C822">
        <v>44607</v>
      </c>
      <c r="D822">
        <v>224285122</v>
      </c>
      <c r="E822">
        <v>23891</v>
      </c>
      <c r="F822">
        <v>63</v>
      </c>
      <c r="G822">
        <v>171821740</v>
      </c>
      <c r="H822">
        <v>3263544</v>
      </c>
      <c r="I822">
        <v>1829158410</v>
      </c>
      <c r="J822">
        <v>9</v>
      </c>
      <c r="K822">
        <v>23</v>
      </c>
      <c r="L822">
        <v>0</v>
      </c>
      <c r="M822" t="s">
        <v>6370</v>
      </c>
    </row>
    <row r="823" spans="1:13">
      <c r="A823" t="s">
        <v>2115</v>
      </c>
      <c r="B823" t="s">
        <v>332</v>
      </c>
      <c r="C823">
        <v>44715</v>
      </c>
      <c r="D823">
        <v>444613276</v>
      </c>
      <c r="E823">
        <v>56678</v>
      </c>
      <c r="F823">
        <v>73</v>
      </c>
      <c r="G823">
        <v>328723503</v>
      </c>
      <c r="H823">
        <v>1532631</v>
      </c>
      <c r="I823">
        <v>179088549</v>
      </c>
      <c r="J823">
        <v>29</v>
      </c>
      <c r="K823">
        <v>132</v>
      </c>
      <c r="L823">
        <v>0</v>
      </c>
      <c r="M823" t="s">
        <v>6370</v>
      </c>
    </row>
    <row r="824" spans="1:13">
      <c r="A824" t="s">
        <v>2120</v>
      </c>
      <c r="B824" t="s">
        <v>576</v>
      </c>
      <c r="C824">
        <v>41640</v>
      </c>
      <c r="D824">
        <v>809840469</v>
      </c>
      <c r="E824">
        <v>110573</v>
      </c>
      <c r="F824">
        <v>73</v>
      </c>
      <c r="G824">
        <v>550108518</v>
      </c>
      <c r="H824">
        <v>5249510</v>
      </c>
      <c r="I824">
        <v>2999189391</v>
      </c>
      <c r="J824">
        <v>57</v>
      </c>
      <c r="K824">
        <v>18</v>
      </c>
      <c r="L824">
        <v>0</v>
      </c>
      <c r="M824" t="s">
        <v>6371</v>
      </c>
    </row>
    <row r="825" spans="1:13">
      <c r="A825" t="s">
        <v>2124</v>
      </c>
      <c r="B825" t="s">
        <v>47</v>
      </c>
      <c r="C825">
        <v>44693</v>
      </c>
      <c r="D825">
        <v>327011836</v>
      </c>
      <c r="E825">
        <v>76622</v>
      </c>
      <c r="F825">
        <v>62</v>
      </c>
      <c r="G825">
        <v>116596146</v>
      </c>
      <c r="H825">
        <v>1210310</v>
      </c>
      <c r="I825">
        <v>258017332</v>
      </c>
      <c r="J825">
        <v>38</v>
      </c>
      <c r="K825">
        <v>718</v>
      </c>
      <c r="L825">
        <v>1</v>
      </c>
      <c r="M825" t="s">
        <v>6370</v>
      </c>
    </row>
    <row r="826" spans="1:13">
      <c r="A826" t="s">
        <v>2125</v>
      </c>
      <c r="B826" t="s">
        <v>520</v>
      </c>
      <c r="C826">
        <v>42005</v>
      </c>
      <c r="D826">
        <v>1436709386</v>
      </c>
      <c r="E826">
        <v>148480</v>
      </c>
      <c r="F826">
        <v>70</v>
      </c>
      <c r="G826">
        <v>1135381625</v>
      </c>
      <c r="H826">
        <v>14015049</v>
      </c>
      <c r="I826">
        <v>930637366</v>
      </c>
      <c r="J826">
        <v>121</v>
      </c>
      <c r="K826">
        <v>218</v>
      </c>
      <c r="L826">
        <v>1</v>
      </c>
      <c r="M826" t="s">
        <v>6371</v>
      </c>
    </row>
    <row r="827" spans="1:13">
      <c r="A827" t="s">
        <v>2126</v>
      </c>
      <c r="B827" t="s">
        <v>141</v>
      </c>
      <c r="C827">
        <v>45212</v>
      </c>
      <c r="D827">
        <v>226576178</v>
      </c>
      <c r="E827">
        <v>32219</v>
      </c>
      <c r="F827">
        <v>78</v>
      </c>
      <c r="G827">
        <v>37510571</v>
      </c>
      <c r="H827">
        <v>455214</v>
      </c>
      <c r="I827">
        <v>92737977</v>
      </c>
      <c r="J827">
        <v>31</v>
      </c>
      <c r="K827">
        <v>67</v>
      </c>
      <c r="L827">
        <v>1</v>
      </c>
      <c r="M827" t="s">
        <v>6370</v>
      </c>
    </row>
    <row r="828" spans="1:13">
      <c r="A828" t="s">
        <v>2130</v>
      </c>
      <c r="B828" t="s">
        <v>2131</v>
      </c>
      <c r="C828">
        <v>44337</v>
      </c>
      <c r="D828">
        <v>303510160</v>
      </c>
      <c r="E828">
        <v>72865</v>
      </c>
      <c r="F828">
        <v>72</v>
      </c>
      <c r="G828">
        <v>153123397</v>
      </c>
      <c r="H828">
        <v>1415230</v>
      </c>
      <c r="I828">
        <v>2457741991</v>
      </c>
      <c r="J828">
        <v>3</v>
      </c>
      <c r="K828">
        <v>24</v>
      </c>
      <c r="L828">
        <v>1</v>
      </c>
      <c r="M828" t="s">
        <v>6370</v>
      </c>
    </row>
    <row r="829" spans="1:13">
      <c r="A829" t="s">
        <v>2132</v>
      </c>
      <c r="B829" t="s">
        <v>1852</v>
      </c>
      <c r="C829">
        <v>45149</v>
      </c>
      <c r="D829">
        <v>626153696</v>
      </c>
      <c r="E829">
        <v>13455</v>
      </c>
      <c r="F829">
        <v>82</v>
      </c>
      <c r="G829">
        <v>95442324</v>
      </c>
      <c r="H829">
        <v>4491977</v>
      </c>
      <c r="I829">
        <v>335526234</v>
      </c>
      <c r="J829">
        <v>7</v>
      </c>
      <c r="K829">
        <v>19</v>
      </c>
      <c r="L829">
        <v>0</v>
      </c>
      <c r="M829" t="s">
        <v>6370</v>
      </c>
    </row>
    <row r="830" spans="1:13">
      <c r="A830" t="s">
        <v>2135</v>
      </c>
      <c r="B830" t="s">
        <v>68</v>
      </c>
      <c r="C830">
        <v>43776</v>
      </c>
      <c r="D830">
        <v>510302007</v>
      </c>
      <c r="E830">
        <v>74416</v>
      </c>
      <c r="F830">
        <v>66</v>
      </c>
      <c r="G830">
        <v>459871445</v>
      </c>
      <c r="H830">
        <v>4568451</v>
      </c>
      <c r="I830">
        <v>1918118365</v>
      </c>
      <c r="J830">
        <v>69</v>
      </c>
      <c r="K830">
        <v>89</v>
      </c>
      <c r="L830">
        <v>1</v>
      </c>
      <c r="M830" t="s">
        <v>6371</v>
      </c>
    </row>
    <row r="831" spans="1:13">
      <c r="A831" t="s">
        <v>2136</v>
      </c>
      <c r="B831" t="s">
        <v>2137</v>
      </c>
      <c r="C831">
        <v>43903</v>
      </c>
      <c r="D831">
        <v>457848626</v>
      </c>
      <c r="E831">
        <v>81641</v>
      </c>
      <c r="F831">
        <v>66</v>
      </c>
      <c r="G831">
        <v>246089222</v>
      </c>
      <c r="H831">
        <v>2528574</v>
      </c>
      <c r="I831">
        <v>1783816089</v>
      </c>
      <c r="J831">
        <v>52</v>
      </c>
      <c r="K831">
        <v>24</v>
      </c>
      <c r="L831">
        <v>0</v>
      </c>
      <c r="M831" t="s">
        <v>6371</v>
      </c>
    </row>
    <row r="832" spans="1:13">
      <c r="A832" t="s">
        <v>2143</v>
      </c>
      <c r="B832" t="s">
        <v>236</v>
      </c>
      <c r="C832">
        <v>44211</v>
      </c>
      <c r="D832">
        <v>767502068</v>
      </c>
      <c r="E832">
        <v>142094</v>
      </c>
      <c r="F832">
        <v>70</v>
      </c>
      <c r="G832">
        <v>144061936</v>
      </c>
      <c r="H832">
        <v>1059407</v>
      </c>
      <c r="I832">
        <v>505442832</v>
      </c>
      <c r="J832">
        <v>169</v>
      </c>
      <c r="K832">
        <v>260</v>
      </c>
      <c r="L832">
        <v>1</v>
      </c>
      <c r="M832" t="s">
        <v>6370</v>
      </c>
    </row>
    <row r="833" spans="1:13">
      <c r="A833" t="s">
        <v>2144</v>
      </c>
      <c r="B833" t="s">
        <v>434</v>
      </c>
      <c r="C833">
        <v>44869</v>
      </c>
      <c r="D833">
        <v>363300065</v>
      </c>
      <c r="E833">
        <v>74276</v>
      </c>
      <c r="F833">
        <v>71</v>
      </c>
      <c r="G833">
        <v>77291326</v>
      </c>
      <c r="H833">
        <v>1109516</v>
      </c>
      <c r="I833">
        <v>352701529</v>
      </c>
      <c r="J833">
        <v>36</v>
      </c>
      <c r="K833">
        <v>30</v>
      </c>
      <c r="L833">
        <v>0</v>
      </c>
      <c r="M833" t="s">
        <v>6370</v>
      </c>
    </row>
    <row r="834" spans="1:13">
      <c r="A834" t="s">
        <v>2145</v>
      </c>
      <c r="B834" t="s">
        <v>2146</v>
      </c>
      <c r="C834">
        <v>45323</v>
      </c>
      <c r="D834">
        <v>63296147</v>
      </c>
      <c r="E834">
        <v>2994</v>
      </c>
      <c r="F834">
        <v>64</v>
      </c>
      <c r="G834">
        <v>57626164</v>
      </c>
      <c r="H834">
        <v>476570</v>
      </c>
      <c r="I834">
        <v>19883744</v>
      </c>
      <c r="J834">
        <v>2</v>
      </c>
      <c r="K834">
        <v>31</v>
      </c>
      <c r="L834">
        <v>1</v>
      </c>
      <c r="M834" t="s">
        <v>6370</v>
      </c>
    </row>
    <row r="835" spans="1:13">
      <c r="A835" t="s">
        <v>2147</v>
      </c>
      <c r="B835" t="s">
        <v>2148</v>
      </c>
      <c r="C835">
        <v>40806</v>
      </c>
      <c r="D835">
        <v>1143172586</v>
      </c>
      <c r="E835">
        <v>216588</v>
      </c>
      <c r="F835">
        <v>72</v>
      </c>
      <c r="G835">
        <v>213210779</v>
      </c>
      <c r="H835">
        <v>1991783</v>
      </c>
      <c r="I835">
        <v>302798025</v>
      </c>
      <c r="J835">
        <v>135</v>
      </c>
      <c r="K835">
        <v>218</v>
      </c>
      <c r="L835">
        <v>0</v>
      </c>
      <c r="M835" t="s">
        <v>6371</v>
      </c>
    </row>
    <row r="836" spans="1:13">
      <c r="A836" t="s">
        <v>2149</v>
      </c>
      <c r="B836" t="s">
        <v>617</v>
      </c>
      <c r="C836">
        <v>44092</v>
      </c>
      <c r="D836">
        <v>518293446</v>
      </c>
      <c r="E836">
        <v>72376</v>
      </c>
      <c r="F836">
        <v>69</v>
      </c>
      <c r="G836">
        <v>312305062</v>
      </c>
      <c r="H836">
        <v>2892320</v>
      </c>
      <c r="I836">
        <v>76367154</v>
      </c>
      <c r="J836">
        <v>159</v>
      </c>
      <c r="K836">
        <v>593</v>
      </c>
      <c r="L836">
        <v>0</v>
      </c>
      <c r="M836" t="s">
        <v>6371</v>
      </c>
    </row>
    <row r="837" spans="1:13">
      <c r="A837" t="s">
        <v>2151</v>
      </c>
      <c r="B837" t="s">
        <v>2152</v>
      </c>
      <c r="C837">
        <v>44043</v>
      </c>
      <c r="D837">
        <v>277505000</v>
      </c>
      <c r="E837">
        <v>76388</v>
      </c>
      <c r="F837">
        <v>56</v>
      </c>
      <c r="G837">
        <v>126075119</v>
      </c>
      <c r="H837">
        <v>2454637</v>
      </c>
      <c r="I837">
        <v>3120170735</v>
      </c>
      <c r="J837">
        <v>108</v>
      </c>
      <c r="K837">
        <v>52</v>
      </c>
      <c r="L837">
        <v>1</v>
      </c>
      <c r="M837" t="s">
        <v>6371</v>
      </c>
    </row>
    <row r="838" spans="1:13">
      <c r="A838" t="s">
        <v>2160</v>
      </c>
      <c r="B838" t="s">
        <v>141</v>
      </c>
      <c r="C838">
        <v>43890</v>
      </c>
      <c r="D838">
        <v>817199682</v>
      </c>
      <c r="E838">
        <v>92013</v>
      </c>
      <c r="F838">
        <v>70</v>
      </c>
      <c r="G838">
        <v>741912041</v>
      </c>
      <c r="H838">
        <v>6429361</v>
      </c>
      <c r="I838">
        <v>555577986</v>
      </c>
      <c r="J838">
        <v>50</v>
      </c>
      <c r="K838">
        <v>34</v>
      </c>
      <c r="L838">
        <v>0</v>
      </c>
      <c r="M838" t="s">
        <v>6371</v>
      </c>
    </row>
    <row r="839" spans="1:13">
      <c r="A839" t="s">
        <v>2161</v>
      </c>
      <c r="B839" t="s">
        <v>2162</v>
      </c>
      <c r="C839">
        <v>42853</v>
      </c>
      <c r="D839">
        <v>1332154389</v>
      </c>
      <c r="E839">
        <v>155866</v>
      </c>
      <c r="F839">
        <v>67</v>
      </c>
      <c r="G839">
        <v>731296296</v>
      </c>
      <c r="H839">
        <v>9138105</v>
      </c>
      <c r="I839">
        <v>176473936</v>
      </c>
      <c r="J839">
        <v>114</v>
      </c>
      <c r="K839">
        <v>8</v>
      </c>
      <c r="L839">
        <v>1</v>
      </c>
      <c r="M839" t="s">
        <v>6371</v>
      </c>
    </row>
    <row r="840" spans="1:13">
      <c r="A840" t="s">
        <v>2166</v>
      </c>
      <c r="B840" t="s">
        <v>2167</v>
      </c>
      <c r="C840">
        <v>43123</v>
      </c>
      <c r="D840">
        <v>1503269550</v>
      </c>
      <c r="E840">
        <v>135666</v>
      </c>
      <c r="F840">
        <v>72</v>
      </c>
      <c r="G840">
        <v>377475040</v>
      </c>
      <c r="H840">
        <v>3036719</v>
      </c>
      <c r="I840">
        <v>92310567</v>
      </c>
      <c r="J840">
        <v>207</v>
      </c>
      <c r="K840">
        <v>229</v>
      </c>
      <c r="L840">
        <v>0</v>
      </c>
      <c r="M840" t="s">
        <v>6371</v>
      </c>
    </row>
    <row r="841" spans="1:13">
      <c r="A841" t="s">
        <v>2169</v>
      </c>
      <c r="B841" t="s">
        <v>2170</v>
      </c>
      <c r="C841">
        <v>41275</v>
      </c>
      <c r="D841">
        <v>1590278292</v>
      </c>
      <c r="E841">
        <v>259895</v>
      </c>
      <c r="F841">
        <v>71</v>
      </c>
      <c r="G841">
        <v>892426661</v>
      </c>
      <c r="H841">
        <v>6706344</v>
      </c>
      <c r="I841">
        <v>587669621</v>
      </c>
      <c r="J841">
        <v>153</v>
      </c>
      <c r="K841">
        <v>299</v>
      </c>
      <c r="L841">
        <v>0</v>
      </c>
      <c r="M841" t="s">
        <v>6371</v>
      </c>
    </row>
    <row r="842" spans="1:13">
      <c r="A842" t="s">
        <v>2172</v>
      </c>
      <c r="B842" t="s">
        <v>285</v>
      </c>
      <c r="C842">
        <v>44120</v>
      </c>
      <c r="D842">
        <v>820172575</v>
      </c>
      <c r="E842">
        <v>119464</v>
      </c>
      <c r="F842">
        <v>66</v>
      </c>
      <c r="G842">
        <v>236628412</v>
      </c>
      <c r="H842">
        <v>5627099</v>
      </c>
      <c r="I842">
        <v>261554607</v>
      </c>
      <c r="J842">
        <v>152</v>
      </c>
      <c r="K842">
        <v>246</v>
      </c>
      <c r="L842">
        <v>1</v>
      </c>
      <c r="M842" t="s">
        <v>6371</v>
      </c>
    </row>
    <row r="843" spans="1:13">
      <c r="A843" t="s">
        <v>2173</v>
      </c>
      <c r="B843" t="s">
        <v>285</v>
      </c>
      <c r="C843">
        <v>44260</v>
      </c>
      <c r="D843">
        <v>749776475</v>
      </c>
      <c r="E843">
        <v>98447</v>
      </c>
      <c r="F843">
        <v>65</v>
      </c>
      <c r="G843">
        <v>255815308</v>
      </c>
      <c r="H843">
        <v>3672693</v>
      </c>
      <c r="I843">
        <v>250017692</v>
      </c>
      <c r="J843">
        <v>129</v>
      </c>
      <c r="K843">
        <v>32</v>
      </c>
      <c r="L843">
        <v>0</v>
      </c>
      <c r="M843" t="s">
        <v>6370</v>
      </c>
    </row>
    <row r="844" spans="1:13">
      <c r="A844" t="s">
        <v>2174</v>
      </c>
      <c r="B844" t="s">
        <v>2175</v>
      </c>
      <c r="C844">
        <v>41191</v>
      </c>
      <c r="D844">
        <v>2397109372</v>
      </c>
      <c r="E844">
        <v>287524</v>
      </c>
      <c r="F844">
        <v>74</v>
      </c>
      <c r="G844">
        <v>1554258622</v>
      </c>
      <c r="H844">
        <v>11301317</v>
      </c>
      <c r="I844">
        <v>715739402</v>
      </c>
      <c r="J844">
        <v>23</v>
      </c>
      <c r="K844">
        <v>185</v>
      </c>
      <c r="L844">
        <v>0</v>
      </c>
      <c r="M844" t="s">
        <v>6371</v>
      </c>
    </row>
    <row r="845" spans="1:13">
      <c r="A845" t="s">
        <v>2176</v>
      </c>
      <c r="B845" t="s">
        <v>291</v>
      </c>
      <c r="C845">
        <v>43196</v>
      </c>
      <c r="D845">
        <v>1624314065</v>
      </c>
      <c r="E845">
        <v>175421</v>
      </c>
      <c r="F845">
        <v>72</v>
      </c>
      <c r="G845">
        <v>50292845</v>
      </c>
      <c r="H845">
        <v>526148</v>
      </c>
      <c r="I845">
        <v>1060409911</v>
      </c>
      <c r="J845">
        <v>331</v>
      </c>
      <c r="K845">
        <v>7</v>
      </c>
      <c r="L845">
        <v>1</v>
      </c>
      <c r="M845" t="s">
        <v>6371</v>
      </c>
    </row>
    <row r="846" spans="1:13">
      <c r="A846" t="s">
        <v>1431</v>
      </c>
      <c r="B846" t="s">
        <v>2181</v>
      </c>
      <c r="C846">
        <v>44120</v>
      </c>
      <c r="D846">
        <v>382143321</v>
      </c>
      <c r="E846">
        <v>98433</v>
      </c>
      <c r="F846">
        <v>65</v>
      </c>
      <c r="G846">
        <v>97046738</v>
      </c>
      <c r="H846">
        <v>1206503</v>
      </c>
      <c r="I846">
        <v>12626614888</v>
      </c>
      <c r="J846">
        <v>7</v>
      </c>
      <c r="K846">
        <v>176</v>
      </c>
      <c r="L846">
        <v>0</v>
      </c>
      <c r="M846" t="s">
        <v>6371</v>
      </c>
    </row>
    <row r="847" spans="1:13">
      <c r="A847" t="s">
        <v>2182</v>
      </c>
      <c r="B847" t="s">
        <v>686</v>
      </c>
      <c r="C847">
        <v>43608</v>
      </c>
      <c r="D847">
        <v>729825680</v>
      </c>
      <c r="E847">
        <v>155380</v>
      </c>
      <c r="F847">
        <v>62</v>
      </c>
      <c r="G847">
        <v>286183927</v>
      </c>
      <c r="H847">
        <v>2353107</v>
      </c>
      <c r="I847">
        <v>63035109</v>
      </c>
      <c r="J847">
        <v>90</v>
      </c>
      <c r="K847">
        <v>101</v>
      </c>
      <c r="L847">
        <v>1</v>
      </c>
      <c r="M847" t="s">
        <v>6371</v>
      </c>
    </row>
    <row r="848" spans="1:13">
      <c r="A848" t="s">
        <v>2183</v>
      </c>
      <c r="B848" t="s">
        <v>2184</v>
      </c>
      <c r="C848">
        <v>43693</v>
      </c>
      <c r="D848">
        <v>497062969</v>
      </c>
      <c r="E848">
        <v>39746</v>
      </c>
      <c r="F848">
        <v>69</v>
      </c>
      <c r="G848">
        <v>1089614100</v>
      </c>
      <c r="H848">
        <v>3109366</v>
      </c>
      <c r="I848">
        <v>774581354</v>
      </c>
      <c r="J848">
        <v>16</v>
      </c>
      <c r="K848">
        <v>72</v>
      </c>
      <c r="L848">
        <v>0</v>
      </c>
      <c r="M848" t="s">
        <v>6371</v>
      </c>
    </row>
    <row r="849" spans="1:13">
      <c r="A849" t="s">
        <v>2186</v>
      </c>
      <c r="B849" t="s">
        <v>2187</v>
      </c>
      <c r="C849">
        <v>44344</v>
      </c>
      <c r="D849">
        <v>499262863</v>
      </c>
      <c r="E849">
        <v>156928</v>
      </c>
      <c r="F849">
        <v>70</v>
      </c>
      <c r="G849">
        <v>131002845</v>
      </c>
      <c r="H849">
        <v>1651190</v>
      </c>
      <c r="I849">
        <v>685647449</v>
      </c>
      <c r="J849">
        <v>22</v>
      </c>
      <c r="K849">
        <v>53</v>
      </c>
      <c r="L849">
        <v>1</v>
      </c>
      <c r="M849" t="s">
        <v>6370</v>
      </c>
    </row>
    <row r="850" spans="1:13">
      <c r="A850" t="s">
        <v>2192</v>
      </c>
      <c r="B850" t="s">
        <v>291</v>
      </c>
      <c r="C850">
        <v>43511</v>
      </c>
      <c r="D850">
        <v>551035247</v>
      </c>
      <c r="E850">
        <v>58065</v>
      </c>
      <c r="F850">
        <v>70</v>
      </c>
      <c r="G850">
        <v>709288321</v>
      </c>
      <c r="H850">
        <v>7563367</v>
      </c>
      <c r="I850">
        <v>244717002</v>
      </c>
      <c r="J850">
        <v>42</v>
      </c>
      <c r="K850">
        <v>33</v>
      </c>
      <c r="L850">
        <v>1</v>
      </c>
      <c r="M850" t="s">
        <v>6371</v>
      </c>
    </row>
    <row r="851" spans="1:13">
      <c r="A851" t="s">
        <v>2196</v>
      </c>
      <c r="B851" t="s">
        <v>313</v>
      </c>
      <c r="C851">
        <v>44511</v>
      </c>
      <c r="D851">
        <v>459476092</v>
      </c>
      <c r="E851">
        <v>79169</v>
      </c>
      <c r="F851">
        <v>69</v>
      </c>
      <c r="G851">
        <v>301677718</v>
      </c>
      <c r="H851">
        <v>2245842</v>
      </c>
      <c r="I851">
        <v>399821879</v>
      </c>
      <c r="J851">
        <v>87</v>
      </c>
      <c r="K851">
        <v>464</v>
      </c>
      <c r="L851">
        <v>0</v>
      </c>
      <c r="M851" t="s">
        <v>6370</v>
      </c>
    </row>
    <row r="852" spans="1:13">
      <c r="A852" t="s">
        <v>2198</v>
      </c>
      <c r="B852" t="s">
        <v>459</v>
      </c>
      <c r="C852">
        <v>44365</v>
      </c>
      <c r="D852">
        <v>347951927</v>
      </c>
      <c r="E852">
        <v>60696</v>
      </c>
      <c r="F852">
        <v>61</v>
      </c>
      <c r="G852">
        <v>597413972</v>
      </c>
      <c r="H852">
        <v>2596959</v>
      </c>
      <c r="I852">
        <v>91298035</v>
      </c>
      <c r="J852">
        <v>78</v>
      </c>
      <c r="K852">
        <v>9</v>
      </c>
      <c r="L852">
        <v>0</v>
      </c>
      <c r="M852" t="s">
        <v>6370</v>
      </c>
    </row>
    <row r="853" spans="1:13">
      <c r="A853" t="s">
        <v>2199</v>
      </c>
      <c r="B853" t="s">
        <v>444</v>
      </c>
      <c r="C853">
        <v>44767</v>
      </c>
      <c r="D853">
        <v>656416971</v>
      </c>
      <c r="E853">
        <v>74344</v>
      </c>
      <c r="F853">
        <v>75</v>
      </c>
      <c r="G853">
        <v>58769088</v>
      </c>
      <c r="H853">
        <v>325798</v>
      </c>
      <c r="I853">
        <v>1039707434</v>
      </c>
      <c r="J853">
        <v>75</v>
      </c>
      <c r="K853">
        <v>249</v>
      </c>
      <c r="L853">
        <v>1</v>
      </c>
      <c r="M853" t="s">
        <v>6370</v>
      </c>
    </row>
    <row r="854" spans="1:13">
      <c r="A854" t="s">
        <v>2200</v>
      </c>
      <c r="B854" t="s">
        <v>61</v>
      </c>
      <c r="C854">
        <v>44036</v>
      </c>
      <c r="D854">
        <v>1307283069</v>
      </c>
      <c r="E854">
        <v>94169</v>
      </c>
      <c r="F854">
        <v>80</v>
      </c>
      <c r="G854">
        <v>250157022</v>
      </c>
      <c r="H854">
        <v>3792791</v>
      </c>
      <c r="I854">
        <v>2941268049</v>
      </c>
      <c r="J854">
        <v>131</v>
      </c>
      <c r="K854">
        <v>11</v>
      </c>
      <c r="L854">
        <v>0</v>
      </c>
      <c r="M854" t="s">
        <v>6371</v>
      </c>
    </row>
    <row r="855" spans="1:13">
      <c r="A855" t="s">
        <v>2201</v>
      </c>
      <c r="B855" t="s">
        <v>1862</v>
      </c>
      <c r="C855">
        <v>42937</v>
      </c>
      <c r="D855">
        <v>1610423351</v>
      </c>
      <c r="E855">
        <v>283537</v>
      </c>
      <c r="F855">
        <v>84</v>
      </c>
      <c r="G855">
        <v>345975070</v>
      </c>
      <c r="H855">
        <v>4492100</v>
      </c>
      <c r="I855">
        <v>832654007</v>
      </c>
      <c r="J855">
        <v>99</v>
      </c>
      <c r="K855">
        <v>180</v>
      </c>
      <c r="L855">
        <v>1</v>
      </c>
      <c r="M855" t="s">
        <v>6371</v>
      </c>
    </row>
    <row r="856" spans="1:13">
      <c r="A856" t="s">
        <v>2204</v>
      </c>
      <c r="B856" t="s">
        <v>633</v>
      </c>
      <c r="C856">
        <v>43448</v>
      </c>
      <c r="D856">
        <v>784096553</v>
      </c>
      <c r="E856">
        <v>80071</v>
      </c>
      <c r="F856">
        <v>77</v>
      </c>
      <c r="G856">
        <v>979304024</v>
      </c>
      <c r="H856">
        <v>4295929</v>
      </c>
      <c r="I856">
        <v>98951834</v>
      </c>
      <c r="J856">
        <v>31</v>
      </c>
      <c r="K856">
        <v>26</v>
      </c>
      <c r="L856">
        <v>0</v>
      </c>
      <c r="M856" t="s">
        <v>6371</v>
      </c>
    </row>
    <row r="857" spans="1:13">
      <c r="A857" t="s">
        <v>2207</v>
      </c>
      <c r="B857" t="s">
        <v>1641</v>
      </c>
      <c r="C857">
        <v>44652</v>
      </c>
      <c r="D857">
        <v>736983718</v>
      </c>
      <c r="E857">
        <v>92256</v>
      </c>
      <c r="F857">
        <v>76</v>
      </c>
      <c r="G857">
        <v>97778011</v>
      </c>
      <c r="H857">
        <v>619019</v>
      </c>
      <c r="I857">
        <v>559279404</v>
      </c>
      <c r="J857">
        <v>42</v>
      </c>
      <c r="K857">
        <v>48</v>
      </c>
      <c r="L857">
        <v>1</v>
      </c>
      <c r="M857" t="s">
        <v>6370</v>
      </c>
    </row>
    <row r="858" spans="1:13">
      <c r="A858" t="s">
        <v>2208</v>
      </c>
      <c r="B858" t="s">
        <v>295</v>
      </c>
      <c r="C858">
        <v>43952</v>
      </c>
      <c r="D858">
        <v>763384135</v>
      </c>
      <c r="E858">
        <v>200270</v>
      </c>
      <c r="F858">
        <v>72</v>
      </c>
      <c r="G858">
        <v>182844852</v>
      </c>
      <c r="H858">
        <v>1503848</v>
      </c>
      <c r="I858">
        <v>5371997</v>
      </c>
      <c r="J858">
        <v>61</v>
      </c>
      <c r="K858">
        <v>14</v>
      </c>
      <c r="L858">
        <v>1</v>
      </c>
      <c r="M858" t="s">
        <v>6371</v>
      </c>
    </row>
    <row r="859" spans="1:13">
      <c r="A859" t="s">
        <v>2209</v>
      </c>
      <c r="B859" t="s">
        <v>2210</v>
      </c>
      <c r="C859">
        <v>45072</v>
      </c>
      <c r="D859">
        <v>128049237</v>
      </c>
      <c r="E859">
        <v>42334</v>
      </c>
      <c r="F859">
        <v>68</v>
      </c>
      <c r="G859">
        <v>66669093</v>
      </c>
      <c r="H859">
        <v>735494</v>
      </c>
      <c r="I859">
        <v>184180412</v>
      </c>
      <c r="J859">
        <v>25</v>
      </c>
      <c r="K859">
        <v>45</v>
      </c>
      <c r="L859">
        <v>1</v>
      </c>
      <c r="M859" t="s">
        <v>6370</v>
      </c>
    </row>
    <row r="860" spans="1:13">
      <c r="A860" t="s">
        <v>2211</v>
      </c>
      <c r="B860" t="s">
        <v>755</v>
      </c>
      <c r="C860">
        <v>45079</v>
      </c>
      <c r="D860">
        <v>207857363</v>
      </c>
      <c r="E860">
        <v>14268</v>
      </c>
      <c r="F860">
        <v>70</v>
      </c>
      <c r="G860">
        <v>202184485</v>
      </c>
      <c r="H860">
        <v>3376954</v>
      </c>
      <c r="I860">
        <v>1571240092</v>
      </c>
      <c r="J860">
        <v>20</v>
      </c>
      <c r="K860">
        <v>15</v>
      </c>
      <c r="L860">
        <v>0</v>
      </c>
      <c r="M860" t="s">
        <v>6370</v>
      </c>
    </row>
    <row r="861" spans="1:13">
      <c r="A861" t="s">
        <v>2212</v>
      </c>
      <c r="B861" t="s">
        <v>2213</v>
      </c>
      <c r="C861">
        <v>44665</v>
      </c>
      <c r="D861">
        <v>17756452</v>
      </c>
      <c r="E861">
        <v>8421</v>
      </c>
      <c r="F861">
        <v>48</v>
      </c>
      <c r="G861">
        <v>1602919</v>
      </c>
      <c r="H861">
        <v>27727</v>
      </c>
      <c r="I861">
        <v>5068567775</v>
      </c>
      <c r="J861">
        <v>1</v>
      </c>
      <c r="K861">
        <v>56</v>
      </c>
      <c r="L861">
        <v>1</v>
      </c>
      <c r="M861" t="s">
        <v>6370</v>
      </c>
    </row>
    <row r="862" spans="1:13">
      <c r="A862" t="s">
        <v>2214</v>
      </c>
      <c r="B862" t="s">
        <v>803</v>
      </c>
      <c r="C862">
        <v>44706</v>
      </c>
      <c r="D862">
        <v>245406516</v>
      </c>
      <c r="E862">
        <v>75951</v>
      </c>
      <c r="F862">
        <v>60</v>
      </c>
      <c r="G862">
        <v>53569545</v>
      </c>
      <c r="H862">
        <v>636003</v>
      </c>
      <c r="I862">
        <v>85005540</v>
      </c>
      <c r="J862">
        <v>12</v>
      </c>
      <c r="K862">
        <v>80</v>
      </c>
      <c r="L862">
        <v>1</v>
      </c>
      <c r="M862" t="s">
        <v>6370</v>
      </c>
    </row>
    <row r="863" spans="1:13">
      <c r="A863" t="s">
        <v>2215</v>
      </c>
      <c r="B863" t="s">
        <v>2216</v>
      </c>
      <c r="C863">
        <v>42635</v>
      </c>
      <c r="D863">
        <v>613961293</v>
      </c>
      <c r="E863">
        <v>57564</v>
      </c>
      <c r="F863">
        <v>66</v>
      </c>
      <c r="G863">
        <v>2008509134</v>
      </c>
      <c r="H863">
        <v>5299342</v>
      </c>
      <c r="I863">
        <v>416104248</v>
      </c>
      <c r="J863">
        <v>70</v>
      </c>
      <c r="K863">
        <v>36</v>
      </c>
      <c r="L863">
        <v>0</v>
      </c>
      <c r="M863" t="s">
        <v>6371</v>
      </c>
    </row>
    <row r="864" spans="1:13">
      <c r="A864" t="s">
        <v>2217</v>
      </c>
      <c r="B864" t="s">
        <v>1789</v>
      </c>
      <c r="C864">
        <v>44952</v>
      </c>
      <c r="D864">
        <v>159051363</v>
      </c>
      <c r="E864">
        <v>31456</v>
      </c>
      <c r="F864">
        <v>62</v>
      </c>
      <c r="G864">
        <v>36559555</v>
      </c>
      <c r="H864">
        <v>374415</v>
      </c>
      <c r="I864">
        <v>214685378</v>
      </c>
      <c r="J864">
        <v>62</v>
      </c>
      <c r="K864">
        <v>140</v>
      </c>
      <c r="L864">
        <v>0</v>
      </c>
      <c r="M864" t="s">
        <v>6370</v>
      </c>
    </row>
    <row r="865" spans="1:13">
      <c r="A865" t="s">
        <v>2218</v>
      </c>
      <c r="B865" t="s">
        <v>315</v>
      </c>
      <c r="C865">
        <v>43735</v>
      </c>
      <c r="D865">
        <v>432315500</v>
      </c>
      <c r="E865">
        <v>95756</v>
      </c>
      <c r="F865">
        <v>59</v>
      </c>
      <c r="G865">
        <v>161619855</v>
      </c>
      <c r="H865">
        <v>1879161</v>
      </c>
      <c r="I865">
        <v>1119929038</v>
      </c>
      <c r="J865">
        <v>38</v>
      </c>
      <c r="K865">
        <v>202</v>
      </c>
      <c r="L865">
        <v>1</v>
      </c>
      <c r="M865" t="s">
        <v>6371</v>
      </c>
    </row>
    <row r="866" spans="1:13">
      <c r="A866" t="s">
        <v>2219</v>
      </c>
      <c r="B866" t="s">
        <v>2220</v>
      </c>
      <c r="C866">
        <v>41901</v>
      </c>
      <c r="D866">
        <v>781790448</v>
      </c>
      <c r="E866">
        <v>135134</v>
      </c>
      <c r="F866">
        <v>67</v>
      </c>
      <c r="G866">
        <v>426579083</v>
      </c>
      <c r="H866">
        <v>3923819</v>
      </c>
      <c r="I866">
        <v>186021426</v>
      </c>
      <c r="J866">
        <v>80</v>
      </c>
      <c r="K866">
        <v>6</v>
      </c>
      <c r="L866">
        <v>1</v>
      </c>
      <c r="M866" t="s">
        <v>6371</v>
      </c>
    </row>
    <row r="867" spans="1:13">
      <c r="A867" t="s">
        <v>2231</v>
      </c>
      <c r="B867" t="s">
        <v>88</v>
      </c>
      <c r="C867">
        <v>45261</v>
      </c>
      <c r="D867">
        <v>91143676</v>
      </c>
      <c r="E867">
        <v>13407</v>
      </c>
      <c r="F867">
        <v>77</v>
      </c>
      <c r="G867">
        <v>31174494</v>
      </c>
      <c r="H867">
        <v>570689</v>
      </c>
      <c r="I867">
        <v>95419062</v>
      </c>
      <c r="J867">
        <v>58</v>
      </c>
      <c r="K867">
        <v>226</v>
      </c>
      <c r="L867">
        <v>0</v>
      </c>
      <c r="M867" t="s">
        <v>6370</v>
      </c>
    </row>
    <row r="868" spans="1:13">
      <c r="A868" t="s">
        <v>2232</v>
      </c>
      <c r="B868" t="s">
        <v>305</v>
      </c>
      <c r="C868">
        <v>40379</v>
      </c>
      <c r="D868">
        <v>2099862852</v>
      </c>
      <c r="E868">
        <v>233719</v>
      </c>
      <c r="F868">
        <v>79</v>
      </c>
      <c r="G868">
        <v>2218318671</v>
      </c>
      <c r="H868">
        <v>10649958</v>
      </c>
      <c r="I868">
        <v>411934018</v>
      </c>
      <c r="J868">
        <v>174</v>
      </c>
      <c r="K868">
        <v>429</v>
      </c>
      <c r="L868">
        <v>0</v>
      </c>
      <c r="M868" t="s">
        <v>6371</v>
      </c>
    </row>
    <row r="869" spans="1:13">
      <c r="A869" t="s">
        <v>2237</v>
      </c>
      <c r="B869" t="s">
        <v>2238</v>
      </c>
      <c r="C869">
        <v>43755</v>
      </c>
      <c r="D869">
        <v>1145402792</v>
      </c>
      <c r="E869">
        <v>134427</v>
      </c>
      <c r="F869">
        <v>69</v>
      </c>
      <c r="G869">
        <v>96493850</v>
      </c>
      <c r="H869">
        <v>756954</v>
      </c>
      <c r="I869">
        <v>947802755</v>
      </c>
      <c r="J869">
        <v>179</v>
      </c>
      <c r="K869">
        <v>290</v>
      </c>
      <c r="L869">
        <v>0</v>
      </c>
      <c r="M869" t="s">
        <v>6371</v>
      </c>
    </row>
    <row r="870" spans="1:13">
      <c r="A870" t="s">
        <v>2241</v>
      </c>
      <c r="B870" t="s">
        <v>127</v>
      </c>
      <c r="C870">
        <v>43796</v>
      </c>
      <c r="D870">
        <v>975754682</v>
      </c>
      <c r="E870">
        <v>137196</v>
      </c>
      <c r="F870">
        <v>73</v>
      </c>
      <c r="G870">
        <v>222977264</v>
      </c>
      <c r="H870">
        <v>2542926</v>
      </c>
      <c r="I870">
        <v>210080661</v>
      </c>
      <c r="J870">
        <v>99</v>
      </c>
      <c r="K870">
        <v>155</v>
      </c>
      <c r="L870">
        <v>1</v>
      </c>
      <c r="M870" t="s">
        <v>6371</v>
      </c>
    </row>
    <row r="871" spans="1:13">
      <c r="A871" t="s">
        <v>2246</v>
      </c>
      <c r="B871" t="s">
        <v>338</v>
      </c>
      <c r="C871">
        <v>41275</v>
      </c>
      <c r="D871">
        <v>1047154254</v>
      </c>
      <c r="E871">
        <v>168622</v>
      </c>
      <c r="F871">
        <v>74</v>
      </c>
      <c r="G871">
        <v>1401802614</v>
      </c>
      <c r="H871">
        <v>7138440</v>
      </c>
      <c r="I871">
        <v>2060063173</v>
      </c>
      <c r="J871">
        <v>106</v>
      </c>
      <c r="K871">
        <v>69</v>
      </c>
      <c r="L871">
        <v>0</v>
      </c>
      <c r="M871" t="s">
        <v>6371</v>
      </c>
    </row>
    <row r="872" spans="1:13">
      <c r="A872" t="s">
        <v>2247</v>
      </c>
      <c r="B872" t="s">
        <v>2248</v>
      </c>
      <c r="C872">
        <v>43101</v>
      </c>
      <c r="D872">
        <v>1034272727</v>
      </c>
      <c r="E872">
        <v>201381</v>
      </c>
      <c r="F872">
        <v>77</v>
      </c>
      <c r="G872">
        <v>235190444</v>
      </c>
      <c r="H872">
        <v>4584548</v>
      </c>
      <c r="I872">
        <v>2226783393</v>
      </c>
      <c r="J872">
        <v>37</v>
      </c>
      <c r="K872">
        <v>51</v>
      </c>
      <c r="L872">
        <v>0</v>
      </c>
      <c r="M872" t="s">
        <v>6371</v>
      </c>
    </row>
    <row r="873" spans="1:13">
      <c r="A873" t="s">
        <v>2249</v>
      </c>
      <c r="B873" t="s">
        <v>2250</v>
      </c>
      <c r="C873">
        <v>42927</v>
      </c>
      <c r="D873">
        <v>1156601592</v>
      </c>
      <c r="E873">
        <v>78398</v>
      </c>
      <c r="F873">
        <v>67</v>
      </c>
      <c r="G873">
        <v>782935937</v>
      </c>
      <c r="H873">
        <v>6789404</v>
      </c>
      <c r="I873">
        <v>278587450</v>
      </c>
      <c r="J873">
        <v>60</v>
      </c>
      <c r="K873">
        <v>306</v>
      </c>
      <c r="L873">
        <v>1</v>
      </c>
      <c r="M873" t="s">
        <v>6371</v>
      </c>
    </row>
    <row r="874" spans="1:13">
      <c r="A874" t="s">
        <v>2252</v>
      </c>
      <c r="B874" t="s">
        <v>2253</v>
      </c>
      <c r="C874">
        <v>44587</v>
      </c>
      <c r="D874">
        <v>389547230</v>
      </c>
      <c r="E874">
        <v>65208</v>
      </c>
      <c r="F874">
        <v>70</v>
      </c>
      <c r="G874">
        <v>50898391</v>
      </c>
      <c r="H874">
        <v>293996</v>
      </c>
      <c r="I874">
        <v>124607839</v>
      </c>
      <c r="J874">
        <v>114</v>
      </c>
      <c r="K874">
        <v>255</v>
      </c>
      <c r="L874">
        <v>0</v>
      </c>
      <c r="M874" t="s">
        <v>6370</v>
      </c>
    </row>
    <row r="875" spans="1:13">
      <c r="A875" t="s">
        <v>2254</v>
      </c>
      <c r="B875" t="s">
        <v>305</v>
      </c>
      <c r="C875">
        <v>40456</v>
      </c>
      <c r="D875">
        <v>950810060</v>
      </c>
      <c r="E875">
        <v>151801</v>
      </c>
      <c r="F875">
        <v>72</v>
      </c>
      <c r="G875">
        <v>2903165526</v>
      </c>
      <c r="H875">
        <v>16099406</v>
      </c>
      <c r="I875">
        <v>852185637</v>
      </c>
      <c r="J875">
        <v>66</v>
      </c>
      <c r="K875">
        <v>51</v>
      </c>
      <c r="L875">
        <v>0</v>
      </c>
      <c r="M875" t="s">
        <v>6371</v>
      </c>
    </row>
    <row r="876" spans="1:13">
      <c r="A876" t="s">
        <v>2255</v>
      </c>
      <c r="B876" t="s">
        <v>471</v>
      </c>
      <c r="C876">
        <v>43749</v>
      </c>
      <c r="D876">
        <v>413974601</v>
      </c>
      <c r="E876">
        <v>110016</v>
      </c>
      <c r="F876">
        <v>69</v>
      </c>
      <c r="G876">
        <v>157947172</v>
      </c>
      <c r="H876">
        <v>1678467</v>
      </c>
      <c r="I876">
        <v>438050984</v>
      </c>
      <c r="J876">
        <v>9</v>
      </c>
      <c r="K876">
        <v>2</v>
      </c>
      <c r="L876">
        <v>1</v>
      </c>
      <c r="M876" t="s">
        <v>6371</v>
      </c>
    </row>
    <row r="877" spans="1:13">
      <c r="A877" t="s">
        <v>2256</v>
      </c>
      <c r="B877" t="s">
        <v>141</v>
      </c>
      <c r="C877">
        <v>44687</v>
      </c>
      <c r="D877">
        <v>542751537</v>
      </c>
      <c r="E877">
        <v>67763</v>
      </c>
      <c r="F877">
        <v>71</v>
      </c>
      <c r="G877">
        <v>195610806</v>
      </c>
      <c r="H877">
        <v>1623280</v>
      </c>
      <c r="I877">
        <v>803525888</v>
      </c>
      <c r="J877">
        <v>28</v>
      </c>
      <c r="K877">
        <v>129</v>
      </c>
      <c r="L877">
        <v>0</v>
      </c>
      <c r="M877" t="s">
        <v>6370</v>
      </c>
    </row>
    <row r="878" spans="1:13">
      <c r="A878" t="s">
        <v>2257</v>
      </c>
      <c r="B878" t="s">
        <v>2258</v>
      </c>
      <c r="C878">
        <v>44879</v>
      </c>
      <c r="D878">
        <v>108133711</v>
      </c>
      <c r="E878">
        <v>34390</v>
      </c>
      <c r="F878">
        <v>18</v>
      </c>
      <c r="G878">
        <v>122293855</v>
      </c>
      <c r="H878">
        <v>619448</v>
      </c>
      <c r="I878">
        <v>173486714</v>
      </c>
      <c r="J878">
        <v>35</v>
      </c>
      <c r="K878">
        <v>22</v>
      </c>
      <c r="L878">
        <v>1</v>
      </c>
      <c r="M878" t="s">
        <v>6370</v>
      </c>
    </row>
    <row r="879" spans="1:13">
      <c r="A879" t="s">
        <v>2259</v>
      </c>
      <c r="B879" t="s">
        <v>295</v>
      </c>
      <c r="C879">
        <v>44729</v>
      </c>
      <c r="D879">
        <v>253177498</v>
      </c>
      <c r="E879">
        <v>83779</v>
      </c>
      <c r="F879">
        <v>66</v>
      </c>
      <c r="G879">
        <v>79370407</v>
      </c>
      <c r="H879">
        <v>913062</v>
      </c>
      <c r="I879">
        <v>612598555</v>
      </c>
      <c r="J879">
        <v>40</v>
      </c>
      <c r="K879">
        <v>826</v>
      </c>
      <c r="L879">
        <v>1</v>
      </c>
      <c r="M879" t="s">
        <v>6370</v>
      </c>
    </row>
    <row r="880" spans="1:13">
      <c r="A880" t="s">
        <v>2264</v>
      </c>
      <c r="B880" t="s">
        <v>2265</v>
      </c>
      <c r="C880">
        <v>41891</v>
      </c>
      <c r="D880">
        <v>1184571362</v>
      </c>
      <c r="E880">
        <v>180715</v>
      </c>
      <c r="F880">
        <v>75</v>
      </c>
      <c r="G880">
        <v>829829470</v>
      </c>
      <c r="H880">
        <v>7984888</v>
      </c>
      <c r="I880">
        <v>254037168</v>
      </c>
      <c r="J880">
        <v>71</v>
      </c>
      <c r="K880">
        <v>205</v>
      </c>
      <c r="L880">
        <v>0</v>
      </c>
      <c r="M880" t="s">
        <v>6371</v>
      </c>
    </row>
    <row r="881" spans="1:13">
      <c r="A881" t="s">
        <v>2266</v>
      </c>
      <c r="B881" t="s">
        <v>2267</v>
      </c>
      <c r="C881">
        <v>40544</v>
      </c>
      <c r="D881">
        <v>1265397717</v>
      </c>
      <c r="E881">
        <v>175809</v>
      </c>
      <c r="F881">
        <v>80</v>
      </c>
      <c r="G881">
        <v>1864674236</v>
      </c>
      <c r="H881">
        <v>16322948</v>
      </c>
      <c r="I881">
        <v>437246025</v>
      </c>
      <c r="J881">
        <v>132</v>
      </c>
      <c r="K881">
        <v>244</v>
      </c>
      <c r="L881">
        <v>0</v>
      </c>
      <c r="M881" t="s">
        <v>6371</v>
      </c>
    </row>
    <row r="882" spans="1:13">
      <c r="A882" t="s">
        <v>2268</v>
      </c>
      <c r="B882" t="s">
        <v>860</v>
      </c>
      <c r="C882">
        <v>44631</v>
      </c>
      <c r="D882">
        <v>359563711</v>
      </c>
      <c r="E882">
        <v>50913</v>
      </c>
      <c r="F882">
        <v>64</v>
      </c>
      <c r="G882">
        <v>129735943</v>
      </c>
      <c r="H882">
        <v>1701169</v>
      </c>
      <c r="I882">
        <v>35564746</v>
      </c>
      <c r="J882">
        <v>51</v>
      </c>
      <c r="K882">
        <v>1460</v>
      </c>
      <c r="L882">
        <v>1</v>
      </c>
      <c r="M882" t="s">
        <v>6370</v>
      </c>
    </row>
    <row r="883" spans="1:13">
      <c r="A883" t="s">
        <v>2269</v>
      </c>
      <c r="B883" t="s">
        <v>2270</v>
      </c>
      <c r="C883">
        <v>42608</v>
      </c>
      <c r="D883">
        <v>738438810</v>
      </c>
      <c r="E883">
        <v>65613</v>
      </c>
      <c r="F883">
        <v>67</v>
      </c>
      <c r="G883">
        <v>1897769481</v>
      </c>
      <c r="H883">
        <v>7650997</v>
      </c>
      <c r="I883">
        <v>149891612</v>
      </c>
      <c r="J883">
        <v>64</v>
      </c>
      <c r="K883">
        <v>78</v>
      </c>
      <c r="L883">
        <v>0</v>
      </c>
      <c r="M883" t="s">
        <v>6371</v>
      </c>
    </row>
    <row r="884" spans="1:13">
      <c r="A884" t="s">
        <v>2275</v>
      </c>
      <c r="B884" t="s">
        <v>332</v>
      </c>
      <c r="C884">
        <v>45037</v>
      </c>
      <c r="D884">
        <v>237741410</v>
      </c>
      <c r="E884">
        <v>39503</v>
      </c>
      <c r="F884">
        <v>61</v>
      </c>
      <c r="G884">
        <v>86652111</v>
      </c>
      <c r="H884">
        <v>676137</v>
      </c>
      <c r="I884">
        <v>411538350</v>
      </c>
      <c r="J884">
        <v>37</v>
      </c>
      <c r="K884">
        <v>130</v>
      </c>
      <c r="L884">
        <v>0</v>
      </c>
      <c r="M884" t="s">
        <v>6370</v>
      </c>
    </row>
    <row r="885" spans="1:13">
      <c r="A885" t="s">
        <v>2276</v>
      </c>
      <c r="B885" t="s">
        <v>343</v>
      </c>
      <c r="C885">
        <v>45086</v>
      </c>
      <c r="D885">
        <v>96289114</v>
      </c>
      <c r="E885">
        <v>24566</v>
      </c>
      <c r="F885">
        <v>67</v>
      </c>
      <c r="G885">
        <v>33861736</v>
      </c>
      <c r="H885">
        <v>296191</v>
      </c>
      <c r="I885">
        <v>1094402576</v>
      </c>
      <c r="J885">
        <v>21</v>
      </c>
      <c r="K885">
        <v>884</v>
      </c>
      <c r="L885">
        <v>1</v>
      </c>
      <c r="M885" t="s">
        <v>6370</v>
      </c>
    </row>
    <row r="886" spans="1:13">
      <c r="A886" t="s">
        <v>2279</v>
      </c>
      <c r="B886" t="s">
        <v>221</v>
      </c>
      <c r="C886">
        <v>43224</v>
      </c>
      <c r="D886">
        <v>828103564</v>
      </c>
      <c r="E886">
        <v>83834</v>
      </c>
      <c r="F886">
        <v>77</v>
      </c>
      <c r="G886">
        <v>594679967</v>
      </c>
      <c r="H886">
        <v>2844786</v>
      </c>
      <c r="I886">
        <v>122040522</v>
      </c>
      <c r="J886">
        <v>54</v>
      </c>
      <c r="K886">
        <v>33</v>
      </c>
      <c r="L886">
        <v>0</v>
      </c>
      <c r="M886" t="s">
        <v>6371</v>
      </c>
    </row>
    <row r="887" spans="1:13">
      <c r="A887" t="s">
        <v>2281</v>
      </c>
      <c r="B887" t="s">
        <v>61</v>
      </c>
      <c r="C887">
        <v>43693</v>
      </c>
      <c r="D887">
        <v>1413268808</v>
      </c>
      <c r="E887">
        <v>104435</v>
      </c>
      <c r="F887">
        <v>81</v>
      </c>
      <c r="G887">
        <v>492503095</v>
      </c>
      <c r="H887">
        <v>6305357</v>
      </c>
      <c r="I887">
        <v>921980357</v>
      </c>
      <c r="J887">
        <v>201</v>
      </c>
      <c r="K887">
        <v>33</v>
      </c>
      <c r="L887">
        <v>0</v>
      </c>
      <c r="M887" t="s">
        <v>6371</v>
      </c>
    </row>
    <row r="888" spans="1:13">
      <c r="A888" t="s">
        <v>2282</v>
      </c>
      <c r="B888" t="s">
        <v>2283</v>
      </c>
      <c r="C888">
        <v>45385</v>
      </c>
      <c r="D888">
        <v>50824333</v>
      </c>
      <c r="E888">
        <v>2846</v>
      </c>
      <c r="F888">
        <v>75</v>
      </c>
      <c r="G888">
        <v>42516402</v>
      </c>
      <c r="H888">
        <v>906687</v>
      </c>
      <c r="I888">
        <v>10253705</v>
      </c>
      <c r="J888">
        <v>14</v>
      </c>
      <c r="K888">
        <v>70</v>
      </c>
      <c r="L888">
        <v>0</v>
      </c>
      <c r="M888" t="s">
        <v>6370</v>
      </c>
    </row>
    <row r="889" spans="1:13">
      <c r="A889" t="s">
        <v>2284</v>
      </c>
      <c r="B889" t="s">
        <v>233</v>
      </c>
      <c r="C889">
        <v>44267</v>
      </c>
      <c r="D889">
        <v>412887321</v>
      </c>
      <c r="E889">
        <v>69959</v>
      </c>
      <c r="F889">
        <v>65</v>
      </c>
      <c r="G889">
        <v>186582105</v>
      </c>
      <c r="H889">
        <v>2209078</v>
      </c>
      <c r="I889">
        <v>155388095</v>
      </c>
      <c r="J889">
        <v>101</v>
      </c>
      <c r="K889">
        <v>441</v>
      </c>
      <c r="L889">
        <v>0</v>
      </c>
      <c r="M889" t="s">
        <v>6370</v>
      </c>
    </row>
    <row r="890" spans="1:13">
      <c r="A890" t="s">
        <v>2288</v>
      </c>
      <c r="B890" t="s">
        <v>2289</v>
      </c>
      <c r="C890">
        <v>42767</v>
      </c>
      <c r="D890">
        <v>874864898</v>
      </c>
      <c r="E890">
        <v>78015</v>
      </c>
      <c r="F890">
        <v>66</v>
      </c>
      <c r="G890">
        <v>340287969</v>
      </c>
      <c r="H890">
        <v>1528388</v>
      </c>
      <c r="I890">
        <v>12493072</v>
      </c>
      <c r="J890">
        <v>103</v>
      </c>
      <c r="K890">
        <v>444</v>
      </c>
      <c r="L890">
        <v>0</v>
      </c>
      <c r="M890" t="s">
        <v>6371</v>
      </c>
    </row>
    <row r="891" spans="1:13">
      <c r="A891" t="s">
        <v>2290</v>
      </c>
      <c r="B891" t="s">
        <v>2291</v>
      </c>
      <c r="C891">
        <v>42972</v>
      </c>
      <c r="D891">
        <v>1362614026</v>
      </c>
      <c r="E891">
        <v>183645</v>
      </c>
      <c r="F891">
        <v>79</v>
      </c>
      <c r="G891">
        <v>198079219</v>
      </c>
      <c r="H891">
        <v>2252308</v>
      </c>
      <c r="I891">
        <v>854742783</v>
      </c>
      <c r="J891">
        <v>198</v>
      </c>
      <c r="K891">
        <v>112</v>
      </c>
      <c r="L891">
        <v>0</v>
      </c>
      <c r="M891" t="s">
        <v>6371</v>
      </c>
    </row>
    <row r="892" spans="1:13">
      <c r="A892" t="s">
        <v>2296</v>
      </c>
      <c r="B892" t="s">
        <v>184</v>
      </c>
      <c r="C892">
        <v>40544</v>
      </c>
      <c r="D892">
        <v>1595514674</v>
      </c>
      <c r="E892">
        <v>186319</v>
      </c>
      <c r="F892">
        <v>77</v>
      </c>
      <c r="G892">
        <v>959699985</v>
      </c>
      <c r="H892">
        <v>5310150</v>
      </c>
      <c r="I892">
        <v>3469644756</v>
      </c>
      <c r="J892">
        <v>110</v>
      </c>
      <c r="K892">
        <v>190</v>
      </c>
      <c r="L892">
        <v>0</v>
      </c>
      <c r="M892" t="s">
        <v>6371</v>
      </c>
    </row>
    <row r="893" spans="1:13">
      <c r="A893" t="s">
        <v>1750</v>
      </c>
      <c r="B893" t="s">
        <v>871</v>
      </c>
      <c r="C893">
        <v>41640</v>
      </c>
      <c r="D893">
        <v>815946405</v>
      </c>
      <c r="E893">
        <v>94852</v>
      </c>
      <c r="F893">
        <v>67</v>
      </c>
      <c r="G893">
        <v>2318717784</v>
      </c>
      <c r="H893">
        <v>12459776</v>
      </c>
      <c r="I893">
        <v>1277991912</v>
      </c>
      <c r="J893">
        <v>163</v>
      </c>
      <c r="K893">
        <v>223</v>
      </c>
      <c r="L893">
        <v>0</v>
      </c>
      <c r="M893" t="s">
        <v>6371</v>
      </c>
    </row>
    <row r="894" spans="1:13">
      <c r="A894" t="s">
        <v>2299</v>
      </c>
      <c r="B894" t="s">
        <v>322</v>
      </c>
      <c r="C894">
        <v>44757</v>
      </c>
      <c r="D894">
        <v>335194737</v>
      </c>
      <c r="E894">
        <v>36991</v>
      </c>
      <c r="F894">
        <v>62</v>
      </c>
      <c r="G894">
        <v>63109208</v>
      </c>
      <c r="H894">
        <v>453293</v>
      </c>
      <c r="I894">
        <v>1189348894</v>
      </c>
      <c r="J894">
        <v>32</v>
      </c>
      <c r="K894">
        <v>786</v>
      </c>
      <c r="L894">
        <v>1</v>
      </c>
      <c r="M894" t="s">
        <v>6370</v>
      </c>
    </row>
    <row r="895" spans="1:13">
      <c r="A895" t="s">
        <v>2300</v>
      </c>
      <c r="B895" t="s">
        <v>2301</v>
      </c>
      <c r="C895">
        <v>40867</v>
      </c>
      <c r="D895">
        <v>1690450389</v>
      </c>
      <c r="E895">
        <v>225204</v>
      </c>
      <c r="F895">
        <v>81</v>
      </c>
      <c r="G895">
        <v>679433670</v>
      </c>
      <c r="H895">
        <v>4181978</v>
      </c>
      <c r="I895">
        <v>201004524</v>
      </c>
      <c r="J895">
        <v>270</v>
      </c>
      <c r="K895">
        <v>806</v>
      </c>
      <c r="L895">
        <v>0</v>
      </c>
      <c r="M895" t="s">
        <v>6371</v>
      </c>
    </row>
    <row r="896" spans="1:13">
      <c r="A896" t="s">
        <v>2302</v>
      </c>
      <c r="B896" t="s">
        <v>2303</v>
      </c>
      <c r="C896">
        <v>44068</v>
      </c>
      <c r="D896">
        <v>364210672</v>
      </c>
      <c r="E896">
        <v>81556</v>
      </c>
      <c r="F896">
        <v>63</v>
      </c>
      <c r="G896">
        <v>55994716</v>
      </c>
      <c r="H896">
        <v>1363987</v>
      </c>
      <c r="I896">
        <v>18762950045</v>
      </c>
      <c r="J896">
        <v>32</v>
      </c>
      <c r="K896">
        <v>418</v>
      </c>
      <c r="L896">
        <v>1</v>
      </c>
      <c r="M896" t="s">
        <v>6371</v>
      </c>
    </row>
    <row r="897" spans="1:13">
      <c r="A897" t="s">
        <v>2304</v>
      </c>
      <c r="B897" t="s">
        <v>2305</v>
      </c>
      <c r="C897">
        <v>40179</v>
      </c>
      <c r="D897">
        <v>814264073</v>
      </c>
      <c r="E897">
        <v>145349</v>
      </c>
      <c r="F897">
        <v>68</v>
      </c>
      <c r="G897">
        <v>878157246</v>
      </c>
      <c r="H897">
        <v>6677962</v>
      </c>
      <c r="I897">
        <v>3643615871</v>
      </c>
      <c r="J897">
        <v>64</v>
      </c>
      <c r="K897">
        <v>145</v>
      </c>
      <c r="L897">
        <v>0</v>
      </c>
      <c r="M897" t="s">
        <v>6371</v>
      </c>
    </row>
    <row r="898" spans="1:13">
      <c r="A898" t="s">
        <v>2306</v>
      </c>
      <c r="B898" t="s">
        <v>2307</v>
      </c>
      <c r="C898">
        <v>44805</v>
      </c>
      <c r="D898">
        <v>99640817</v>
      </c>
      <c r="E898">
        <v>9262</v>
      </c>
      <c r="F898">
        <v>65</v>
      </c>
      <c r="G898">
        <v>242164034</v>
      </c>
      <c r="H898">
        <v>1185939</v>
      </c>
      <c r="I898">
        <v>381807302</v>
      </c>
      <c r="J898">
        <v>8</v>
      </c>
      <c r="K898">
        <v>2</v>
      </c>
      <c r="L898">
        <v>0</v>
      </c>
      <c r="M898" t="s">
        <v>6370</v>
      </c>
    </row>
    <row r="899" spans="1:13">
      <c r="A899" t="s">
        <v>2308</v>
      </c>
      <c r="B899" t="s">
        <v>583</v>
      </c>
      <c r="C899">
        <v>45125</v>
      </c>
      <c r="D899">
        <v>276026602</v>
      </c>
      <c r="E899">
        <v>37445</v>
      </c>
      <c r="F899">
        <v>79</v>
      </c>
      <c r="G899">
        <v>2065849</v>
      </c>
      <c r="H899">
        <v>27184</v>
      </c>
      <c r="I899">
        <v>62794</v>
      </c>
      <c r="J899">
        <v>20</v>
      </c>
      <c r="K899">
        <v>69</v>
      </c>
      <c r="L899">
        <v>1</v>
      </c>
      <c r="M899" t="s">
        <v>6370</v>
      </c>
    </row>
    <row r="900" spans="1:13">
      <c r="A900" t="s">
        <v>2309</v>
      </c>
      <c r="B900" t="s">
        <v>1705</v>
      </c>
      <c r="C900">
        <v>45238</v>
      </c>
      <c r="D900">
        <v>81319633</v>
      </c>
      <c r="E900">
        <v>7972</v>
      </c>
      <c r="F900">
        <v>6</v>
      </c>
      <c r="G900">
        <v>112905667</v>
      </c>
      <c r="H900">
        <v>433853</v>
      </c>
      <c r="I900">
        <v>177288152</v>
      </c>
      <c r="J900">
        <v>10</v>
      </c>
      <c r="K900">
        <v>5</v>
      </c>
      <c r="L900">
        <v>1</v>
      </c>
      <c r="M900" t="s">
        <v>6370</v>
      </c>
    </row>
    <row r="901" spans="1:13">
      <c r="A901" t="s">
        <v>2310</v>
      </c>
      <c r="B901" t="s">
        <v>288</v>
      </c>
      <c r="C901">
        <v>43532</v>
      </c>
      <c r="D901">
        <v>925747848</v>
      </c>
      <c r="E901">
        <v>178435</v>
      </c>
      <c r="F901">
        <v>67</v>
      </c>
      <c r="G901">
        <v>533593108</v>
      </c>
      <c r="H901">
        <v>4430967</v>
      </c>
      <c r="I901">
        <v>28961155</v>
      </c>
      <c r="J901">
        <v>61</v>
      </c>
      <c r="K901">
        <v>88</v>
      </c>
      <c r="L901">
        <v>1</v>
      </c>
      <c r="M901" t="s">
        <v>6371</v>
      </c>
    </row>
    <row r="902" spans="1:13">
      <c r="A902" t="s">
        <v>2311</v>
      </c>
      <c r="B902" t="s">
        <v>340</v>
      </c>
      <c r="C902">
        <v>44442</v>
      </c>
      <c r="D902">
        <v>477620800</v>
      </c>
      <c r="E902">
        <v>108333</v>
      </c>
      <c r="F902">
        <v>72</v>
      </c>
      <c r="G902">
        <v>149501582</v>
      </c>
      <c r="H902">
        <v>5261064</v>
      </c>
      <c r="I902">
        <v>2841508008</v>
      </c>
      <c r="J902">
        <v>21</v>
      </c>
      <c r="K902">
        <v>805</v>
      </c>
      <c r="L902">
        <v>0</v>
      </c>
      <c r="M902" t="s">
        <v>6370</v>
      </c>
    </row>
    <row r="903" spans="1:13">
      <c r="A903" t="s">
        <v>2312</v>
      </c>
      <c r="B903" t="s">
        <v>123</v>
      </c>
      <c r="C903">
        <v>42797</v>
      </c>
      <c r="D903">
        <v>1311631709</v>
      </c>
      <c r="E903">
        <v>121737</v>
      </c>
      <c r="F903">
        <v>72</v>
      </c>
      <c r="G903">
        <v>869890899</v>
      </c>
      <c r="H903">
        <v>5960113</v>
      </c>
      <c r="I903">
        <v>353002887</v>
      </c>
      <c r="J903">
        <v>64</v>
      </c>
      <c r="K903">
        <v>72</v>
      </c>
      <c r="L903">
        <v>0</v>
      </c>
      <c r="M903" t="s">
        <v>6371</v>
      </c>
    </row>
    <row r="904" spans="1:13">
      <c r="A904" t="s">
        <v>2313</v>
      </c>
      <c r="B904" t="s">
        <v>479</v>
      </c>
      <c r="C904">
        <v>40179</v>
      </c>
      <c r="D904">
        <v>1065375074</v>
      </c>
      <c r="E904">
        <v>164650</v>
      </c>
      <c r="F904">
        <v>67</v>
      </c>
      <c r="G904">
        <v>1634743568</v>
      </c>
      <c r="H904">
        <v>9202767</v>
      </c>
      <c r="I904">
        <v>686049802</v>
      </c>
      <c r="J904">
        <v>218</v>
      </c>
      <c r="K904">
        <v>273</v>
      </c>
      <c r="L904">
        <v>0</v>
      </c>
      <c r="M904" t="s">
        <v>6371</v>
      </c>
    </row>
    <row r="905" spans="1:13">
      <c r="A905" t="s">
        <v>2314</v>
      </c>
      <c r="B905" t="s">
        <v>1639</v>
      </c>
      <c r="C905">
        <v>44799</v>
      </c>
      <c r="D905">
        <v>127223430</v>
      </c>
      <c r="E905">
        <v>24922</v>
      </c>
      <c r="F905">
        <v>63</v>
      </c>
      <c r="G905">
        <v>91145868</v>
      </c>
      <c r="H905">
        <v>519636</v>
      </c>
      <c r="I905">
        <v>39170264</v>
      </c>
      <c r="J905">
        <v>26</v>
      </c>
      <c r="K905">
        <v>9</v>
      </c>
      <c r="L905">
        <v>0</v>
      </c>
      <c r="M905" t="s">
        <v>6370</v>
      </c>
    </row>
    <row r="906" spans="1:13">
      <c r="A906" t="s">
        <v>2315</v>
      </c>
      <c r="B906" t="s">
        <v>506</v>
      </c>
      <c r="C906">
        <v>44750</v>
      </c>
      <c r="D906">
        <v>331775657</v>
      </c>
      <c r="E906">
        <v>17727</v>
      </c>
      <c r="F906">
        <v>51</v>
      </c>
      <c r="G906">
        <v>385663277</v>
      </c>
      <c r="H906">
        <v>785773</v>
      </c>
      <c r="I906">
        <v>45584468</v>
      </c>
      <c r="J906">
        <v>12</v>
      </c>
      <c r="K906">
        <v>115</v>
      </c>
      <c r="L906">
        <v>0</v>
      </c>
      <c r="M906" t="s">
        <v>6370</v>
      </c>
    </row>
    <row r="907" spans="1:13">
      <c r="A907" t="s">
        <v>2318</v>
      </c>
      <c r="B907" t="s">
        <v>1109</v>
      </c>
      <c r="C907">
        <v>42314</v>
      </c>
      <c r="D907">
        <v>1020239582</v>
      </c>
      <c r="E907">
        <v>148456</v>
      </c>
      <c r="F907">
        <v>76</v>
      </c>
      <c r="G907">
        <v>1713268429</v>
      </c>
      <c r="H907">
        <v>7658837</v>
      </c>
      <c r="I907">
        <v>509184619</v>
      </c>
      <c r="J907">
        <v>3</v>
      </c>
      <c r="K907">
        <v>162</v>
      </c>
      <c r="L907">
        <v>0</v>
      </c>
      <c r="M907" t="s">
        <v>6371</v>
      </c>
    </row>
    <row r="908" spans="1:13">
      <c r="A908" t="s">
        <v>2319</v>
      </c>
      <c r="B908" t="s">
        <v>295</v>
      </c>
      <c r="C908">
        <v>43196</v>
      </c>
      <c r="D908">
        <v>1276685592</v>
      </c>
      <c r="E908">
        <v>192868</v>
      </c>
      <c r="F908">
        <v>72</v>
      </c>
      <c r="G908">
        <v>516887687</v>
      </c>
      <c r="H908">
        <v>3647970</v>
      </c>
      <c r="I908">
        <v>107294147</v>
      </c>
      <c r="J908">
        <v>187</v>
      </c>
      <c r="K908">
        <v>335</v>
      </c>
      <c r="L908">
        <v>1</v>
      </c>
      <c r="M908" t="s">
        <v>6371</v>
      </c>
    </row>
    <row r="909" spans="1:13">
      <c r="A909" t="s">
        <v>2325</v>
      </c>
      <c r="B909" t="s">
        <v>777</v>
      </c>
      <c r="C909">
        <v>44736</v>
      </c>
      <c r="D909">
        <v>947763871</v>
      </c>
      <c r="E909">
        <v>59942</v>
      </c>
      <c r="F909">
        <v>72</v>
      </c>
      <c r="G909">
        <v>65306295</v>
      </c>
      <c r="H909">
        <v>1305561</v>
      </c>
      <c r="I909">
        <v>20119789</v>
      </c>
      <c r="J909">
        <v>24</v>
      </c>
      <c r="K909">
        <v>1282</v>
      </c>
      <c r="L909">
        <v>0</v>
      </c>
      <c r="M909" t="s">
        <v>6370</v>
      </c>
    </row>
    <row r="910" spans="1:13">
      <c r="A910" t="s">
        <v>2326</v>
      </c>
      <c r="B910" t="s">
        <v>43</v>
      </c>
      <c r="C910">
        <v>44449</v>
      </c>
      <c r="D910">
        <v>336889834</v>
      </c>
      <c r="E910">
        <v>130841</v>
      </c>
      <c r="F910">
        <v>64</v>
      </c>
      <c r="G910">
        <v>173074934</v>
      </c>
      <c r="H910">
        <v>2233120</v>
      </c>
      <c r="I910">
        <v>1082794692</v>
      </c>
      <c r="J910">
        <v>35</v>
      </c>
      <c r="K910">
        <v>160</v>
      </c>
      <c r="L910">
        <v>1</v>
      </c>
      <c r="M910" t="s">
        <v>6370</v>
      </c>
    </row>
    <row r="911" spans="1:13">
      <c r="A911" t="s">
        <v>2327</v>
      </c>
      <c r="B911" t="s">
        <v>2328</v>
      </c>
      <c r="C911">
        <v>43873</v>
      </c>
      <c r="D911">
        <v>426425213</v>
      </c>
      <c r="E911">
        <v>79159</v>
      </c>
      <c r="F911">
        <v>56</v>
      </c>
      <c r="G911">
        <v>140168452</v>
      </c>
      <c r="H911">
        <v>1822530</v>
      </c>
      <c r="I911">
        <v>344434215</v>
      </c>
      <c r="J911">
        <v>58</v>
      </c>
      <c r="K911">
        <v>455</v>
      </c>
      <c r="L911">
        <v>0</v>
      </c>
      <c r="M911" t="s">
        <v>6371</v>
      </c>
    </row>
    <row r="912" spans="1:13">
      <c r="A912" t="s">
        <v>48</v>
      </c>
      <c r="B912" t="s">
        <v>49</v>
      </c>
      <c r="C912">
        <v>45184</v>
      </c>
      <c r="D912">
        <v>111155129</v>
      </c>
      <c r="E912">
        <v>8444</v>
      </c>
      <c r="F912">
        <v>80</v>
      </c>
      <c r="G912">
        <v>37550792</v>
      </c>
      <c r="H912">
        <v>381020</v>
      </c>
      <c r="I912">
        <v>5248242</v>
      </c>
      <c r="J912">
        <v>61</v>
      </c>
      <c r="K912">
        <v>35</v>
      </c>
      <c r="L912">
        <v>0</v>
      </c>
      <c r="M912" t="s">
        <v>6370</v>
      </c>
    </row>
    <row r="913" spans="1:13">
      <c r="A913" t="s">
        <v>2330</v>
      </c>
      <c r="B913" t="s">
        <v>2331</v>
      </c>
      <c r="C913">
        <v>44917</v>
      </c>
      <c r="D913">
        <v>427842597</v>
      </c>
      <c r="E913">
        <v>59365</v>
      </c>
      <c r="F913">
        <v>66</v>
      </c>
      <c r="G913">
        <v>103306657</v>
      </c>
      <c r="H913">
        <v>870677</v>
      </c>
      <c r="I913">
        <v>92071601</v>
      </c>
      <c r="J913">
        <v>27</v>
      </c>
      <c r="K913">
        <v>11</v>
      </c>
      <c r="L913">
        <v>1</v>
      </c>
      <c r="M913" t="s">
        <v>6370</v>
      </c>
    </row>
    <row r="914" spans="1:13">
      <c r="A914" t="s">
        <v>2332</v>
      </c>
      <c r="B914" t="s">
        <v>619</v>
      </c>
      <c r="C914">
        <v>44077</v>
      </c>
      <c r="D914">
        <v>420652971</v>
      </c>
      <c r="E914">
        <v>51117</v>
      </c>
      <c r="F914">
        <v>63</v>
      </c>
      <c r="G914">
        <v>680176045</v>
      </c>
      <c r="H914">
        <v>2865108</v>
      </c>
      <c r="I914">
        <v>490896378</v>
      </c>
      <c r="J914">
        <v>67</v>
      </c>
      <c r="K914">
        <v>8</v>
      </c>
      <c r="L914">
        <v>0</v>
      </c>
      <c r="M914" t="s">
        <v>6371</v>
      </c>
    </row>
    <row r="915" spans="1:13">
      <c r="A915" t="s">
        <v>2333</v>
      </c>
      <c r="B915" t="s">
        <v>182</v>
      </c>
      <c r="C915">
        <v>44106</v>
      </c>
      <c r="D915">
        <v>653352641</v>
      </c>
      <c r="E915">
        <v>181583</v>
      </c>
      <c r="F915">
        <v>77</v>
      </c>
      <c r="G915">
        <v>155865473</v>
      </c>
      <c r="H915">
        <v>1851789</v>
      </c>
      <c r="I915">
        <v>81321613</v>
      </c>
      <c r="J915">
        <v>47</v>
      </c>
      <c r="K915">
        <v>1</v>
      </c>
      <c r="L915">
        <v>1</v>
      </c>
      <c r="M915" t="s">
        <v>6371</v>
      </c>
    </row>
    <row r="916" spans="1:13">
      <c r="A916" t="s">
        <v>2335</v>
      </c>
      <c r="B916" t="s">
        <v>318</v>
      </c>
      <c r="C916">
        <v>45162</v>
      </c>
      <c r="D916">
        <v>221575551</v>
      </c>
      <c r="E916">
        <v>30798</v>
      </c>
      <c r="F916">
        <v>78</v>
      </c>
      <c r="G916">
        <v>18831939</v>
      </c>
      <c r="H916">
        <v>103053</v>
      </c>
      <c r="I916">
        <v>55929921</v>
      </c>
      <c r="J916">
        <v>27</v>
      </c>
      <c r="K916">
        <v>1</v>
      </c>
      <c r="L916">
        <v>0</v>
      </c>
      <c r="M916" t="s">
        <v>6370</v>
      </c>
    </row>
    <row r="917" spans="1:13">
      <c r="A917" t="s">
        <v>2339</v>
      </c>
      <c r="B917" t="s">
        <v>1953</v>
      </c>
      <c r="C917">
        <v>44099</v>
      </c>
      <c r="D917">
        <v>155772691</v>
      </c>
      <c r="E917">
        <v>49453</v>
      </c>
      <c r="F917">
        <v>67</v>
      </c>
      <c r="G917">
        <v>148979688</v>
      </c>
      <c r="H917">
        <v>1059852</v>
      </c>
      <c r="I917">
        <v>793660172</v>
      </c>
      <c r="J917">
        <v>90</v>
      </c>
      <c r="K917">
        <v>145</v>
      </c>
      <c r="L917">
        <v>0</v>
      </c>
      <c r="M917" t="s">
        <v>6371</v>
      </c>
    </row>
    <row r="918" spans="1:13">
      <c r="A918" t="s">
        <v>1121</v>
      </c>
      <c r="B918" t="s">
        <v>112</v>
      </c>
      <c r="C918">
        <v>42005</v>
      </c>
      <c r="D918">
        <v>2098443322</v>
      </c>
      <c r="E918">
        <v>158842</v>
      </c>
      <c r="F918">
        <v>75</v>
      </c>
      <c r="G918">
        <v>465005054</v>
      </c>
      <c r="H918">
        <v>3549062</v>
      </c>
      <c r="I918">
        <v>1171223563</v>
      </c>
      <c r="J918">
        <v>387</v>
      </c>
      <c r="K918">
        <v>369</v>
      </c>
      <c r="L918">
        <v>0</v>
      </c>
      <c r="M918" t="s">
        <v>6371</v>
      </c>
    </row>
    <row r="919" spans="1:13">
      <c r="A919" t="s">
        <v>2340</v>
      </c>
      <c r="B919" t="s">
        <v>266</v>
      </c>
      <c r="C919">
        <v>44337</v>
      </c>
      <c r="D919">
        <v>1058390692</v>
      </c>
      <c r="E919">
        <v>110900</v>
      </c>
      <c r="F919">
        <v>79</v>
      </c>
      <c r="G919">
        <v>168012952</v>
      </c>
      <c r="H919">
        <v>2303100</v>
      </c>
      <c r="I919">
        <v>1391309287</v>
      </c>
      <c r="J919">
        <v>50</v>
      </c>
      <c r="K919">
        <v>190</v>
      </c>
      <c r="L919">
        <v>0</v>
      </c>
      <c r="M919" t="s">
        <v>6370</v>
      </c>
    </row>
    <row r="920" spans="1:13">
      <c r="A920" t="s">
        <v>2343</v>
      </c>
      <c r="B920" t="s">
        <v>311</v>
      </c>
      <c r="C920">
        <v>44651</v>
      </c>
      <c r="D920">
        <v>323292046</v>
      </c>
      <c r="E920">
        <v>40626</v>
      </c>
      <c r="F920">
        <v>71</v>
      </c>
      <c r="G920">
        <v>65239480</v>
      </c>
      <c r="H920">
        <v>885533</v>
      </c>
      <c r="I920">
        <v>190197488</v>
      </c>
      <c r="J920">
        <v>52</v>
      </c>
      <c r="K920">
        <v>799</v>
      </c>
      <c r="L920">
        <v>0</v>
      </c>
      <c r="M920" t="s">
        <v>6370</v>
      </c>
    </row>
    <row r="921" spans="1:13">
      <c r="A921" t="s">
        <v>2346</v>
      </c>
      <c r="B921" t="s">
        <v>860</v>
      </c>
      <c r="C921">
        <v>43896</v>
      </c>
      <c r="D921">
        <v>427275743</v>
      </c>
      <c r="E921">
        <v>63715</v>
      </c>
      <c r="F921">
        <v>61</v>
      </c>
      <c r="G921">
        <v>340951703</v>
      </c>
      <c r="H921">
        <v>3460872</v>
      </c>
      <c r="I921">
        <v>419613742</v>
      </c>
      <c r="J921">
        <v>72</v>
      </c>
      <c r="K921">
        <v>1050</v>
      </c>
      <c r="L921">
        <v>1</v>
      </c>
      <c r="M921" t="s">
        <v>6371</v>
      </c>
    </row>
    <row r="922" spans="1:13">
      <c r="A922" t="s">
        <v>2347</v>
      </c>
      <c r="B922" t="s">
        <v>1210</v>
      </c>
      <c r="C922">
        <v>45079</v>
      </c>
      <c r="D922">
        <v>60082145</v>
      </c>
      <c r="E922">
        <v>11423</v>
      </c>
      <c r="F922">
        <v>60</v>
      </c>
      <c r="G922">
        <v>118897128</v>
      </c>
      <c r="H922">
        <v>814796</v>
      </c>
      <c r="I922">
        <v>48946625</v>
      </c>
      <c r="J922">
        <v>45</v>
      </c>
      <c r="K922">
        <v>313</v>
      </c>
      <c r="L922">
        <v>1</v>
      </c>
      <c r="M922" t="s">
        <v>6370</v>
      </c>
    </row>
    <row r="923" spans="1:13">
      <c r="A923" t="s">
        <v>2348</v>
      </c>
      <c r="B923" t="s">
        <v>1071</v>
      </c>
      <c r="C923">
        <v>44148</v>
      </c>
      <c r="D923">
        <v>427605317</v>
      </c>
      <c r="E923">
        <v>56215</v>
      </c>
      <c r="F923">
        <v>77</v>
      </c>
      <c r="G923">
        <v>116140773</v>
      </c>
      <c r="H923">
        <v>657247</v>
      </c>
      <c r="I923">
        <v>85185999</v>
      </c>
      <c r="J923">
        <v>29</v>
      </c>
      <c r="K923">
        <v>80</v>
      </c>
      <c r="L923">
        <v>0</v>
      </c>
      <c r="M923" t="s">
        <v>6371</v>
      </c>
    </row>
    <row r="924" spans="1:13">
      <c r="A924" t="s">
        <v>2351</v>
      </c>
      <c r="B924" t="s">
        <v>139</v>
      </c>
      <c r="C924">
        <v>45054</v>
      </c>
      <c r="D924">
        <v>133536914</v>
      </c>
      <c r="E924">
        <v>12910</v>
      </c>
      <c r="F924">
        <v>63</v>
      </c>
      <c r="G924">
        <v>259267584</v>
      </c>
      <c r="H924">
        <v>1817066</v>
      </c>
      <c r="I924">
        <v>236752341</v>
      </c>
      <c r="J924">
        <v>29</v>
      </c>
      <c r="K924">
        <v>12</v>
      </c>
      <c r="L924">
        <v>0</v>
      </c>
      <c r="M924" t="s">
        <v>6370</v>
      </c>
    </row>
    <row r="925" spans="1:13">
      <c r="A925" t="s">
        <v>2144</v>
      </c>
      <c r="B925" t="s">
        <v>127</v>
      </c>
      <c r="C925">
        <v>42699</v>
      </c>
      <c r="D925">
        <v>2265551950</v>
      </c>
      <c r="E925">
        <v>185803</v>
      </c>
      <c r="F925">
        <v>74</v>
      </c>
      <c r="G925">
        <v>117456314</v>
      </c>
      <c r="H925">
        <v>1132990</v>
      </c>
      <c r="I925">
        <v>879722331</v>
      </c>
      <c r="J925">
        <v>131</v>
      </c>
      <c r="K925">
        <v>128</v>
      </c>
      <c r="L925">
        <v>0</v>
      </c>
      <c r="M925" t="s">
        <v>6371</v>
      </c>
    </row>
    <row r="926" spans="1:13">
      <c r="A926" t="s">
        <v>2354</v>
      </c>
      <c r="B926" t="s">
        <v>2004</v>
      </c>
      <c r="C926">
        <v>43973</v>
      </c>
      <c r="D926">
        <v>328017675</v>
      </c>
      <c r="E926">
        <v>115095</v>
      </c>
      <c r="F926">
        <v>67</v>
      </c>
      <c r="G926">
        <v>160730418</v>
      </c>
      <c r="H926">
        <v>2090732</v>
      </c>
      <c r="I926">
        <v>74601136</v>
      </c>
      <c r="J926">
        <v>31</v>
      </c>
      <c r="K926">
        <v>17</v>
      </c>
      <c r="L926">
        <v>1</v>
      </c>
      <c r="M926" t="s">
        <v>6371</v>
      </c>
    </row>
    <row r="927" spans="1:13">
      <c r="A927" t="s">
        <v>2355</v>
      </c>
      <c r="B927" t="s">
        <v>81</v>
      </c>
      <c r="C927">
        <v>42461</v>
      </c>
      <c r="D927">
        <v>1368497471</v>
      </c>
      <c r="E927">
        <v>112014</v>
      </c>
      <c r="F927">
        <v>72</v>
      </c>
      <c r="G927">
        <v>1149519353</v>
      </c>
      <c r="H927">
        <v>6578172</v>
      </c>
      <c r="I927">
        <v>340034199</v>
      </c>
      <c r="J927">
        <v>110</v>
      </c>
      <c r="K927">
        <v>117</v>
      </c>
      <c r="L927">
        <v>0</v>
      </c>
      <c r="M927" t="s">
        <v>6371</v>
      </c>
    </row>
    <row r="928" spans="1:13">
      <c r="A928" t="s">
        <v>2361</v>
      </c>
      <c r="B928" t="s">
        <v>2362</v>
      </c>
      <c r="C928">
        <v>44610</v>
      </c>
      <c r="D928">
        <v>469278591</v>
      </c>
      <c r="E928">
        <v>30545</v>
      </c>
      <c r="F928">
        <v>76</v>
      </c>
      <c r="G928">
        <v>386430123</v>
      </c>
      <c r="H928">
        <v>2100967</v>
      </c>
      <c r="I928">
        <v>572889929</v>
      </c>
      <c r="J928">
        <v>28</v>
      </c>
      <c r="K928">
        <v>281</v>
      </c>
      <c r="L928">
        <v>0</v>
      </c>
      <c r="M928" t="s">
        <v>6370</v>
      </c>
    </row>
    <row r="929" spans="1:13">
      <c r="A929" t="s">
        <v>2369</v>
      </c>
      <c r="B929" t="s">
        <v>233</v>
      </c>
      <c r="C929">
        <v>44736</v>
      </c>
      <c r="D929">
        <v>283572432</v>
      </c>
      <c r="E929">
        <v>48772</v>
      </c>
      <c r="F929">
        <v>65</v>
      </c>
      <c r="G929">
        <v>194184325</v>
      </c>
      <c r="H929">
        <v>1695485</v>
      </c>
      <c r="I929">
        <v>57932068</v>
      </c>
      <c r="J929">
        <v>19</v>
      </c>
      <c r="K929">
        <v>2</v>
      </c>
      <c r="L929">
        <v>0</v>
      </c>
      <c r="M929" t="s">
        <v>6370</v>
      </c>
    </row>
    <row r="930" spans="1:13">
      <c r="A930" t="s">
        <v>2374</v>
      </c>
      <c r="B930" t="s">
        <v>77</v>
      </c>
      <c r="C930">
        <v>44673</v>
      </c>
      <c r="D930">
        <v>299159279</v>
      </c>
      <c r="E930">
        <v>65016</v>
      </c>
      <c r="F930">
        <v>65</v>
      </c>
      <c r="G930">
        <v>77821012</v>
      </c>
      <c r="H930">
        <v>905318</v>
      </c>
      <c r="I930">
        <v>393771352</v>
      </c>
      <c r="J930">
        <v>50</v>
      </c>
      <c r="K930">
        <v>921</v>
      </c>
      <c r="L930">
        <v>1</v>
      </c>
      <c r="M930" t="s">
        <v>6370</v>
      </c>
    </row>
    <row r="931" spans="1:13">
      <c r="A931" t="s">
        <v>2375</v>
      </c>
      <c r="B931" t="s">
        <v>1913</v>
      </c>
      <c r="C931">
        <v>44778</v>
      </c>
      <c r="D931">
        <v>204471704</v>
      </c>
      <c r="E931">
        <v>72788</v>
      </c>
      <c r="F931">
        <v>55</v>
      </c>
      <c r="G931">
        <v>53474695</v>
      </c>
      <c r="H931">
        <v>805089</v>
      </c>
      <c r="I931">
        <v>154240769</v>
      </c>
      <c r="J931">
        <v>41</v>
      </c>
      <c r="K931">
        <v>2223</v>
      </c>
      <c r="L931">
        <v>1</v>
      </c>
      <c r="M931" t="s">
        <v>6370</v>
      </c>
    </row>
    <row r="932" spans="1:13">
      <c r="A932" t="s">
        <v>2380</v>
      </c>
      <c r="B932" t="s">
        <v>805</v>
      </c>
      <c r="C932">
        <v>44980</v>
      </c>
      <c r="D932">
        <v>242528711</v>
      </c>
      <c r="E932">
        <v>57228</v>
      </c>
      <c r="F932">
        <v>72</v>
      </c>
      <c r="G932">
        <v>31286296</v>
      </c>
      <c r="H932">
        <v>367511</v>
      </c>
      <c r="I932">
        <v>115624415</v>
      </c>
      <c r="J932">
        <v>18</v>
      </c>
      <c r="K932">
        <v>198</v>
      </c>
      <c r="L932">
        <v>1</v>
      </c>
      <c r="M932" t="s">
        <v>6370</v>
      </c>
    </row>
    <row r="933" spans="1:13">
      <c r="A933" t="s">
        <v>2381</v>
      </c>
      <c r="B933" t="s">
        <v>1568</v>
      </c>
      <c r="C933">
        <v>45121</v>
      </c>
      <c r="D933">
        <v>70868414</v>
      </c>
      <c r="E933">
        <v>32989</v>
      </c>
      <c r="F933">
        <v>57</v>
      </c>
      <c r="G933">
        <v>44841616</v>
      </c>
      <c r="H933">
        <v>419069</v>
      </c>
      <c r="I933">
        <v>48989328</v>
      </c>
      <c r="J933">
        <v>21</v>
      </c>
      <c r="K933">
        <v>25</v>
      </c>
      <c r="L933">
        <v>1</v>
      </c>
      <c r="M933" t="s">
        <v>6370</v>
      </c>
    </row>
    <row r="934" spans="1:13">
      <c r="A934" t="s">
        <v>2382</v>
      </c>
      <c r="B934" t="s">
        <v>295</v>
      </c>
      <c r="C934">
        <v>42216</v>
      </c>
      <c r="D934">
        <v>1335494972</v>
      </c>
      <c r="E934">
        <v>205003</v>
      </c>
      <c r="F934">
        <v>72</v>
      </c>
      <c r="G934">
        <v>165545575</v>
      </c>
      <c r="H934">
        <v>1446742</v>
      </c>
      <c r="I934">
        <v>284269402</v>
      </c>
      <c r="J934">
        <v>376</v>
      </c>
      <c r="K934">
        <v>123</v>
      </c>
      <c r="L934">
        <v>0</v>
      </c>
      <c r="M934" t="s">
        <v>6371</v>
      </c>
    </row>
    <row r="935" spans="1:13">
      <c r="A935" t="s">
        <v>2386</v>
      </c>
      <c r="B935" t="s">
        <v>457</v>
      </c>
      <c r="C935">
        <v>44533</v>
      </c>
      <c r="D935">
        <v>223634694</v>
      </c>
      <c r="E935">
        <v>85051</v>
      </c>
      <c r="F935">
        <v>62</v>
      </c>
      <c r="G935">
        <v>172919874</v>
      </c>
      <c r="H935">
        <v>1244703</v>
      </c>
      <c r="I935">
        <v>968182145</v>
      </c>
      <c r="J935">
        <v>80</v>
      </c>
      <c r="K935">
        <v>75</v>
      </c>
      <c r="L935">
        <v>0</v>
      </c>
      <c r="M935" t="s">
        <v>6370</v>
      </c>
    </row>
    <row r="936" spans="1:13">
      <c r="A936" t="s">
        <v>2391</v>
      </c>
      <c r="B936" t="s">
        <v>32</v>
      </c>
      <c r="C936">
        <v>45387</v>
      </c>
      <c r="D936">
        <v>72952792</v>
      </c>
      <c r="E936">
        <v>5724</v>
      </c>
      <c r="F936">
        <v>18</v>
      </c>
      <c r="G936">
        <v>9235207</v>
      </c>
      <c r="H936">
        <v>107668</v>
      </c>
      <c r="I936">
        <v>45173400</v>
      </c>
      <c r="J936">
        <v>26</v>
      </c>
      <c r="K936">
        <v>38</v>
      </c>
      <c r="L936">
        <v>0</v>
      </c>
      <c r="M936" t="s">
        <v>6370</v>
      </c>
    </row>
    <row r="937" spans="1:13">
      <c r="A937">
        <v>0.95833333333333337</v>
      </c>
      <c r="B937" t="s">
        <v>336</v>
      </c>
      <c r="C937">
        <v>43602</v>
      </c>
      <c r="D937">
        <v>719602988</v>
      </c>
      <c r="E937">
        <v>64741</v>
      </c>
      <c r="F937">
        <v>67</v>
      </c>
      <c r="G937">
        <v>1040666593</v>
      </c>
      <c r="H937">
        <v>3868761</v>
      </c>
      <c r="I937">
        <v>29561419</v>
      </c>
      <c r="J937">
        <v>71</v>
      </c>
      <c r="K937">
        <v>240</v>
      </c>
      <c r="L937">
        <v>0</v>
      </c>
      <c r="M937" t="s">
        <v>6371</v>
      </c>
    </row>
    <row r="938" spans="1:13">
      <c r="A938" t="s">
        <v>2392</v>
      </c>
      <c r="B938" t="s">
        <v>777</v>
      </c>
      <c r="C938">
        <v>42237</v>
      </c>
      <c r="D938">
        <v>833094374</v>
      </c>
      <c r="E938">
        <v>74711</v>
      </c>
      <c r="F938">
        <v>69</v>
      </c>
      <c r="G938">
        <v>975631232</v>
      </c>
      <c r="H938">
        <v>6042733</v>
      </c>
      <c r="I938">
        <v>730041228</v>
      </c>
      <c r="J938">
        <v>9</v>
      </c>
      <c r="K938">
        <v>169</v>
      </c>
      <c r="L938">
        <v>0</v>
      </c>
      <c r="M938" t="s">
        <v>6371</v>
      </c>
    </row>
    <row r="939" spans="1:13">
      <c r="A939" t="s">
        <v>2396</v>
      </c>
      <c r="B939" t="s">
        <v>2397</v>
      </c>
      <c r="C939">
        <v>44498</v>
      </c>
      <c r="D939">
        <v>366000029</v>
      </c>
      <c r="E939">
        <v>116490</v>
      </c>
      <c r="F939">
        <v>71</v>
      </c>
      <c r="G939">
        <v>91180099</v>
      </c>
      <c r="H939">
        <v>918683</v>
      </c>
      <c r="I939">
        <v>1275662545</v>
      </c>
      <c r="J939">
        <v>78</v>
      </c>
      <c r="K939">
        <v>288</v>
      </c>
      <c r="L939">
        <v>0</v>
      </c>
      <c r="M939" t="s">
        <v>6370</v>
      </c>
    </row>
    <row r="940" spans="1:13">
      <c r="A940" t="s">
        <v>2401</v>
      </c>
      <c r="B940" t="s">
        <v>2402</v>
      </c>
      <c r="C940">
        <v>40179</v>
      </c>
      <c r="D940">
        <v>1656974409</v>
      </c>
      <c r="E940">
        <v>266408</v>
      </c>
      <c r="F940">
        <v>76</v>
      </c>
      <c r="G940">
        <v>597309937</v>
      </c>
      <c r="H940">
        <v>3662324</v>
      </c>
      <c r="I940">
        <v>191397624</v>
      </c>
      <c r="J940">
        <v>104</v>
      </c>
      <c r="K940">
        <v>129</v>
      </c>
      <c r="L940">
        <v>0</v>
      </c>
      <c r="M940" t="s">
        <v>6371</v>
      </c>
    </row>
    <row r="941" spans="1:13">
      <c r="A941" t="s">
        <v>2404</v>
      </c>
      <c r="B941" t="s">
        <v>305</v>
      </c>
      <c r="C941">
        <v>40909</v>
      </c>
      <c r="D941">
        <v>2004657631</v>
      </c>
      <c r="E941">
        <v>277766</v>
      </c>
      <c r="F941">
        <v>83</v>
      </c>
      <c r="G941">
        <v>1400581749</v>
      </c>
      <c r="H941">
        <v>9714447</v>
      </c>
      <c r="I941">
        <v>91255671</v>
      </c>
      <c r="J941">
        <v>150</v>
      </c>
      <c r="K941">
        <v>291</v>
      </c>
      <c r="L941">
        <v>0</v>
      </c>
      <c r="M941" t="s">
        <v>6371</v>
      </c>
    </row>
    <row r="942" spans="1:13">
      <c r="A942" t="s">
        <v>2405</v>
      </c>
      <c r="B942" t="s">
        <v>1357</v>
      </c>
      <c r="C942">
        <v>40544</v>
      </c>
      <c r="D942">
        <v>717233625</v>
      </c>
      <c r="E942">
        <v>190770</v>
      </c>
      <c r="F942">
        <v>68</v>
      </c>
      <c r="G942">
        <v>2681563789</v>
      </c>
      <c r="H942">
        <v>13879113</v>
      </c>
      <c r="I942">
        <v>474207854</v>
      </c>
      <c r="J942">
        <v>148</v>
      </c>
      <c r="K942">
        <v>235</v>
      </c>
      <c r="L942">
        <v>0</v>
      </c>
      <c r="M942" t="s">
        <v>6371</v>
      </c>
    </row>
    <row r="943" spans="1:13">
      <c r="A943" t="s">
        <v>2406</v>
      </c>
      <c r="B943" t="s">
        <v>2407</v>
      </c>
      <c r="C943">
        <v>43805</v>
      </c>
      <c r="D943">
        <v>789418331</v>
      </c>
      <c r="E943">
        <v>170553</v>
      </c>
      <c r="F943">
        <v>78</v>
      </c>
      <c r="G943">
        <v>100552408</v>
      </c>
      <c r="H943">
        <v>2069625</v>
      </c>
      <c r="I943">
        <v>1315165820</v>
      </c>
      <c r="J943">
        <v>9</v>
      </c>
      <c r="K943">
        <v>54</v>
      </c>
      <c r="L943">
        <v>0</v>
      </c>
      <c r="M943" t="s">
        <v>6371</v>
      </c>
    </row>
    <row r="944" spans="1:13">
      <c r="A944" t="s">
        <v>2414</v>
      </c>
      <c r="B944" t="s">
        <v>2415</v>
      </c>
      <c r="C944">
        <v>44742</v>
      </c>
      <c r="D944">
        <v>161267092</v>
      </c>
      <c r="E944">
        <v>28607</v>
      </c>
      <c r="F944">
        <v>62</v>
      </c>
      <c r="G944">
        <v>60783794</v>
      </c>
      <c r="H944">
        <v>1205587</v>
      </c>
      <c r="I944">
        <v>667522423</v>
      </c>
      <c r="J944">
        <v>9</v>
      </c>
      <c r="K944">
        <v>1543</v>
      </c>
      <c r="L944">
        <v>1</v>
      </c>
      <c r="M944" t="s">
        <v>6370</v>
      </c>
    </row>
    <row r="945" spans="1:13">
      <c r="A945" t="s">
        <v>2419</v>
      </c>
      <c r="B945" t="s">
        <v>28</v>
      </c>
      <c r="C945">
        <v>40301</v>
      </c>
      <c r="D945">
        <v>1012914789</v>
      </c>
      <c r="E945">
        <v>168108</v>
      </c>
      <c r="F945">
        <v>74</v>
      </c>
      <c r="G945">
        <v>2040135706</v>
      </c>
      <c r="H945">
        <v>14876226</v>
      </c>
      <c r="I945">
        <v>1528287223</v>
      </c>
      <c r="J945">
        <v>53</v>
      </c>
      <c r="K945">
        <v>8</v>
      </c>
      <c r="L945">
        <v>1</v>
      </c>
      <c r="M945" t="s">
        <v>6371</v>
      </c>
    </row>
    <row r="946" spans="1:13">
      <c r="A946" t="s">
        <v>2423</v>
      </c>
      <c r="B946" t="s">
        <v>371</v>
      </c>
      <c r="C946">
        <v>39814</v>
      </c>
      <c r="D946">
        <v>1229109018</v>
      </c>
      <c r="E946">
        <v>166904</v>
      </c>
      <c r="F946">
        <v>77</v>
      </c>
      <c r="G946">
        <v>2049116263</v>
      </c>
      <c r="H946">
        <v>11229749</v>
      </c>
      <c r="I946">
        <v>687368332</v>
      </c>
      <c r="J946">
        <v>153</v>
      </c>
      <c r="K946">
        <v>290</v>
      </c>
      <c r="L946">
        <v>1</v>
      </c>
      <c r="M946" t="s">
        <v>6372</v>
      </c>
    </row>
    <row r="947" spans="1:13">
      <c r="A947" t="s">
        <v>2427</v>
      </c>
      <c r="B947" t="s">
        <v>849</v>
      </c>
      <c r="C947">
        <v>41166</v>
      </c>
      <c r="D947">
        <v>1301573727</v>
      </c>
      <c r="E947">
        <v>145608</v>
      </c>
      <c r="F947">
        <v>78</v>
      </c>
      <c r="G947">
        <v>1898440657</v>
      </c>
      <c r="H947">
        <v>8070655</v>
      </c>
      <c r="I947">
        <v>496883852</v>
      </c>
      <c r="J947">
        <v>135</v>
      </c>
      <c r="K947">
        <v>203</v>
      </c>
      <c r="L947">
        <v>0</v>
      </c>
      <c r="M947" t="s">
        <v>6371</v>
      </c>
    </row>
    <row r="948" spans="1:13">
      <c r="A948" t="s">
        <v>2428</v>
      </c>
      <c r="B948" t="s">
        <v>459</v>
      </c>
      <c r="C948">
        <v>44036</v>
      </c>
      <c r="D948">
        <v>828608384</v>
      </c>
      <c r="E948">
        <v>93376</v>
      </c>
      <c r="F948">
        <v>64</v>
      </c>
      <c r="G948">
        <v>459178965</v>
      </c>
      <c r="H948">
        <v>3337302</v>
      </c>
      <c r="I948">
        <v>54201520</v>
      </c>
      <c r="J948">
        <v>179</v>
      </c>
      <c r="K948">
        <v>2</v>
      </c>
      <c r="L948">
        <v>0</v>
      </c>
      <c r="M948" t="s">
        <v>6371</v>
      </c>
    </row>
    <row r="949" spans="1:13">
      <c r="A949" t="s">
        <v>2429</v>
      </c>
      <c r="B949" t="s">
        <v>2430</v>
      </c>
      <c r="C949">
        <v>41640</v>
      </c>
      <c r="D949">
        <v>724486951</v>
      </c>
      <c r="E949">
        <v>89470</v>
      </c>
      <c r="F949">
        <v>61</v>
      </c>
      <c r="G949">
        <v>1253153682</v>
      </c>
      <c r="H949">
        <v>6766774</v>
      </c>
      <c r="I949">
        <v>155148335</v>
      </c>
      <c r="J949">
        <v>132</v>
      </c>
      <c r="K949">
        <v>250</v>
      </c>
      <c r="L949">
        <v>1</v>
      </c>
      <c r="M949" t="s">
        <v>6371</v>
      </c>
    </row>
    <row r="950" spans="1:13">
      <c r="A950" t="s">
        <v>2431</v>
      </c>
      <c r="B950" t="s">
        <v>2432</v>
      </c>
      <c r="C950">
        <v>42815</v>
      </c>
      <c r="D950">
        <v>1305189811</v>
      </c>
      <c r="E950">
        <v>259761</v>
      </c>
      <c r="F950">
        <v>82</v>
      </c>
      <c r="G950">
        <v>237610293</v>
      </c>
      <c r="H950">
        <v>2556677</v>
      </c>
      <c r="I950">
        <v>435331773</v>
      </c>
      <c r="J950">
        <v>64</v>
      </c>
      <c r="K950">
        <v>53</v>
      </c>
      <c r="L950">
        <v>1</v>
      </c>
      <c r="M950" t="s">
        <v>6371</v>
      </c>
    </row>
    <row r="951" spans="1:13">
      <c r="A951" t="s">
        <v>2436</v>
      </c>
      <c r="B951" t="s">
        <v>2184</v>
      </c>
      <c r="C951">
        <v>44232</v>
      </c>
      <c r="D951">
        <v>435614687</v>
      </c>
      <c r="E951">
        <v>40685</v>
      </c>
      <c r="F951">
        <v>67</v>
      </c>
      <c r="G951">
        <v>611062174</v>
      </c>
      <c r="H951">
        <v>2855683</v>
      </c>
      <c r="I951">
        <v>823863869</v>
      </c>
      <c r="J951">
        <v>28</v>
      </c>
      <c r="K951">
        <v>285</v>
      </c>
      <c r="L951">
        <v>0</v>
      </c>
      <c r="M951" t="s">
        <v>6370</v>
      </c>
    </row>
    <row r="952" spans="1:13">
      <c r="A952" t="s">
        <v>2437</v>
      </c>
      <c r="B952" t="s">
        <v>123</v>
      </c>
      <c r="C952">
        <v>42741</v>
      </c>
      <c r="D952">
        <v>1340305216</v>
      </c>
      <c r="E952">
        <v>128114</v>
      </c>
      <c r="F952">
        <v>73</v>
      </c>
      <c r="G952">
        <v>1019821605</v>
      </c>
      <c r="H952">
        <v>5831559</v>
      </c>
      <c r="I952">
        <v>545871218</v>
      </c>
      <c r="J952">
        <v>157</v>
      </c>
      <c r="K952">
        <v>38</v>
      </c>
      <c r="L952">
        <v>0</v>
      </c>
      <c r="M952" t="s">
        <v>6371</v>
      </c>
    </row>
    <row r="953" spans="1:13">
      <c r="A953" t="s">
        <v>2442</v>
      </c>
      <c r="B953" t="s">
        <v>1217</v>
      </c>
      <c r="C953">
        <v>44482</v>
      </c>
      <c r="D953">
        <v>270580897</v>
      </c>
      <c r="E953">
        <v>31024</v>
      </c>
      <c r="F953">
        <v>60</v>
      </c>
      <c r="G953">
        <v>222946420</v>
      </c>
      <c r="H953">
        <v>3345792</v>
      </c>
      <c r="I953">
        <v>2850944965</v>
      </c>
      <c r="J953">
        <v>49</v>
      </c>
      <c r="K953">
        <v>456</v>
      </c>
      <c r="L953">
        <v>0</v>
      </c>
      <c r="M953" t="s">
        <v>6370</v>
      </c>
    </row>
    <row r="954" spans="1:13">
      <c r="A954" t="s">
        <v>2447</v>
      </c>
      <c r="B954" t="s">
        <v>2448</v>
      </c>
      <c r="C954">
        <v>42202</v>
      </c>
      <c r="D954">
        <v>1644031037</v>
      </c>
      <c r="E954">
        <v>368350</v>
      </c>
      <c r="F954">
        <v>79</v>
      </c>
      <c r="G954">
        <v>339312309</v>
      </c>
      <c r="H954">
        <v>3947876</v>
      </c>
      <c r="I954">
        <v>947781800</v>
      </c>
      <c r="J954">
        <v>244</v>
      </c>
      <c r="K954">
        <v>98</v>
      </c>
      <c r="L954">
        <v>1</v>
      </c>
      <c r="M954" t="s">
        <v>6371</v>
      </c>
    </row>
    <row r="955" spans="1:13">
      <c r="A955" t="s">
        <v>2449</v>
      </c>
      <c r="B955" t="s">
        <v>1036</v>
      </c>
      <c r="C955">
        <v>44728</v>
      </c>
      <c r="D955">
        <v>340527913</v>
      </c>
      <c r="E955">
        <v>50714</v>
      </c>
      <c r="F955">
        <v>67</v>
      </c>
      <c r="G955">
        <v>317404552</v>
      </c>
      <c r="H955">
        <v>2187888</v>
      </c>
      <c r="I955">
        <v>24715</v>
      </c>
      <c r="J955">
        <v>30</v>
      </c>
      <c r="K955">
        <v>172</v>
      </c>
      <c r="L955">
        <v>0</v>
      </c>
      <c r="M955" t="s">
        <v>6370</v>
      </c>
    </row>
    <row r="956" spans="1:13">
      <c r="A956" t="s">
        <v>2450</v>
      </c>
      <c r="B956" t="s">
        <v>2451</v>
      </c>
      <c r="C956">
        <v>44785</v>
      </c>
      <c r="D956">
        <v>233212999</v>
      </c>
      <c r="E956">
        <v>26694</v>
      </c>
      <c r="F956">
        <v>71</v>
      </c>
      <c r="G956">
        <v>8294089</v>
      </c>
      <c r="H956">
        <v>77421</v>
      </c>
      <c r="I956">
        <v>228973807</v>
      </c>
      <c r="J956">
        <v>29</v>
      </c>
      <c r="K956">
        <v>332</v>
      </c>
      <c r="L956">
        <v>0</v>
      </c>
      <c r="M956" t="s">
        <v>6370</v>
      </c>
    </row>
    <row r="957" spans="1:13">
      <c r="A957" t="s">
        <v>2454</v>
      </c>
      <c r="B957" t="s">
        <v>291</v>
      </c>
      <c r="C957">
        <v>45176</v>
      </c>
      <c r="D957">
        <v>97991117</v>
      </c>
      <c r="E957">
        <v>14129</v>
      </c>
      <c r="F957">
        <v>1</v>
      </c>
      <c r="G957">
        <v>58751482</v>
      </c>
      <c r="H957">
        <v>828387</v>
      </c>
      <c r="I957">
        <v>956028339</v>
      </c>
      <c r="J957">
        <v>1</v>
      </c>
      <c r="K957">
        <v>544</v>
      </c>
      <c r="L957">
        <v>1</v>
      </c>
      <c r="M957" t="s">
        <v>6370</v>
      </c>
    </row>
    <row r="958" spans="1:13">
      <c r="A958" t="s">
        <v>2455</v>
      </c>
      <c r="B958" t="s">
        <v>2456</v>
      </c>
      <c r="C958">
        <v>44463</v>
      </c>
      <c r="D958">
        <v>487150595</v>
      </c>
      <c r="E958">
        <v>92690</v>
      </c>
      <c r="F958">
        <v>67</v>
      </c>
      <c r="G958">
        <v>59271967</v>
      </c>
      <c r="H958">
        <v>654987</v>
      </c>
      <c r="I958">
        <v>1449246797</v>
      </c>
      <c r="J958">
        <v>98</v>
      </c>
      <c r="K958">
        <v>2238</v>
      </c>
      <c r="L958">
        <v>0</v>
      </c>
      <c r="M958" t="s">
        <v>6370</v>
      </c>
    </row>
    <row r="959" spans="1:13">
      <c r="A959" t="s">
        <v>2459</v>
      </c>
      <c r="B959" t="s">
        <v>66</v>
      </c>
      <c r="C959">
        <v>43812</v>
      </c>
      <c r="D959">
        <v>912294568</v>
      </c>
      <c r="E959">
        <v>117541</v>
      </c>
      <c r="F959">
        <v>70</v>
      </c>
      <c r="G959">
        <v>332759355</v>
      </c>
      <c r="H959">
        <v>5731914</v>
      </c>
      <c r="I959">
        <v>1255165488</v>
      </c>
      <c r="J959">
        <v>122</v>
      </c>
      <c r="K959">
        <v>186</v>
      </c>
      <c r="L959">
        <v>0</v>
      </c>
      <c r="M959" t="s">
        <v>6371</v>
      </c>
    </row>
    <row r="960" spans="1:13">
      <c r="A960" t="s">
        <v>2460</v>
      </c>
      <c r="B960" t="s">
        <v>66</v>
      </c>
      <c r="C960">
        <v>44701</v>
      </c>
      <c r="D960">
        <v>408265830</v>
      </c>
      <c r="E960">
        <v>54371</v>
      </c>
      <c r="F960">
        <v>67</v>
      </c>
      <c r="G960">
        <v>72040046</v>
      </c>
      <c r="H960">
        <v>1550840</v>
      </c>
      <c r="I960">
        <v>5701956773</v>
      </c>
      <c r="J960">
        <v>52</v>
      </c>
      <c r="K960">
        <v>593</v>
      </c>
      <c r="L960">
        <v>0</v>
      </c>
      <c r="M960" t="s">
        <v>6370</v>
      </c>
    </row>
    <row r="961" spans="1:13">
      <c r="A961" t="s">
        <v>2464</v>
      </c>
      <c r="B961" t="s">
        <v>112</v>
      </c>
      <c r="C961">
        <v>45128</v>
      </c>
      <c r="D961">
        <v>860026452</v>
      </c>
      <c r="E961">
        <v>19743</v>
      </c>
      <c r="F961">
        <v>67</v>
      </c>
      <c r="G961">
        <v>51745</v>
      </c>
      <c r="H961">
        <v>411</v>
      </c>
      <c r="I961">
        <v>2419873472</v>
      </c>
      <c r="J961">
        <v>216</v>
      </c>
      <c r="K961">
        <v>542</v>
      </c>
      <c r="L961">
        <v>0</v>
      </c>
      <c r="M961" t="s">
        <v>6370</v>
      </c>
    </row>
    <row r="962" spans="1:13">
      <c r="A962" t="s">
        <v>2466</v>
      </c>
      <c r="B962" t="s">
        <v>2467</v>
      </c>
      <c r="C962">
        <v>45134</v>
      </c>
      <c r="D962">
        <v>170200281</v>
      </c>
      <c r="E962">
        <v>40016</v>
      </c>
      <c r="F962">
        <v>2</v>
      </c>
      <c r="G962">
        <v>17596251</v>
      </c>
      <c r="H962">
        <v>205907</v>
      </c>
      <c r="I962">
        <v>55041835</v>
      </c>
      <c r="J962">
        <v>17</v>
      </c>
      <c r="K962">
        <v>18</v>
      </c>
      <c r="L962">
        <v>0</v>
      </c>
      <c r="M962" t="s">
        <v>6370</v>
      </c>
    </row>
    <row r="963" spans="1:13">
      <c r="A963" t="s">
        <v>2469</v>
      </c>
      <c r="B963" t="s">
        <v>2470</v>
      </c>
      <c r="C963">
        <v>41348</v>
      </c>
      <c r="D963">
        <v>919756735</v>
      </c>
      <c r="E963">
        <v>144657</v>
      </c>
      <c r="F963">
        <v>69</v>
      </c>
      <c r="G963">
        <v>1690599219</v>
      </c>
      <c r="H963">
        <v>10605192</v>
      </c>
      <c r="I963">
        <v>685728708</v>
      </c>
      <c r="J963">
        <v>81</v>
      </c>
      <c r="K963">
        <v>203</v>
      </c>
      <c r="L963">
        <v>0</v>
      </c>
      <c r="M963" t="s">
        <v>6371</v>
      </c>
    </row>
    <row r="964" spans="1:13">
      <c r="A964" t="s">
        <v>2473</v>
      </c>
      <c r="B964" t="s">
        <v>2474</v>
      </c>
      <c r="C964">
        <v>44063</v>
      </c>
      <c r="D964">
        <v>337709342</v>
      </c>
      <c r="E964">
        <v>124013</v>
      </c>
      <c r="F964">
        <v>61</v>
      </c>
      <c r="G964">
        <v>163572008</v>
      </c>
      <c r="H964">
        <v>2101899</v>
      </c>
      <c r="I964">
        <v>14079058</v>
      </c>
      <c r="J964">
        <v>22</v>
      </c>
      <c r="K964">
        <v>3</v>
      </c>
      <c r="L964">
        <v>1</v>
      </c>
      <c r="M964" t="s">
        <v>6371</v>
      </c>
    </row>
    <row r="965" spans="1:13">
      <c r="A965" t="s">
        <v>2475</v>
      </c>
      <c r="B965" t="s">
        <v>1887</v>
      </c>
      <c r="C965">
        <v>44946</v>
      </c>
      <c r="D965">
        <v>190497384</v>
      </c>
      <c r="E965">
        <v>30799</v>
      </c>
      <c r="F965">
        <v>70</v>
      </c>
      <c r="G965">
        <v>83093258</v>
      </c>
      <c r="H965">
        <v>911630</v>
      </c>
      <c r="I965">
        <v>1315525703</v>
      </c>
      <c r="J965">
        <v>30</v>
      </c>
      <c r="K965">
        <v>2669</v>
      </c>
      <c r="L965">
        <v>1</v>
      </c>
      <c r="M965" t="s">
        <v>6370</v>
      </c>
    </row>
    <row r="966" spans="1:13">
      <c r="A966" t="s">
        <v>2478</v>
      </c>
      <c r="B966" t="s">
        <v>2479</v>
      </c>
      <c r="C966">
        <v>43553</v>
      </c>
      <c r="D966">
        <v>367775924</v>
      </c>
      <c r="E966">
        <v>62389</v>
      </c>
      <c r="F966">
        <v>62</v>
      </c>
      <c r="G966">
        <v>312724268</v>
      </c>
      <c r="H966">
        <v>1989112</v>
      </c>
      <c r="I966">
        <v>1035596168</v>
      </c>
      <c r="J966">
        <v>44</v>
      </c>
      <c r="K966">
        <v>154</v>
      </c>
      <c r="L966">
        <v>0</v>
      </c>
      <c r="M966" t="s">
        <v>6371</v>
      </c>
    </row>
    <row r="967" spans="1:13">
      <c r="A967" t="s">
        <v>2487</v>
      </c>
      <c r="B967" t="s">
        <v>2488</v>
      </c>
      <c r="C967">
        <v>44869</v>
      </c>
      <c r="D967">
        <v>149095636</v>
      </c>
      <c r="E967">
        <v>85011</v>
      </c>
      <c r="F967">
        <v>73</v>
      </c>
      <c r="G967">
        <v>21554535</v>
      </c>
      <c r="H967">
        <v>197879</v>
      </c>
      <c r="I967">
        <v>120828235</v>
      </c>
      <c r="J967">
        <v>33</v>
      </c>
      <c r="K967">
        <v>7</v>
      </c>
      <c r="L967">
        <v>0</v>
      </c>
      <c r="M967" t="s">
        <v>6370</v>
      </c>
    </row>
    <row r="968" spans="1:13">
      <c r="A968" t="s">
        <v>1236</v>
      </c>
      <c r="B968" t="s">
        <v>1055</v>
      </c>
      <c r="C968">
        <v>42370</v>
      </c>
      <c r="D968">
        <v>738909649</v>
      </c>
      <c r="E968">
        <v>98916</v>
      </c>
      <c r="F968">
        <v>70</v>
      </c>
      <c r="G968">
        <v>1695861663</v>
      </c>
      <c r="H968">
        <v>15412305</v>
      </c>
      <c r="I968">
        <v>388592360</v>
      </c>
      <c r="J968">
        <v>43</v>
      </c>
      <c r="K968">
        <v>83</v>
      </c>
      <c r="L968">
        <v>0</v>
      </c>
      <c r="M968" t="s">
        <v>6371</v>
      </c>
    </row>
    <row r="969" spans="1:13">
      <c r="A969" t="s">
        <v>2489</v>
      </c>
      <c r="B969" t="s">
        <v>167</v>
      </c>
      <c r="C969">
        <v>44623</v>
      </c>
      <c r="D969">
        <v>300668168</v>
      </c>
      <c r="E969">
        <v>114589</v>
      </c>
      <c r="F969">
        <v>67</v>
      </c>
      <c r="G969">
        <v>77123844</v>
      </c>
      <c r="H969">
        <v>796822</v>
      </c>
      <c r="I969">
        <v>669672487</v>
      </c>
      <c r="J969">
        <v>31</v>
      </c>
      <c r="K969">
        <v>67</v>
      </c>
      <c r="L969">
        <v>1</v>
      </c>
      <c r="M969" t="s">
        <v>6370</v>
      </c>
    </row>
    <row r="970" spans="1:13">
      <c r="A970" t="s">
        <v>2490</v>
      </c>
      <c r="B970" t="s">
        <v>252</v>
      </c>
      <c r="C970">
        <v>43336</v>
      </c>
      <c r="D970">
        <v>458842811</v>
      </c>
      <c r="E970">
        <v>26775</v>
      </c>
      <c r="F970">
        <v>65</v>
      </c>
      <c r="G970">
        <v>1476805343</v>
      </c>
      <c r="H970">
        <v>24898525</v>
      </c>
      <c r="I970">
        <v>664328364</v>
      </c>
      <c r="J970">
        <v>11</v>
      </c>
      <c r="K970">
        <v>9</v>
      </c>
      <c r="L970">
        <v>0</v>
      </c>
      <c r="M970" t="s">
        <v>6371</v>
      </c>
    </row>
    <row r="971" spans="1:13">
      <c r="A971" t="s">
        <v>2491</v>
      </c>
      <c r="B971" t="s">
        <v>141</v>
      </c>
      <c r="C971">
        <v>42712</v>
      </c>
      <c r="D971">
        <v>507652985</v>
      </c>
      <c r="E971">
        <v>55811</v>
      </c>
      <c r="F971">
        <v>67</v>
      </c>
      <c r="G971">
        <v>1585447114</v>
      </c>
      <c r="H971">
        <v>9703825</v>
      </c>
      <c r="I971">
        <v>85135882</v>
      </c>
      <c r="J971">
        <v>46</v>
      </c>
      <c r="K971">
        <v>23</v>
      </c>
      <c r="L971">
        <v>1</v>
      </c>
      <c r="M971" t="s">
        <v>6371</v>
      </c>
    </row>
    <row r="972" spans="1:13">
      <c r="A972" t="s">
        <v>2498</v>
      </c>
      <c r="B972" t="s">
        <v>1913</v>
      </c>
      <c r="C972">
        <v>44028</v>
      </c>
      <c r="D972">
        <v>544564903</v>
      </c>
      <c r="E972">
        <v>155782</v>
      </c>
      <c r="F972">
        <v>63</v>
      </c>
      <c r="G972">
        <v>96900581</v>
      </c>
      <c r="H972">
        <v>863485</v>
      </c>
      <c r="I972">
        <v>482158138</v>
      </c>
      <c r="J972">
        <v>81</v>
      </c>
      <c r="K972">
        <v>6</v>
      </c>
      <c r="L972">
        <v>1</v>
      </c>
      <c r="M972" t="s">
        <v>6371</v>
      </c>
    </row>
    <row r="973" spans="1:13">
      <c r="A973" t="s">
        <v>2503</v>
      </c>
      <c r="B973" t="s">
        <v>47</v>
      </c>
      <c r="C973">
        <v>42713</v>
      </c>
      <c r="D973">
        <v>1638216382</v>
      </c>
      <c r="E973">
        <v>181604</v>
      </c>
      <c r="F973">
        <v>72</v>
      </c>
      <c r="G973">
        <v>560326863</v>
      </c>
      <c r="H973">
        <v>3997742</v>
      </c>
      <c r="I973">
        <v>103512905</v>
      </c>
      <c r="J973">
        <v>63</v>
      </c>
      <c r="K973">
        <v>28</v>
      </c>
      <c r="L973">
        <v>1</v>
      </c>
      <c r="M973" t="s">
        <v>6371</v>
      </c>
    </row>
    <row r="974" spans="1:13">
      <c r="A974" t="s">
        <v>2506</v>
      </c>
      <c r="B974" t="s">
        <v>285</v>
      </c>
      <c r="C974">
        <v>44197</v>
      </c>
      <c r="D974">
        <v>689413808</v>
      </c>
      <c r="E974">
        <v>86677</v>
      </c>
      <c r="F974">
        <v>63</v>
      </c>
      <c r="G974">
        <v>181790359</v>
      </c>
      <c r="H974">
        <v>3269385</v>
      </c>
      <c r="I974">
        <v>618582288</v>
      </c>
      <c r="J974">
        <v>171</v>
      </c>
      <c r="K974">
        <v>119</v>
      </c>
      <c r="L974">
        <v>0</v>
      </c>
      <c r="M974" t="s">
        <v>6370</v>
      </c>
    </row>
    <row r="975" spans="1:13">
      <c r="A975" t="s">
        <v>2507</v>
      </c>
      <c r="B975" t="s">
        <v>2508</v>
      </c>
      <c r="C975">
        <v>44722</v>
      </c>
      <c r="D975">
        <v>262402978</v>
      </c>
      <c r="E975">
        <v>61547</v>
      </c>
      <c r="F975">
        <v>59</v>
      </c>
      <c r="G975">
        <v>68754110</v>
      </c>
      <c r="H975">
        <v>1120053</v>
      </c>
      <c r="I975">
        <v>2904979024</v>
      </c>
      <c r="J975">
        <v>28</v>
      </c>
      <c r="K975">
        <v>1480</v>
      </c>
      <c r="L975">
        <v>0</v>
      </c>
      <c r="M975" t="s">
        <v>6370</v>
      </c>
    </row>
    <row r="976" spans="1:13">
      <c r="A976" t="s">
        <v>2509</v>
      </c>
      <c r="B976" t="s">
        <v>978</v>
      </c>
      <c r="C976">
        <v>44134</v>
      </c>
      <c r="D976">
        <v>726266033</v>
      </c>
      <c r="E976">
        <v>118990</v>
      </c>
      <c r="F976">
        <v>64</v>
      </c>
      <c r="G976">
        <v>133061832</v>
      </c>
      <c r="H976">
        <v>962971</v>
      </c>
      <c r="I976">
        <v>68206557</v>
      </c>
      <c r="J976">
        <v>209</v>
      </c>
      <c r="K976">
        <v>40</v>
      </c>
      <c r="L976">
        <v>0</v>
      </c>
      <c r="M976" t="s">
        <v>6371</v>
      </c>
    </row>
    <row r="977" spans="1:13">
      <c r="A977" t="s">
        <v>2510</v>
      </c>
      <c r="B977" t="s">
        <v>2511</v>
      </c>
      <c r="C977">
        <v>44897</v>
      </c>
      <c r="D977">
        <v>137020536</v>
      </c>
      <c r="E977">
        <v>70768</v>
      </c>
      <c r="F977">
        <v>64</v>
      </c>
      <c r="G977">
        <v>5945884</v>
      </c>
      <c r="H977">
        <v>87803</v>
      </c>
      <c r="I977">
        <v>279149939</v>
      </c>
      <c r="J977">
        <v>26</v>
      </c>
      <c r="K977">
        <v>674</v>
      </c>
      <c r="L977">
        <v>0</v>
      </c>
      <c r="M977" t="s">
        <v>6370</v>
      </c>
    </row>
    <row r="978" spans="1:13">
      <c r="A978" t="s">
        <v>2513</v>
      </c>
      <c r="B978" t="s">
        <v>245</v>
      </c>
      <c r="C978">
        <v>44321</v>
      </c>
      <c r="D978">
        <v>567806129</v>
      </c>
      <c r="E978">
        <v>80089</v>
      </c>
      <c r="F978">
        <v>70</v>
      </c>
      <c r="G978">
        <v>99979912</v>
      </c>
      <c r="H978">
        <v>892974</v>
      </c>
      <c r="I978">
        <v>228981445</v>
      </c>
      <c r="J978">
        <v>116</v>
      </c>
      <c r="K978">
        <v>4</v>
      </c>
      <c r="L978">
        <v>0</v>
      </c>
      <c r="M978" t="s">
        <v>6370</v>
      </c>
    </row>
    <row r="979" spans="1:13">
      <c r="A979" t="s">
        <v>2517</v>
      </c>
      <c r="B979" t="s">
        <v>2518</v>
      </c>
      <c r="C979">
        <v>43924</v>
      </c>
      <c r="D979">
        <v>427998483</v>
      </c>
      <c r="E979">
        <v>56978</v>
      </c>
      <c r="F979">
        <v>63</v>
      </c>
      <c r="G979">
        <v>647941340</v>
      </c>
      <c r="H979">
        <v>3317927</v>
      </c>
      <c r="I979">
        <v>420502302</v>
      </c>
      <c r="J979">
        <v>37</v>
      </c>
      <c r="K979">
        <v>7</v>
      </c>
      <c r="L979">
        <v>0</v>
      </c>
      <c r="M979" t="s">
        <v>6371</v>
      </c>
    </row>
    <row r="980" spans="1:13">
      <c r="A980" t="s">
        <v>2520</v>
      </c>
      <c r="B980" t="s">
        <v>583</v>
      </c>
      <c r="C980">
        <v>45086</v>
      </c>
      <c r="D980">
        <v>157881582</v>
      </c>
      <c r="E980">
        <v>23162</v>
      </c>
      <c r="F980">
        <v>67</v>
      </c>
      <c r="G980">
        <v>18883499</v>
      </c>
      <c r="H980">
        <v>172138</v>
      </c>
      <c r="I980">
        <v>46583057</v>
      </c>
      <c r="J980">
        <v>37</v>
      </c>
      <c r="K980">
        <v>14</v>
      </c>
      <c r="L980">
        <v>1</v>
      </c>
      <c r="M980" t="s">
        <v>6370</v>
      </c>
    </row>
    <row r="981" spans="1:13">
      <c r="A981" t="s">
        <v>2521</v>
      </c>
      <c r="B981" t="s">
        <v>24</v>
      </c>
      <c r="C981">
        <v>44162</v>
      </c>
      <c r="D981">
        <v>940796773</v>
      </c>
      <c r="E981">
        <v>89447</v>
      </c>
      <c r="F981">
        <v>77</v>
      </c>
      <c r="G981">
        <v>165497158</v>
      </c>
      <c r="H981">
        <v>1629090</v>
      </c>
      <c r="I981">
        <v>3248071918</v>
      </c>
      <c r="J981">
        <v>74</v>
      </c>
      <c r="K981">
        <v>331</v>
      </c>
      <c r="L981">
        <v>0</v>
      </c>
      <c r="M981" t="s">
        <v>6371</v>
      </c>
    </row>
    <row r="982" spans="1:13">
      <c r="A982" t="s">
        <v>2522</v>
      </c>
      <c r="B982" t="s">
        <v>2362</v>
      </c>
      <c r="C982">
        <v>44147</v>
      </c>
      <c r="D982">
        <v>261261845</v>
      </c>
      <c r="E982">
        <v>25570</v>
      </c>
      <c r="F982">
        <v>65</v>
      </c>
      <c r="G982">
        <v>818241698</v>
      </c>
      <c r="H982">
        <v>5238973</v>
      </c>
      <c r="I982">
        <v>333893267</v>
      </c>
      <c r="J982">
        <v>23</v>
      </c>
      <c r="K982">
        <v>224</v>
      </c>
      <c r="L982">
        <v>0</v>
      </c>
      <c r="M982" t="s">
        <v>6371</v>
      </c>
    </row>
    <row r="983" spans="1:13">
      <c r="A983" t="s">
        <v>2525</v>
      </c>
      <c r="B983" t="s">
        <v>2526</v>
      </c>
      <c r="C983">
        <v>44981</v>
      </c>
      <c r="D983">
        <v>160163510</v>
      </c>
      <c r="E983">
        <v>26131</v>
      </c>
      <c r="F983">
        <v>72</v>
      </c>
      <c r="G983">
        <v>104715948</v>
      </c>
      <c r="H983">
        <v>1179825</v>
      </c>
      <c r="I983">
        <v>32904652</v>
      </c>
      <c r="J983">
        <v>7</v>
      </c>
      <c r="K983">
        <v>26</v>
      </c>
      <c r="L983">
        <v>1</v>
      </c>
      <c r="M983" t="s">
        <v>6370</v>
      </c>
    </row>
    <row r="984" spans="1:13">
      <c r="A984" t="s">
        <v>2528</v>
      </c>
      <c r="B984" t="s">
        <v>141</v>
      </c>
      <c r="C984">
        <v>43790</v>
      </c>
      <c r="D984">
        <v>991885224</v>
      </c>
      <c r="E984">
        <v>101177</v>
      </c>
      <c r="F984">
        <v>64</v>
      </c>
      <c r="G984">
        <v>600051690</v>
      </c>
      <c r="H984">
        <v>4073946</v>
      </c>
      <c r="I984">
        <v>76307093</v>
      </c>
      <c r="J984">
        <v>113</v>
      </c>
      <c r="K984">
        <v>83</v>
      </c>
      <c r="L984">
        <v>1</v>
      </c>
      <c r="M984" t="s">
        <v>6371</v>
      </c>
    </row>
    <row r="985" spans="1:13">
      <c r="A985" t="s">
        <v>2531</v>
      </c>
      <c r="B985" t="s">
        <v>1639</v>
      </c>
      <c r="C985">
        <v>44844</v>
      </c>
      <c r="D985">
        <v>194689239</v>
      </c>
      <c r="E985">
        <v>25411</v>
      </c>
      <c r="F985">
        <v>73</v>
      </c>
      <c r="G985">
        <v>46434511</v>
      </c>
      <c r="H985">
        <v>241641</v>
      </c>
      <c r="I985">
        <v>38821749</v>
      </c>
      <c r="J985">
        <v>24</v>
      </c>
      <c r="K985">
        <v>221</v>
      </c>
      <c r="L985">
        <v>1</v>
      </c>
      <c r="M985" t="s">
        <v>6370</v>
      </c>
    </row>
    <row r="986" spans="1:13">
      <c r="A986" t="s">
        <v>2532</v>
      </c>
      <c r="B986" t="s">
        <v>2533</v>
      </c>
      <c r="C986">
        <v>44169</v>
      </c>
      <c r="D986">
        <v>396135437</v>
      </c>
      <c r="E986">
        <v>124791</v>
      </c>
      <c r="F986">
        <v>64</v>
      </c>
      <c r="G986">
        <v>139825996</v>
      </c>
      <c r="H986">
        <v>1201952</v>
      </c>
      <c r="I986">
        <v>308612495</v>
      </c>
      <c r="J986">
        <v>66</v>
      </c>
      <c r="K986">
        <v>1167</v>
      </c>
      <c r="L986">
        <v>1</v>
      </c>
      <c r="M986" t="s">
        <v>6371</v>
      </c>
    </row>
    <row r="987" spans="1:13">
      <c r="A987" t="s">
        <v>2534</v>
      </c>
      <c r="B987" t="s">
        <v>418</v>
      </c>
      <c r="C987">
        <v>43756</v>
      </c>
      <c r="D987">
        <v>375589989</v>
      </c>
      <c r="E987">
        <v>43389</v>
      </c>
      <c r="F987">
        <v>59</v>
      </c>
      <c r="G987">
        <v>1084403143</v>
      </c>
      <c r="H987">
        <v>5320558</v>
      </c>
      <c r="I987">
        <v>223724566</v>
      </c>
      <c r="J987">
        <v>55</v>
      </c>
      <c r="K987">
        <v>44</v>
      </c>
      <c r="L987">
        <v>0</v>
      </c>
      <c r="M987" t="s">
        <v>6371</v>
      </c>
    </row>
    <row r="988" spans="1:13">
      <c r="A988" t="s">
        <v>2535</v>
      </c>
      <c r="B988" t="s">
        <v>221</v>
      </c>
      <c r="C988">
        <v>45009</v>
      </c>
      <c r="D988">
        <v>188142444</v>
      </c>
      <c r="E988">
        <v>23954</v>
      </c>
      <c r="F988">
        <v>80</v>
      </c>
      <c r="G988">
        <v>29221855</v>
      </c>
      <c r="H988">
        <v>114628</v>
      </c>
      <c r="I988">
        <v>20050268</v>
      </c>
      <c r="J988">
        <v>26</v>
      </c>
      <c r="K988">
        <v>2</v>
      </c>
      <c r="L988">
        <v>0</v>
      </c>
      <c r="M988" t="s">
        <v>6370</v>
      </c>
    </row>
    <row r="989" spans="1:13">
      <c r="A989" t="s">
        <v>2539</v>
      </c>
      <c r="B989" t="s">
        <v>637</v>
      </c>
      <c r="C989">
        <v>44851</v>
      </c>
      <c r="D989">
        <v>458713465</v>
      </c>
      <c r="E989">
        <v>29686</v>
      </c>
      <c r="F989">
        <v>70</v>
      </c>
      <c r="G989">
        <v>263768312</v>
      </c>
      <c r="H989">
        <v>4141652</v>
      </c>
      <c r="I989">
        <v>1964836293</v>
      </c>
      <c r="J989">
        <v>23</v>
      </c>
      <c r="K989">
        <v>128</v>
      </c>
      <c r="L989">
        <v>0</v>
      </c>
      <c r="M989" t="s">
        <v>6370</v>
      </c>
    </row>
    <row r="990" spans="1:13">
      <c r="A990" t="s">
        <v>2540</v>
      </c>
      <c r="B990" t="s">
        <v>2541</v>
      </c>
      <c r="C990">
        <v>42419</v>
      </c>
      <c r="D990">
        <v>1121107262</v>
      </c>
      <c r="E990">
        <v>193004</v>
      </c>
      <c r="F990">
        <v>75</v>
      </c>
      <c r="G990">
        <v>638330025</v>
      </c>
      <c r="H990">
        <v>4250668</v>
      </c>
      <c r="I990">
        <v>188481260</v>
      </c>
      <c r="J990">
        <v>305</v>
      </c>
      <c r="K990">
        <v>163</v>
      </c>
      <c r="L990">
        <v>0</v>
      </c>
      <c r="M990" t="s">
        <v>6371</v>
      </c>
    </row>
    <row r="991" spans="1:13">
      <c r="A991" t="s">
        <v>2549</v>
      </c>
      <c r="B991" t="s">
        <v>2550</v>
      </c>
      <c r="C991">
        <v>43490</v>
      </c>
      <c r="D991">
        <v>399778802</v>
      </c>
      <c r="E991">
        <v>50441</v>
      </c>
      <c r="F991">
        <v>66</v>
      </c>
      <c r="G991">
        <v>271330319</v>
      </c>
      <c r="H991">
        <v>1805049</v>
      </c>
      <c r="I991">
        <v>109246978</v>
      </c>
      <c r="J991">
        <v>56</v>
      </c>
      <c r="K991">
        <v>174</v>
      </c>
      <c r="L991">
        <v>0</v>
      </c>
      <c r="M991" t="s">
        <v>6371</v>
      </c>
    </row>
    <row r="992" spans="1:13">
      <c r="A992" t="s">
        <v>2552</v>
      </c>
      <c r="B992" t="s">
        <v>2553</v>
      </c>
      <c r="C992">
        <v>45068</v>
      </c>
      <c r="D992">
        <v>263851286</v>
      </c>
      <c r="E992">
        <v>17657</v>
      </c>
      <c r="F992">
        <v>73</v>
      </c>
      <c r="G992">
        <v>161653032</v>
      </c>
      <c r="H992">
        <v>3135324</v>
      </c>
      <c r="I992">
        <v>483823339</v>
      </c>
      <c r="J992">
        <v>18</v>
      </c>
      <c r="K992">
        <v>28</v>
      </c>
      <c r="L992">
        <v>0</v>
      </c>
      <c r="M992" t="s">
        <v>6370</v>
      </c>
    </row>
    <row r="993" spans="1:13">
      <c r="A993" t="s">
        <v>2554</v>
      </c>
      <c r="B993" t="s">
        <v>631</v>
      </c>
      <c r="C993">
        <v>43329</v>
      </c>
      <c r="D993">
        <v>1036104210</v>
      </c>
      <c r="E993">
        <v>125480</v>
      </c>
      <c r="F993">
        <v>69</v>
      </c>
      <c r="G993">
        <v>656926852</v>
      </c>
      <c r="H993">
        <v>3449298</v>
      </c>
      <c r="I993">
        <v>27087495</v>
      </c>
      <c r="J993">
        <v>186</v>
      </c>
      <c r="K993">
        <v>75</v>
      </c>
      <c r="L993">
        <v>0</v>
      </c>
      <c r="M993" t="s">
        <v>6371</v>
      </c>
    </row>
    <row r="994" spans="1:13">
      <c r="A994" t="s">
        <v>2555</v>
      </c>
      <c r="B994" t="s">
        <v>849</v>
      </c>
      <c r="C994">
        <v>44239</v>
      </c>
      <c r="D994">
        <v>439034558</v>
      </c>
      <c r="E994">
        <v>90145</v>
      </c>
      <c r="F994">
        <v>64</v>
      </c>
      <c r="G994">
        <v>115408379</v>
      </c>
      <c r="H994">
        <v>1213873</v>
      </c>
      <c r="I994">
        <v>296160904</v>
      </c>
      <c r="J994">
        <v>130</v>
      </c>
      <c r="K994">
        <v>105</v>
      </c>
      <c r="L994">
        <v>0</v>
      </c>
      <c r="M994" t="s">
        <v>6370</v>
      </c>
    </row>
    <row r="995" spans="1:13">
      <c r="A995" t="s">
        <v>2556</v>
      </c>
      <c r="B995" t="s">
        <v>631</v>
      </c>
      <c r="C995">
        <v>40867</v>
      </c>
      <c r="D995">
        <v>1128783268</v>
      </c>
      <c r="E995">
        <v>167396</v>
      </c>
      <c r="F995">
        <v>79</v>
      </c>
      <c r="G995">
        <v>1029118874</v>
      </c>
      <c r="H995">
        <v>6969569</v>
      </c>
      <c r="I995">
        <v>763486350</v>
      </c>
      <c r="J995">
        <v>108</v>
      </c>
      <c r="K995">
        <v>19</v>
      </c>
      <c r="L995">
        <v>0</v>
      </c>
      <c r="M995" t="s">
        <v>6371</v>
      </c>
    </row>
    <row r="996" spans="1:13">
      <c r="A996" t="s">
        <v>2563</v>
      </c>
      <c r="B996" t="s">
        <v>301</v>
      </c>
      <c r="C996">
        <v>44957</v>
      </c>
      <c r="D996">
        <v>173756454</v>
      </c>
      <c r="E996">
        <v>32550</v>
      </c>
      <c r="F996">
        <v>68</v>
      </c>
      <c r="G996">
        <v>16950068</v>
      </c>
      <c r="H996">
        <v>90473</v>
      </c>
      <c r="I996">
        <v>233214006</v>
      </c>
      <c r="J996">
        <v>18</v>
      </c>
      <c r="K996">
        <v>32</v>
      </c>
      <c r="L996">
        <v>0</v>
      </c>
      <c r="M996" t="s">
        <v>6370</v>
      </c>
    </row>
    <row r="997" spans="1:13">
      <c r="A997" t="s">
        <v>2566</v>
      </c>
      <c r="B997" t="s">
        <v>2567</v>
      </c>
      <c r="C997">
        <v>45023</v>
      </c>
      <c r="D997">
        <v>46431158</v>
      </c>
      <c r="E997">
        <v>23723</v>
      </c>
      <c r="F997">
        <v>60</v>
      </c>
      <c r="G997">
        <v>30482110</v>
      </c>
      <c r="H997">
        <v>207290</v>
      </c>
      <c r="I997">
        <v>254178400</v>
      </c>
      <c r="J997">
        <v>19</v>
      </c>
      <c r="K997">
        <v>56</v>
      </c>
      <c r="L997">
        <v>0</v>
      </c>
      <c r="M997" t="s">
        <v>6370</v>
      </c>
    </row>
    <row r="998" spans="1:13">
      <c r="A998" t="s">
        <v>2572</v>
      </c>
      <c r="B998" t="s">
        <v>697</v>
      </c>
      <c r="C998">
        <v>44421</v>
      </c>
      <c r="D998">
        <v>233661226</v>
      </c>
      <c r="E998">
        <v>44552</v>
      </c>
      <c r="F998">
        <v>60</v>
      </c>
      <c r="G998">
        <v>179525477</v>
      </c>
      <c r="H998">
        <v>4809845</v>
      </c>
      <c r="I998">
        <v>4078323042</v>
      </c>
      <c r="J998">
        <v>13</v>
      </c>
      <c r="K998">
        <v>152</v>
      </c>
      <c r="L998">
        <v>0</v>
      </c>
      <c r="M998" t="s">
        <v>6370</v>
      </c>
    </row>
    <row r="999" spans="1:13">
      <c r="A999" t="s">
        <v>2576</v>
      </c>
      <c r="B999" t="s">
        <v>51</v>
      </c>
      <c r="C999">
        <v>43495</v>
      </c>
      <c r="D999">
        <v>1014870547</v>
      </c>
      <c r="E999">
        <v>114243</v>
      </c>
      <c r="F999">
        <v>68</v>
      </c>
      <c r="G999">
        <v>574257361</v>
      </c>
      <c r="H999">
        <v>9631821</v>
      </c>
      <c r="I999">
        <v>1519293340</v>
      </c>
      <c r="J999">
        <v>122</v>
      </c>
      <c r="K999">
        <v>111</v>
      </c>
      <c r="L999">
        <v>0</v>
      </c>
      <c r="M999" t="s">
        <v>6371</v>
      </c>
    </row>
    <row r="1000" spans="1:13">
      <c r="A1000" t="s">
        <v>2581</v>
      </c>
      <c r="B1000" t="s">
        <v>2272</v>
      </c>
      <c r="C1000">
        <v>45000</v>
      </c>
      <c r="D1000">
        <v>222975417</v>
      </c>
      <c r="E1000">
        <v>36832</v>
      </c>
      <c r="F1000">
        <v>71</v>
      </c>
      <c r="G1000">
        <v>45543286</v>
      </c>
      <c r="H1000">
        <v>773400</v>
      </c>
      <c r="I1000">
        <v>664995622</v>
      </c>
      <c r="J1000">
        <v>2</v>
      </c>
      <c r="K1000">
        <v>20</v>
      </c>
      <c r="L1000">
        <v>1</v>
      </c>
      <c r="M1000" t="s">
        <v>6370</v>
      </c>
    </row>
    <row r="1001" spans="1:13">
      <c r="A1001" t="s">
        <v>2585</v>
      </c>
      <c r="B1001" t="s">
        <v>449</v>
      </c>
      <c r="C1001">
        <v>43070</v>
      </c>
      <c r="D1001">
        <v>706489684</v>
      </c>
      <c r="E1001">
        <v>169855</v>
      </c>
      <c r="F1001">
        <v>75</v>
      </c>
      <c r="G1001">
        <v>755884858</v>
      </c>
      <c r="H1001">
        <v>3716581</v>
      </c>
      <c r="I1001">
        <v>109113917</v>
      </c>
      <c r="J1001">
        <v>83</v>
      </c>
      <c r="K1001">
        <v>40</v>
      </c>
      <c r="L1001">
        <v>1</v>
      </c>
      <c r="M1001" t="s">
        <v>6371</v>
      </c>
    </row>
    <row r="1002" spans="1:13">
      <c r="A1002" t="s">
        <v>2586</v>
      </c>
      <c r="B1002" t="s">
        <v>619</v>
      </c>
      <c r="C1002">
        <v>44078</v>
      </c>
      <c r="D1002">
        <v>584776407</v>
      </c>
      <c r="E1002">
        <v>77768</v>
      </c>
      <c r="F1002">
        <v>66</v>
      </c>
      <c r="G1002">
        <v>634293431</v>
      </c>
      <c r="H1002">
        <v>2732963</v>
      </c>
      <c r="I1002">
        <v>53047506</v>
      </c>
      <c r="J1002">
        <v>91</v>
      </c>
      <c r="K1002">
        <v>26</v>
      </c>
      <c r="L1002">
        <v>0</v>
      </c>
      <c r="M1002" t="s">
        <v>6371</v>
      </c>
    </row>
    <row r="1003" spans="1:13">
      <c r="A1003" t="s">
        <v>2587</v>
      </c>
      <c r="B1003" t="s">
        <v>2588</v>
      </c>
      <c r="C1003">
        <v>43609</v>
      </c>
      <c r="D1003">
        <v>826685494</v>
      </c>
      <c r="E1003">
        <v>106975</v>
      </c>
      <c r="F1003">
        <v>76</v>
      </c>
      <c r="G1003">
        <v>353174602</v>
      </c>
      <c r="H1003">
        <v>2826209</v>
      </c>
      <c r="I1003">
        <v>4653743727</v>
      </c>
      <c r="J1003">
        <v>39</v>
      </c>
      <c r="K1003">
        <v>9</v>
      </c>
      <c r="L1003">
        <v>0</v>
      </c>
      <c r="M1003" t="s">
        <v>6371</v>
      </c>
    </row>
    <row r="1004" spans="1:13">
      <c r="A1004" t="s">
        <v>2589</v>
      </c>
      <c r="B1004" t="s">
        <v>2590</v>
      </c>
      <c r="C1004">
        <v>43315</v>
      </c>
      <c r="D1004">
        <v>502147027</v>
      </c>
      <c r="E1004">
        <v>69350</v>
      </c>
      <c r="F1004">
        <v>66</v>
      </c>
      <c r="G1004">
        <v>543883053</v>
      </c>
      <c r="H1004">
        <v>3896527</v>
      </c>
      <c r="I1004">
        <v>208386139</v>
      </c>
      <c r="J1004">
        <v>64</v>
      </c>
      <c r="K1004">
        <v>27</v>
      </c>
      <c r="L1004">
        <v>0</v>
      </c>
      <c r="M1004" t="s">
        <v>6371</v>
      </c>
    </row>
    <row r="1005" spans="1:13">
      <c r="A1005" t="s">
        <v>2597</v>
      </c>
      <c r="B1005" t="s">
        <v>141</v>
      </c>
      <c r="C1005">
        <v>44687</v>
      </c>
      <c r="D1005">
        <v>591704263</v>
      </c>
      <c r="E1005">
        <v>65115</v>
      </c>
      <c r="F1005">
        <v>71</v>
      </c>
      <c r="G1005">
        <v>179847217</v>
      </c>
      <c r="H1005">
        <v>1213273</v>
      </c>
      <c r="I1005">
        <v>266064027</v>
      </c>
      <c r="J1005">
        <v>12</v>
      </c>
      <c r="K1005">
        <v>6</v>
      </c>
      <c r="L1005">
        <v>1</v>
      </c>
      <c r="M1005" t="s">
        <v>6370</v>
      </c>
    </row>
    <row r="1006" spans="1:13">
      <c r="A1006" t="s">
        <v>2601</v>
      </c>
      <c r="B1006" t="s">
        <v>2602</v>
      </c>
      <c r="C1006">
        <v>44701</v>
      </c>
      <c r="D1006">
        <v>193680404</v>
      </c>
      <c r="E1006">
        <v>27754</v>
      </c>
      <c r="F1006">
        <v>65</v>
      </c>
      <c r="G1006">
        <v>893876</v>
      </c>
      <c r="H1006">
        <v>7807</v>
      </c>
      <c r="I1006">
        <v>161738459</v>
      </c>
      <c r="J1006">
        <v>18</v>
      </c>
      <c r="K1006">
        <v>155</v>
      </c>
      <c r="L1006">
        <v>0</v>
      </c>
      <c r="M1006" t="s">
        <v>6370</v>
      </c>
    </row>
    <row r="1007" spans="1:13">
      <c r="A1007" t="s">
        <v>2605</v>
      </c>
      <c r="B1007" t="s">
        <v>187</v>
      </c>
      <c r="C1007">
        <v>44547</v>
      </c>
      <c r="D1007">
        <v>344369903</v>
      </c>
      <c r="E1007">
        <v>66276</v>
      </c>
      <c r="F1007">
        <v>72</v>
      </c>
      <c r="G1007">
        <v>208397689</v>
      </c>
      <c r="H1007">
        <v>1732879</v>
      </c>
      <c r="I1007">
        <v>130467912</v>
      </c>
      <c r="J1007">
        <v>21</v>
      </c>
      <c r="K1007">
        <v>9</v>
      </c>
      <c r="L1007">
        <v>0</v>
      </c>
      <c r="M1007" t="s">
        <v>6370</v>
      </c>
    </row>
    <row r="1008" spans="1:13">
      <c r="A1008" t="s">
        <v>2614</v>
      </c>
      <c r="B1008" t="s">
        <v>1062</v>
      </c>
      <c r="C1008">
        <v>43930</v>
      </c>
      <c r="D1008">
        <v>527632887</v>
      </c>
      <c r="E1008">
        <v>84301</v>
      </c>
      <c r="F1008">
        <v>58</v>
      </c>
      <c r="G1008">
        <v>395922237</v>
      </c>
      <c r="H1008">
        <v>2379259</v>
      </c>
      <c r="I1008">
        <v>479492465</v>
      </c>
      <c r="J1008">
        <v>122</v>
      </c>
      <c r="K1008">
        <v>47</v>
      </c>
      <c r="L1008">
        <v>1</v>
      </c>
      <c r="M1008" t="s">
        <v>6371</v>
      </c>
    </row>
    <row r="1009" spans="1:13">
      <c r="A1009" t="s">
        <v>2619</v>
      </c>
      <c r="B1009" t="s">
        <v>444</v>
      </c>
      <c r="C1009">
        <v>43539</v>
      </c>
      <c r="D1009">
        <v>580054244</v>
      </c>
      <c r="E1009">
        <v>72991</v>
      </c>
      <c r="F1009">
        <v>72</v>
      </c>
      <c r="G1009">
        <v>994008600</v>
      </c>
      <c r="H1009">
        <v>4660138</v>
      </c>
      <c r="I1009">
        <v>404797553</v>
      </c>
      <c r="J1009">
        <v>26</v>
      </c>
      <c r="K1009">
        <v>20</v>
      </c>
      <c r="L1009">
        <v>0</v>
      </c>
      <c r="M1009" t="s">
        <v>6371</v>
      </c>
    </row>
    <row r="1010" spans="1:13">
      <c r="A1010" t="s">
        <v>2620</v>
      </c>
      <c r="B1010" t="s">
        <v>357</v>
      </c>
      <c r="C1010">
        <v>42977</v>
      </c>
      <c r="D1010">
        <v>1206495254</v>
      </c>
      <c r="E1010">
        <v>92624</v>
      </c>
      <c r="F1010">
        <v>68</v>
      </c>
      <c r="G1010">
        <v>729438090</v>
      </c>
      <c r="H1010">
        <v>3360678</v>
      </c>
      <c r="I1010">
        <v>50038733</v>
      </c>
      <c r="J1010">
        <v>131</v>
      </c>
      <c r="K1010">
        <v>130</v>
      </c>
      <c r="L1010">
        <v>0</v>
      </c>
      <c r="M1010" t="s">
        <v>6371</v>
      </c>
    </row>
    <row r="1011" spans="1:13">
      <c r="A1011" t="s">
        <v>2629</v>
      </c>
      <c r="B1011" t="s">
        <v>2630</v>
      </c>
      <c r="C1011">
        <v>44790</v>
      </c>
      <c r="D1011">
        <v>170829903</v>
      </c>
      <c r="E1011">
        <v>97012</v>
      </c>
      <c r="F1011">
        <v>68</v>
      </c>
      <c r="G1011">
        <v>20734303</v>
      </c>
      <c r="H1011">
        <v>268271</v>
      </c>
      <c r="I1011">
        <v>125870792</v>
      </c>
      <c r="J1011">
        <v>30</v>
      </c>
      <c r="K1011">
        <v>344</v>
      </c>
      <c r="L1011">
        <v>0</v>
      </c>
      <c r="M1011" t="s">
        <v>6370</v>
      </c>
    </row>
    <row r="1012" spans="1:13">
      <c r="A1012" t="s">
        <v>2632</v>
      </c>
      <c r="B1012" t="s">
        <v>2633</v>
      </c>
      <c r="C1012">
        <v>45378</v>
      </c>
      <c r="D1012">
        <v>92573075</v>
      </c>
      <c r="E1012">
        <v>9510</v>
      </c>
      <c r="F1012">
        <v>80</v>
      </c>
      <c r="G1012">
        <v>639184</v>
      </c>
      <c r="H1012">
        <v>11248</v>
      </c>
      <c r="I1012">
        <v>102900</v>
      </c>
      <c r="J1012">
        <v>31</v>
      </c>
      <c r="K1012">
        <v>177</v>
      </c>
      <c r="L1012">
        <v>1</v>
      </c>
      <c r="M1012" t="s">
        <v>6370</v>
      </c>
    </row>
    <row r="1013" spans="1:13">
      <c r="A1013" t="s">
        <v>2634</v>
      </c>
      <c r="B1013" t="s">
        <v>2451</v>
      </c>
      <c r="C1013">
        <v>44708</v>
      </c>
      <c r="D1013">
        <v>225128269</v>
      </c>
      <c r="E1013">
        <v>23133</v>
      </c>
      <c r="F1013">
        <v>71</v>
      </c>
      <c r="G1013">
        <v>6417626</v>
      </c>
      <c r="H1013">
        <v>36749</v>
      </c>
      <c r="I1013">
        <v>33305600</v>
      </c>
      <c r="J1013">
        <v>26</v>
      </c>
      <c r="K1013">
        <v>138</v>
      </c>
      <c r="L1013">
        <v>0</v>
      </c>
      <c r="M1013" t="s">
        <v>6370</v>
      </c>
    </row>
    <row r="1014" spans="1:13">
      <c r="A1014" t="s">
        <v>2640</v>
      </c>
      <c r="B1014" t="s">
        <v>357</v>
      </c>
      <c r="C1014">
        <v>40867</v>
      </c>
      <c r="D1014">
        <v>1365755853</v>
      </c>
      <c r="E1014">
        <v>183681</v>
      </c>
      <c r="F1014">
        <v>74</v>
      </c>
      <c r="G1014">
        <v>1285233400</v>
      </c>
      <c r="H1014">
        <v>8881918</v>
      </c>
      <c r="I1014">
        <v>694003171</v>
      </c>
      <c r="J1014">
        <v>40</v>
      </c>
      <c r="K1014">
        <v>98</v>
      </c>
      <c r="L1014">
        <v>0</v>
      </c>
      <c r="M1014" t="s">
        <v>6371</v>
      </c>
    </row>
    <row r="1015" spans="1:13">
      <c r="A1015" t="s">
        <v>2643</v>
      </c>
      <c r="B1015" t="s">
        <v>252</v>
      </c>
      <c r="C1015">
        <v>42996</v>
      </c>
      <c r="D1015">
        <v>632727904</v>
      </c>
      <c r="E1015">
        <v>26053</v>
      </c>
      <c r="F1015">
        <v>63</v>
      </c>
      <c r="G1015">
        <v>1758381885</v>
      </c>
      <c r="H1015">
        <v>26790883</v>
      </c>
      <c r="I1015">
        <v>537359844</v>
      </c>
      <c r="J1015">
        <v>34</v>
      </c>
      <c r="K1015">
        <v>8</v>
      </c>
      <c r="L1015">
        <v>0</v>
      </c>
      <c r="M1015" t="s">
        <v>6371</v>
      </c>
    </row>
    <row r="1016" spans="1:13">
      <c r="A1016" t="s">
        <v>2647</v>
      </c>
      <c r="B1016" t="s">
        <v>170</v>
      </c>
      <c r="C1016">
        <v>44280</v>
      </c>
      <c r="D1016">
        <v>304116211</v>
      </c>
      <c r="E1016">
        <v>21517</v>
      </c>
      <c r="F1016">
        <v>72</v>
      </c>
      <c r="G1016">
        <v>692863553</v>
      </c>
      <c r="H1016">
        <v>2439195</v>
      </c>
      <c r="I1016">
        <v>184413760</v>
      </c>
      <c r="J1016">
        <v>32</v>
      </c>
      <c r="K1016">
        <v>105</v>
      </c>
      <c r="L1016">
        <v>0</v>
      </c>
      <c r="M1016" t="s">
        <v>6370</v>
      </c>
    </row>
    <row r="1017" spans="1:13">
      <c r="A1017" t="s">
        <v>2652</v>
      </c>
      <c r="B1017" t="s">
        <v>2653</v>
      </c>
      <c r="C1017">
        <v>44974</v>
      </c>
      <c r="D1017">
        <v>229993968</v>
      </c>
      <c r="E1017">
        <v>29447</v>
      </c>
      <c r="F1017">
        <v>68</v>
      </c>
      <c r="G1017">
        <v>25068301</v>
      </c>
      <c r="H1017">
        <v>605989</v>
      </c>
      <c r="I1017">
        <v>303361656</v>
      </c>
      <c r="J1017">
        <v>56</v>
      </c>
      <c r="K1017">
        <v>356</v>
      </c>
      <c r="L1017">
        <v>0</v>
      </c>
      <c r="M1017" t="s">
        <v>6370</v>
      </c>
    </row>
    <row r="1018" spans="1:13">
      <c r="A1018" t="s">
        <v>2654</v>
      </c>
      <c r="B1018" t="s">
        <v>2655</v>
      </c>
      <c r="C1018">
        <v>44566</v>
      </c>
      <c r="D1018">
        <v>437029775</v>
      </c>
      <c r="E1018">
        <v>71202</v>
      </c>
      <c r="F1018">
        <v>67</v>
      </c>
      <c r="G1018">
        <v>60320365</v>
      </c>
      <c r="H1018">
        <v>602827</v>
      </c>
      <c r="I1018">
        <v>261236772</v>
      </c>
      <c r="J1018">
        <v>59</v>
      </c>
      <c r="K1018">
        <v>927</v>
      </c>
      <c r="L1018">
        <v>0</v>
      </c>
      <c r="M1018" t="s">
        <v>6370</v>
      </c>
    </row>
    <row r="1019" spans="1:13">
      <c r="A1019" t="s">
        <v>2659</v>
      </c>
      <c r="B1019" t="s">
        <v>330</v>
      </c>
      <c r="C1019">
        <v>44400</v>
      </c>
      <c r="D1019">
        <v>499085551</v>
      </c>
      <c r="E1019">
        <v>64967</v>
      </c>
      <c r="F1019">
        <v>62</v>
      </c>
      <c r="G1019">
        <v>189120015</v>
      </c>
      <c r="H1019">
        <v>2445070</v>
      </c>
      <c r="I1019">
        <v>864218422</v>
      </c>
      <c r="J1019">
        <v>125</v>
      </c>
      <c r="K1019">
        <v>20</v>
      </c>
      <c r="L1019">
        <v>0</v>
      </c>
      <c r="M1019" t="s">
        <v>6370</v>
      </c>
    </row>
    <row r="1020" spans="1:13">
      <c r="A1020" t="s">
        <v>2662</v>
      </c>
      <c r="B1020" t="s">
        <v>2663</v>
      </c>
      <c r="C1020">
        <v>45135</v>
      </c>
      <c r="D1020">
        <v>71722674</v>
      </c>
      <c r="E1020">
        <v>15522</v>
      </c>
      <c r="F1020">
        <v>68</v>
      </c>
      <c r="G1020">
        <v>25459927</v>
      </c>
      <c r="H1020">
        <v>162133</v>
      </c>
      <c r="I1020">
        <v>18182823</v>
      </c>
      <c r="J1020">
        <v>43</v>
      </c>
      <c r="K1020">
        <v>94</v>
      </c>
      <c r="L1020">
        <v>0</v>
      </c>
      <c r="M1020" t="s">
        <v>6370</v>
      </c>
    </row>
    <row r="1021" spans="1:13">
      <c r="A1021" t="s">
        <v>2664</v>
      </c>
      <c r="B1021" t="s">
        <v>2665</v>
      </c>
      <c r="C1021">
        <v>44306</v>
      </c>
      <c r="D1021">
        <v>4224438</v>
      </c>
      <c r="E1021">
        <v>2333</v>
      </c>
      <c r="F1021">
        <v>31</v>
      </c>
      <c r="G1021">
        <v>4404312</v>
      </c>
      <c r="H1021">
        <v>94056</v>
      </c>
      <c r="I1021">
        <v>10173667723</v>
      </c>
      <c r="J1021">
        <v>3</v>
      </c>
      <c r="K1021">
        <v>205</v>
      </c>
      <c r="L1021">
        <v>0</v>
      </c>
      <c r="M1021" t="s">
        <v>6370</v>
      </c>
    </row>
    <row r="1022" spans="1:13">
      <c r="A1022" t="s">
        <v>2666</v>
      </c>
      <c r="B1022" t="s">
        <v>2667</v>
      </c>
      <c r="C1022">
        <v>42692</v>
      </c>
      <c r="D1022">
        <v>611088459</v>
      </c>
      <c r="E1022">
        <v>48476</v>
      </c>
      <c r="F1022">
        <v>67</v>
      </c>
      <c r="G1022">
        <v>1505578850</v>
      </c>
      <c r="H1022">
        <v>5184385</v>
      </c>
      <c r="I1022">
        <v>149410833</v>
      </c>
      <c r="J1022">
        <v>87</v>
      </c>
      <c r="K1022">
        <v>382</v>
      </c>
      <c r="L1022">
        <v>0</v>
      </c>
      <c r="M1022" t="s">
        <v>6371</v>
      </c>
    </row>
    <row r="1023" spans="1:13">
      <c r="A1023" t="s">
        <v>2669</v>
      </c>
      <c r="B1023" t="s">
        <v>380</v>
      </c>
      <c r="C1023">
        <v>44757</v>
      </c>
      <c r="D1023">
        <v>304386086</v>
      </c>
      <c r="E1023">
        <v>69159</v>
      </c>
      <c r="F1023">
        <v>72</v>
      </c>
      <c r="G1023">
        <v>18632784</v>
      </c>
      <c r="H1023">
        <v>257442</v>
      </c>
      <c r="I1023">
        <v>1303631045</v>
      </c>
      <c r="J1023">
        <v>22</v>
      </c>
      <c r="K1023">
        <v>372</v>
      </c>
      <c r="L1023">
        <v>1</v>
      </c>
      <c r="M1023" t="s">
        <v>6370</v>
      </c>
    </row>
    <row r="1024" spans="1:13">
      <c r="A1024" t="s">
        <v>154</v>
      </c>
      <c r="B1024" t="s">
        <v>155</v>
      </c>
      <c r="C1024">
        <v>36823</v>
      </c>
      <c r="D1024">
        <v>2045512421</v>
      </c>
      <c r="E1024">
        <v>324745</v>
      </c>
      <c r="F1024">
        <v>82</v>
      </c>
      <c r="G1024">
        <v>2375021286</v>
      </c>
      <c r="H1024">
        <v>17765456</v>
      </c>
      <c r="I1024">
        <v>729532806</v>
      </c>
      <c r="J1024">
        <v>16</v>
      </c>
      <c r="K1024">
        <v>357</v>
      </c>
      <c r="L1024">
        <v>0</v>
      </c>
      <c r="M1024" t="s">
        <v>6372</v>
      </c>
    </row>
    <row r="1025" spans="1:13">
      <c r="A1025" t="s">
        <v>2674</v>
      </c>
      <c r="B1025" t="s">
        <v>2071</v>
      </c>
      <c r="C1025">
        <v>42517</v>
      </c>
      <c r="D1025">
        <v>697574595</v>
      </c>
      <c r="E1025">
        <v>60309</v>
      </c>
      <c r="F1025">
        <v>69</v>
      </c>
      <c r="G1025">
        <v>1691997312</v>
      </c>
      <c r="H1025">
        <v>4789339</v>
      </c>
      <c r="I1025">
        <v>945038658</v>
      </c>
      <c r="J1025">
        <v>86</v>
      </c>
      <c r="K1025">
        <v>44</v>
      </c>
      <c r="L1025">
        <v>0</v>
      </c>
      <c r="M1025" t="s">
        <v>6371</v>
      </c>
    </row>
    <row r="1026" spans="1:13">
      <c r="A1026" t="s">
        <v>2675</v>
      </c>
      <c r="B1026" t="s">
        <v>2676</v>
      </c>
      <c r="C1026">
        <v>44043</v>
      </c>
      <c r="D1026">
        <v>627556563</v>
      </c>
      <c r="E1026">
        <v>87091</v>
      </c>
      <c r="F1026">
        <v>67</v>
      </c>
      <c r="G1026">
        <v>315121318</v>
      </c>
      <c r="H1026">
        <v>1921904</v>
      </c>
      <c r="I1026">
        <v>829202200</v>
      </c>
      <c r="J1026">
        <v>110</v>
      </c>
      <c r="K1026">
        <v>93</v>
      </c>
      <c r="L1026">
        <v>0</v>
      </c>
      <c r="M1026" t="s">
        <v>6371</v>
      </c>
    </row>
    <row r="1027" spans="1:13">
      <c r="A1027" t="s">
        <v>2679</v>
      </c>
      <c r="B1027" t="s">
        <v>619</v>
      </c>
      <c r="C1027">
        <v>43993</v>
      </c>
      <c r="D1027">
        <v>508151972</v>
      </c>
      <c r="E1027">
        <v>68478</v>
      </c>
      <c r="F1027">
        <v>56</v>
      </c>
      <c r="G1027">
        <v>585332283</v>
      </c>
      <c r="H1027">
        <v>2893537</v>
      </c>
      <c r="I1027">
        <v>387733644</v>
      </c>
      <c r="J1027">
        <v>68</v>
      </c>
      <c r="K1027">
        <v>64</v>
      </c>
      <c r="L1027">
        <v>0</v>
      </c>
      <c r="M1027" t="s">
        <v>6371</v>
      </c>
    </row>
    <row r="1028" spans="1:13">
      <c r="A1028" t="s">
        <v>2684</v>
      </c>
      <c r="B1028" t="s">
        <v>2685</v>
      </c>
      <c r="C1028">
        <v>45247</v>
      </c>
      <c r="D1028">
        <v>33605864</v>
      </c>
      <c r="E1028">
        <v>12453</v>
      </c>
      <c r="F1028">
        <v>32</v>
      </c>
      <c r="G1028">
        <v>107114515</v>
      </c>
      <c r="H1028">
        <v>805527</v>
      </c>
      <c r="I1028">
        <v>25541775</v>
      </c>
      <c r="J1028">
        <v>4</v>
      </c>
      <c r="K1028">
        <v>5</v>
      </c>
      <c r="L1028">
        <v>1</v>
      </c>
      <c r="M1028" t="s">
        <v>6370</v>
      </c>
    </row>
    <row r="1029" spans="1:13">
      <c r="A1029" t="s">
        <v>2693</v>
      </c>
      <c r="B1029" t="s">
        <v>2694</v>
      </c>
      <c r="C1029">
        <v>43147</v>
      </c>
      <c r="D1029">
        <v>708166969</v>
      </c>
      <c r="E1029">
        <v>58098</v>
      </c>
      <c r="F1029">
        <v>66</v>
      </c>
      <c r="G1029">
        <v>1209951349</v>
      </c>
      <c r="H1029">
        <v>4611513</v>
      </c>
      <c r="I1029">
        <v>263244094</v>
      </c>
      <c r="J1029">
        <v>64</v>
      </c>
      <c r="K1029">
        <v>75</v>
      </c>
      <c r="L1029">
        <v>0</v>
      </c>
      <c r="M1029" t="s">
        <v>6371</v>
      </c>
    </row>
    <row r="1030" spans="1:13">
      <c r="A1030" t="s">
        <v>2702</v>
      </c>
      <c r="B1030" t="s">
        <v>2703</v>
      </c>
      <c r="C1030">
        <v>40909</v>
      </c>
      <c r="D1030">
        <v>1273869800</v>
      </c>
      <c r="E1030">
        <v>214511</v>
      </c>
      <c r="F1030">
        <v>76</v>
      </c>
      <c r="G1030">
        <v>370952126</v>
      </c>
      <c r="H1030">
        <v>2847630</v>
      </c>
      <c r="I1030">
        <v>172101115</v>
      </c>
      <c r="J1030">
        <v>148</v>
      </c>
      <c r="K1030">
        <v>353</v>
      </c>
      <c r="L1030">
        <v>0</v>
      </c>
      <c r="M1030" t="s">
        <v>6371</v>
      </c>
    </row>
    <row r="1031" spans="1:13">
      <c r="A1031" t="s">
        <v>2706</v>
      </c>
      <c r="B1031" t="s">
        <v>601</v>
      </c>
      <c r="C1031">
        <v>44533</v>
      </c>
      <c r="D1031">
        <v>171060866</v>
      </c>
      <c r="E1031">
        <v>62420</v>
      </c>
      <c r="F1031">
        <v>62</v>
      </c>
      <c r="G1031">
        <v>39445207</v>
      </c>
      <c r="H1031">
        <v>832416</v>
      </c>
      <c r="I1031">
        <v>954943543</v>
      </c>
      <c r="J1031">
        <v>17</v>
      </c>
      <c r="K1031">
        <v>529</v>
      </c>
      <c r="L1031">
        <v>0</v>
      </c>
      <c r="M1031" t="s">
        <v>6370</v>
      </c>
    </row>
    <row r="1032" spans="1:13">
      <c r="A1032" t="s">
        <v>2708</v>
      </c>
      <c r="B1032" t="s">
        <v>197</v>
      </c>
      <c r="C1032">
        <v>44232</v>
      </c>
      <c r="D1032">
        <v>595213841</v>
      </c>
      <c r="E1032">
        <v>124555</v>
      </c>
      <c r="F1032">
        <v>77</v>
      </c>
      <c r="G1032">
        <v>47759635</v>
      </c>
      <c r="H1032">
        <v>771300</v>
      </c>
      <c r="I1032">
        <v>640679729</v>
      </c>
      <c r="J1032">
        <v>33</v>
      </c>
      <c r="K1032">
        <v>145</v>
      </c>
      <c r="L1032">
        <v>1</v>
      </c>
      <c r="M1032" t="s">
        <v>6370</v>
      </c>
    </row>
    <row r="1033" spans="1:13">
      <c r="A1033" t="s">
        <v>2711</v>
      </c>
      <c r="B1033" t="s">
        <v>504</v>
      </c>
      <c r="C1033">
        <v>43398</v>
      </c>
      <c r="D1033">
        <v>587673746</v>
      </c>
      <c r="E1033">
        <v>88533</v>
      </c>
      <c r="F1033">
        <v>65</v>
      </c>
      <c r="G1033">
        <v>490164687</v>
      </c>
      <c r="H1033">
        <v>7575841</v>
      </c>
      <c r="I1033">
        <v>15353974</v>
      </c>
      <c r="J1033">
        <v>34</v>
      </c>
      <c r="K1033">
        <v>9</v>
      </c>
      <c r="L1033">
        <v>1</v>
      </c>
      <c r="M1033" t="s">
        <v>6371</v>
      </c>
    </row>
    <row r="1034" spans="1:13">
      <c r="A1034" t="s">
        <v>2714</v>
      </c>
      <c r="B1034" t="s">
        <v>2715</v>
      </c>
      <c r="C1034">
        <v>45064</v>
      </c>
      <c r="D1034">
        <v>142783595</v>
      </c>
      <c r="E1034">
        <v>27586</v>
      </c>
      <c r="F1034">
        <v>43</v>
      </c>
      <c r="G1034">
        <v>39579610</v>
      </c>
      <c r="H1034">
        <v>426906</v>
      </c>
      <c r="I1034">
        <v>266934347</v>
      </c>
      <c r="J1034">
        <v>117</v>
      </c>
      <c r="K1034">
        <v>1135</v>
      </c>
      <c r="L1034">
        <v>0</v>
      </c>
      <c r="M1034" t="s">
        <v>6370</v>
      </c>
    </row>
    <row r="1035" spans="1:13">
      <c r="A1035" t="s">
        <v>2717</v>
      </c>
      <c r="B1035" t="s">
        <v>2718</v>
      </c>
      <c r="C1035">
        <v>44623</v>
      </c>
      <c r="D1035">
        <v>162356099</v>
      </c>
      <c r="E1035">
        <v>67124</v>
      </c>
      <c r="F1035">
        <v>62</v>
      </c>
      <c r="G1035">
        <v>27222424</v>
      </c>
      <c r="H1035">
        <v>253527</v>
      </c>
      <c r="I1035">
        <v>1145039714</v>
      </c>
      <c r="J1035">
        <v>77</v>
      </c>
      <c r="K1035">
        <v>515</v>
      </c>
      <c r="L1035">
        <v>0</v>
      </c>
      <c r="M1035" t="s">
        <v>6370</v>
      </c>
    </row>
    <row r="1036" spans="1:13">
      <c r="A1036" t="s">
        <v>2719</v>
      </c>
      <c r="B1036" t="s">
        <v>61</v>
      </c>
      <c r="C1036">
        <v>41640</v>
      </c>
      <c r="D1036">
        <v>602316735</v>
      </c>
      <c r="E1036">
        <v>64462</v>
      </c>
      <c r="F1036">
        <v>67</v>
      </c>
      <c r="G1036">
        <v>1643019828</v>
      </c>
      <c r="H1036">
        <v>10410620</v>
      </c>
      <c r="I1036">
        <v>998836191</v>
      </c>
      <c r="J1036">
        <v>91</v>
      </c>
      <c r="K1036">
        <v>117</v>
      </c>
      <c r="L1036">
        <v>0</v>
      </c>
      <c r="M1036" t="s">
        <v>6371</v>
      </c>
    </row>
    <row r="1037" spans="1:13">
      <c r="A1037" t="s">
        <v>2721</v>
      </c>
      <c r="B1037" t="s">
        <v>106</v>
      </c>
      <c r="C1037">
        <v>44638</v>
      </c>
      <c r="D1037">
        <v>371288040</v>
      </c>
      <c r="E1037">
        <v>69527</v>
      </c>
      <c r="F1037">
        <v>69</v>
      </c>
      <c r="G1037">
        <v>42623147</v>
      </c>
      <c r="H1037">
        <v>297084</v>
      </c>
      <c r="I1037">
        <v>19793657</v>
      </c>
      <c r="J1037">
        <v>111</v>
      </c>
      <c r="K1037">
        <v>348</v>
      </c>
      <c r="L1037">
        <v>0</v>
      </c>
      <c r="M1037" t="s">
        <v>6370</v>
      </c>
    </row>
    <row r="1038" spans="1:13">
      <c r="A1038" t="s">
        <v>2722</v>
      </c>
      <c r="B1038" t="s">
        <v>301</v>
      </c>
      <c r="C1038">
        <v>44988</v>
      </c>
      <c r="D1038">
        <v>175095439</v>
      </c>
      <c r="E1038">
        <v>21001</v>
      </c>
      <c r="F1038">
        <v>75</v>
      </c>
      <c r="G1038">
        <v>61848993</v>
      </c>
      <c r="H1038">
        <v>311636</v>
      </c>
      <c r="I1038">
        <v>21618436</v>
      </c>
      <c r="J1038">
        <v>25</v>
      </c>
      <c r="K1038">
        <v>21</v>
      </c>
      <c r="L1038">
        <v>0</v>
      </c>
      <c r="M1038" t="s">
        <v>6370</v>
      </c>
    </row>
    <row r="1039" spans="1:13">
      <c r="A1039" t="s">
        <v>1836</v>
      </c>
      <c r="B1039" t="s">
        <v>2723</v>
      </c>
      <c r="C1039">
        <v>44411</v>
      </c>
      <c r="D1039">
        <v>780755736</v>
      </c>
      <c r="E1039">
        <v>107320</v>
      </c>
      <c r="F1039">
        <v>72</v>
      </c>
      <c r="G1039">
        <v>89683527</v>
      </c>
      <c r="H1039">
        <v>493296</v>
      </c>
      <c r="I1039">
        <v>49294071</v>
      </c>
      <c r="J1039">
        <v>97</v>
      </c>
      <c r="K1039">
        <v>129</v>
      </c>
      <c r="L1039">
        <v>1</v>
      </c>
      <c r="M1039" t="s">
        <v>6370</v>
      </c>
    </row>
    <row r="1040" spans="1:13">
      <c r="A1040" t="s">
        <v>2726</v>
      </c>
      <c r="B1040" t="s">
        <v>682</v>
      </c>
      <c r="C1040">
        <v>45040</v>
      </c>
      <c r="D1040">
        <v>210481840</v>
      </c>
      <c r="E1040">
        <v>14690</v>
      </c>
      <c r="F1040">
        <v>67</v>
      </c>
      <c r="G1040">
        <v>209677493</v>
      </c>
      <c r="H1040">
        <v>2906443</v>
      </c>
      <c r="I1040">
        <v>1027127321</v>
      </c>
      <c r="J1040">
        <v>29</v>
      </c>
      <c r="K1040">
        <v>27</v>
      </c>
      <c r="L1040">
        <v>0</v>
      </c>
      <c r="M1040" t="s">
        <v>6370</v>
      </c>
    </row>
    <row r="1041" spans="1:13">
      <c r="A1041" t="s">
        <v>1657</v>
      </c>
      <c r="B1041" t="s">
        <v>133</v>
      </c>
      <c r="C1041">
        <v>44091</v>
      </c>
      <c r="D1041">
        <v>411109963</v>
      </c>
      <c r="E1041">
        <v>53928</v>
      </c>
      <c r="F1041">
        <v>58</v>
      </c>
      <c r="G1041">
        <v>205575225</v>
      </c>
      <c r="H1041">
        <v>1908534</v>
      </c>
      <c r="I1041">
        <v>254269639</v>
      </c>
      <c r="J1041">
        <v>133</v>
      </c>
      <c r="K1041">
        <v>53</v>
      </c>
      <c r="L1041">
        <v>0</v>
      </c>
      <c r="M1041" t="s">
        <v>6371</v>
      </c>
    </row>
    <row r="1042" spans="1:13">
      <c r="A1042" t="s">
        <v>2727</v>
      </c>
      <c r="B1042" t="s">
        <v>2728</v>
      </c>
      <c r="C1042">
        <v>41275</v>
      </c>
      <c r="D1042">
        <v>2188592950</v>
      </c>
      <c r="E1042">
        <v>361827</v>
      </c>
      <c r="F1042">
        <v>81</v>
      </c>
      <c r="G1042">
        <v>457550865</v>
      </c>
      <c r="H1042">
        <v>4610448</v>
      </c>
      <c r="I1042">
        <v>71629637</v>
      </c>
      <c r="J1042">
        <v>149</v>
      </c>
      <c r="K1042">
        <v>71</v>
      </c>
      <c r="L1042">
        <v>0</v>
      </c>
      <c r="M1042" t="s">
        <v>6371</v>
      </c>
    </row>
    <row r="1043" spans="1:13">
      <c r="A1043" t="s">
        <v>2735</v>
      </c>
      <c r="B1043" t="s">
        <v>2736</v>
      </c>
      <c r="C1043">
        <v>40909</v>
      </c>
      <c r="D1043">
        <v>2444335468</v>
      </c>
      <c r="E1043">
        <v>380675</v>
      </c>
      <c r="F1043">
        <v>83</v>
      </c>
      <c r="G1043">
        <v>996981745</v>
      </c>
      <c r="H1043">
        <v>9104648</v>
      </c>
      <c r="I1043">
        <v>714451407</v>
      </c>
      <c r="J1043">
        <v>137</v>
      </c>
      <c r="K1043">
        <v>8</v>
      </c>
      <c r="L1043">
        <v>1</v>
      </c>
      <c r="M1043" t="s">
        <v>6371</v>
      </c>
    </row>
    <row r="1044" spans="1:13">
      <c r="A1044" t="s">
        <v>2737</v>
      </c>
      <c r="B1044" t="s">
        <v>1371</v>
      </c>
      <c r="C1044">
        <v>43196</v>
      </c>
      <c r="D1044">
        <v>449300755</v>
      </c>
      <c r="E1044">
        <v>100823</v>
      </c>
      <c r="F1044">
        <v>65</v>
      </c>
      <c r="G1044">
        <v>1085070267</v>
      </c>
      <c r="H1044">
        <v>6471346</v>
      </c>
      <c r="I1044">
        <v>125615755</v>
      </c>
      <c r="J1044">
        <v>124</v>
      </c>
      <c r="K1044">
        <v>14</v>
      </c>
      <c r="L1044">
        <v>0</v>
      </c>
      <c r="M1044" t="s">
        <v>6371</v>
      </c>
    </row>
    <row r="1045" spans="1:13">
      <c r="A1045" t="s">
        <v>2744</v>
      </c>
      <c r="B1045" t="s">
        <v>2745</v>
      </c>
      <c r="C1045">
        <v>39814</v>
      </c>
      <c r="D1045">
        <v>1477150302</v>
      </c>
      <c r="E1045">
        <v>241550</v>
      </c>
      <c r="F1045">
        <v>79</v>
      </c>
      <c r="G1045">
        <v>1751763286</v>
      </c>
      <c r="H1045">
        <v>7958745</v>
      </c>
      <c r="I1045">
        <v>1166623514</v>
      </c>
      <c r="J1045">
        <v>166</v>
      </c>
      <c r="K1045">
        <v>348</v>
      </c>
      <c r="L1045">
        <v>0</v>
      </c>
      <c r="M1045" t="s">
        <v>6372</v>
      </c>
    </row>
    <row r="1046" spans="1:13">
      <c r="A1046" t="s">
        <v>2748</v>
      </c>
      <c r="B1046" t="s">
        <v>53</v>
      </c>
      <c r="C1046">
        <v>44680</v>
      </c>
      <c r="D1046">
        <v>128787729</v>
      </c>
      <c r="E1046">
        <v>37150</v>
      </c>
      <c r="F1046">
        <v>63</v>
      </c>
      <c r="G1046">
        <v>56487397</v>
      </c>
      <c r="H1046">
        <v>578887</v>
      </c>
      <c r="I1046">
        <v>39913325</v>
      </c>
      <c r="J1046">
        <v>12</v>
      </c>
      <c r="K1046">
        <v>3962</v>
      </c>
      <c r="L1046">
        <v>1</v>
      </c>
      <c r="M1046" t="s">
        <v>6370</v>
      </c>
    </row>
    <row r="1047" spans="1:13">
      <c r="A1047" t="s">
        <v>2749</v>
      </c>
      <c r="B1047" t="s">
        <v>449</v>
      </c>
      <c r="C1047">
        <v>43777</v>
      </c>
      <c r="D1047">
        <v>420627588</v>
      </c>
      <c r="E1047">
        <v>104460</v>
      </c>
      <c r="F1047">
        <v>60</v>
      </c>
      <c r="G1047">
        <v>448194116</v>
      </c>
      <c r="H1047">
        <v>3160800</v>
      </c>
      <c r="I1047">
        <v>225572938</v>
      </c>
      <c r="J1047">
        <v>76</v>
      </c>
      <c r="K1047">
        <v>212</v>
      </c>
      <c r="L1047">
        <v>1</v>
      </c>
      <c r="M1047" t="s">
        <v>6371</v>
      </c>
    </row>
    <row r="1048" spans="1:13">
      <c r="A1048" t="s">
        <v>2750</v>
      </c>
      <c r="B1048" t="s">
        <v>391</v>
      </c>
      <c r="C1048">
        <v>42908</v>
      </c>
      <c r="D1048">
        <v>594775179</v>
      </c>
      <c r="E1048">
        <v>39525</v>
      </c>
      <c r="F1048">
        <v>70</v>
      </c>
      <c r="G1048">
        <v>1658892938</v>
      </c>
      <c r="H1048">
        <v>17870955</v>
      </c>
      <c r="I1048">
        <v>716217499</v>
      </c>
      <c r="J1048">
        <v>28</v>
      </c>
      <c r="K1048">
        <v>4</v>
      </c>
      <c r="L1048">
        <v>0</v>
      </c>
      <c r="M1048" t="s">
        <v>6371</v>
      </c>
    </row>
    <row r="1049" spans="1:13">
      <c r="A1049" t="s">
        <v>2751</v>
      </c>
      <c r="B1049" t="s">
        <v>1188</v>
      </c>
      <c r="C1049">
        <v>42184</v>
      </c>
      <c r="D1049">
        <v>808010338</v>
      </c>
      <c r="E1049">
        <v>130977</v>
      </c>
      <c r="F1049">
        <v>71</v>
      </c>
      <c r="G1049">
        <v>690889020</v>
      </c>
      <c r="H1049">
        <v>4272301</v>
      </c>
      <c r="I1049">
        <v>243314330</v>
      </c>
      <c r="J1049">
        <v>1</v>
      </c>
      <c r="K1049">
        <v>375</v>
      </c>
      <c r="L1049">
        <v>1</v>
      </c>
      <c r="M1049" t="s">
        <v>6371</v>
      </c>
    </row>
    <row r="1050" spans="1:13">
      <c r="A1050" t="s">
        <v>2752</v>
      </c>
      <c r="B1050" t="s">
        <v>281</v>
      </c>
      <c r="C1050">
        <v>45162</v>
      </c>
      <c r="D1050">
        <v>178247858</v>
      </c>
      <c r="E1050">
        <v>12797</v>
      </c>
      <c r="F1050">
        <v>73</v>
      </c>
      <c r="G1050">
        <v>104715392</v>
      </c>
      <c r="H1050">
        <v>352213</v>
      </c>
      <c r="I1050">
        <v>26823518</v>
      </c>
      <c r="J1050">
        <v>17</v>
      </c>
      <c r="K1050">
        <v>212</v>
      </c>
      <c r="L1050">
        <v>0</v>
      </c>
      <c r="M1050" t="s">
        <v>6370</v>
      </c>
    </row>
    <row r="1051" spans="1:13">
      <c r="A1051" t="s">
        <v>2753</v>
      </c>
      <c r="B1051" t="s">
        <v>2253</v>
      </c>
      <c r="C1051">
        <v>44967</v>
      </c>
      <c r="D1051">
        <v>150399875</v>
      </c>
      <c r="E1051">
        <v>24147</v>
      </c>
      <c r="F1051">
        <v>68</v>
      </c>
      <c r="G1051">
        <v>31790864</v>
      </c>
      <c r="H1051">
        <v>197887</v>
      </c>
      <c r="I1051">
        <v>59124615</v>
      </c>
      <c r="J1051">
        <v>58</v>
      </c>
      <c r="K1051">
        <v>93</v>
      </c>
      <c r="L1051">
        <v>0</v>
      </c>
      <c r="M1051" t="s">
        <v>6370</v>
      </c>
    </row>
    <row r="1052" spans="1:13">
      <c r="A1052" t="s">
        <v>2755</v>
      </c>
      <c r="B1052" t="s">
        <v>2756</v>
      </c>
      <c r="C1052">
        <v>45100</v>
      </c>
      <c r="D1052">
        <v>34566972</v>
      </c>
      <c r="E1052">
        <v>14562</v>
      </c>
      <c r="F1052">
        <v>54</v>
      </c>
      <c r="G1052">
        <v>63064761</v>
      </c>
      <c r="H1052">
        <v>306628</v>
      </c>
      <c r="I1052">
        <v>155967629</v>
      </c>
      <c r="J1052">
        <v>17</v>
      </c>
      <c r="K1052">
        <v>4</v>
      </c>
      <c r="L1052">
        <v>1</v>
      </c>
      <c r="M1052" t="s">
        <v>6370</v>
      </c>
    </row>
    <row r="1053" spans="1:13">
      <c r="A1053" t="s">
        <v>2757</v>
      </c>
      <c r="B1053" t="s">
        <v>2758</v>
      </c>
      <c r="C1053">
        <v>45338</v>
      </c>
      <c r="D1053">
        <v>99946842</v>
      </c>
      <c r="E1053">
        <v>9128</v>
      </c>
      <c r="F1053">
        <v>78</v>
      </c>
      <c r="G1053">
        <v>4417747</v>
      </c>
      <c r="H1053">
        <v>54887</v>
      </c>
      <c r="I1053">
        <v>2306041</v>
      </c>
      <c r="J1053">
        <v>21</v>
      </c>
      <c r="K1053">
        <v>58</v>
      </c>
      <c r="L1053">
        <v>0</v>
      </c>
      <c r="M1053" t="s">
        <v>6370</v>
      </c>
    </row>
    <row r="1054" spans="1:13">
      <c r="A1054" t="s">
        <v>910</v>
      </c>
      <c r="B1054" t="s">
        <v>546</v>
      </c>
      <c r="C1054">
        <v>42972</v>
      </c>
      <c r="D1054">
        <v>2123458039</v>
      </c>
      <c r="E1054">
        <v>250221</v>
      </c>
      <c r="F1054">
        <v>77</v>
      </c>
      <c r="G1054">
        <v>333716726</v>
      </c>
      <c r="H1054">
        <v>2350373</v>
      </c>
      <c r="I1054">
        <v>293246122</v>
      </c>
      <c r="J1054">
        <v>6</v>
      </c>
      <c r="K1054">
        <v>155</v>
      </c>
      <c r="L1054">
        <v>1</v>
      </c>
      <c r="M1054" t="s">
        <v>6371</v>
      </c>
    </row>
    <row r="1055" spans="1:13">
      <c r="A1055" t="s">
        <v>2761</v>
      </c>
      <c r="B1055" t="s">
        <v>81</v>
      </c>
      <c r="C1055">
        <v>43504</v>
      </c>
      <c r="D1055">
        <v>975281654</v>
      </c>
      <c r="E1055">
        <v>82431</v>
      </c>
      <c r="F1055">
        <v>69</v>
      </c>
      <c r="G1055">
        <v>672090558</v>
      </c>
      <c r="H1055">
        <v>7230344</v>
      </c>
      <c r="I1055">
        <v>218317192</v>
      </c>
      <c r="J1055">
        <v>74</v>
      </c>
      <c r="K1055">
        <v>263</v>
      </c>
      <c r="L1055">
        <v>1</v>
      </c>
      <c r="M1055" t="s">
        <v>6371</v>
      </c>
    </row>
    <row r="1056" spans="1:13">
      <c r="A1056" t="s">
        <v>2764</v>
      </c>
      <c r="B1056" t="s">
        <v>453</v>
      </c>
      <c r="C1056">
        <v>43434</v>
      </c>
      <c r="D1056">
        <v>942092206</v>
      </c>
      <c r="E1056">
        <v>129847</v>
      </c>
      <c r="F1056">
        <v>68</v>
      </c>
      <c r="G1056">
        <v>561103775</v>
      </c>
      <c r="H1056">
        <v>5753715</v>
      </c>
      <c r="I1056">
        <v>1462282216</v>
      </c>
      <c r="J1056">
        <v>106</v>
      </c>
      <c r="K1056">
        <v>17</v>
      </c>
      <c r="L1056">
        <v>0</v>
      </c>
      <c r="M1056" t="s">
        <v>6371</v>
      </c>
    </row>
    <row r="1057" spans="1:13">
      <c r="A1057" t="s">
        <v>2765</v>
      </c>
      <c r="B1057" t="s">
        <v>1641</v>
      </c>
      <c r="C1057">
        <v>44652</v>
      </c>
      <c r="D1057">
        <v>231258162</v>
      </c>
      <c r="E1057">
        <v>42133</v>
      </c>
      <c r="F1057">
        <v>64</v>
      </c>
      <c r="G1057">
        <v>143774447</v>
      </c>
      <c r="H1057">
        <v>773465</v>
      </c>
      <c r="I1057">
        <v>760223916</v>
      </c>
      <c r="J1057">
        <v>27</v>
      </c>
      <c r="K1057">
        <v>368</v>
      </c>
      <c r="L1057">
        <v>1</v>
      </c>
      <c r="M1057" t="s">
        <v>6370</v>
      </c>
    </row>
    <row r="1058" spans="1:13">
      <c r="A1058" t="s">
        <v>2772</v>
      </c>
      <c r="B1058" t="s">
        <v>360</v>
      </c>
      <c r="C1058">
        <v>43644</v>
      </c>
      <c r="D1058">
        <v>943137389</v>
      </c>
      <c r="E1058">
        <v>117582</v>
      </c>
      <c r="F1058">
        <v>67</v>
      </c>
      <c r="G1058">
        <v>315848540</v>
      </c>
      <c r="H1058">
        <v>1595053</v>
      </c>
      <c r="I1058">
        <v>94552478</v>
      </c>
      <c r="J1058">
        <v>302</v>
      </c>
      <c r="K1058">
        <v>238</v>
      </c>
      <c r="L1058">
        <v>0</v>
      </c>
      <c r="M1058" t="s">
        <v>6371</v>
      </c>
    </row>
    <row r="1059" spans="1:13">
      <c r="A1059" t="s">
        <v>2777</v>
      </c>
      <c r="B1059" t="s">
        <v>1174</v>
      </c>
      <c r="C1059">
        <v>43145</v>
      </c>
      <c r="D1059">
        <v>937339123</v>
      </c>
      <c r="E1059">
        <v>96612</v>
      </c>
      <c r="F1059">
        <v>67</v>
      </c>
      <c r="G1059">
        <v>479514227</v>
      </c>
      <c r="H1059">
        <v>3606789</v>
      </c>
      <c r="I1059">
        <v>56608149</v>
      </c>
      <c r="J1059">
        <v>82</v>
      </c>
      <c r="K1059">
        <v>182</v>
      </c>
      <c r="L1059">
        <v>1</v>
      </c>
      <c r="M1059" t="s">
        <v>6371</v>
      </c>
    </row>
    <row r="1060" spans="1:13">
      <c r="A1060" t="s">
        <v>2779</v>
      </c>
      <c r="B1060" t="s">
        <v>1355</v>
      </c>
      <c r="C1060">
        <v>44131</v>
      </c>
      <c r="D1060">
        <v>432634168</v>
      </c>
      <c r="E1060">
        <v>31429</v>
      </c>
      <c r="F1060">
        <v>59</v>
      </c>
      <c r="G1060">
        <v>699174305</v>
      </c>
      <c r="H1060">
        <v>2537896</v>
      </c>
      <c r="I1060">
        <v>168805311</v>
      </c>
      <c r="J1060">
        <v>16</v>
      </c>
      <c r="K1060">
        <v>134</v>
      </c>
      <c r="L1060">
        <v>0</v>
      </c>
      <c r="M1060" t="s">
        <v>6371</v>
      </c>
    </row>
    <row r="1061" spans="1:13">
      <c r="A1061" t="s">
        <v>2781</v>
      </c>
      <c r="B1061" t="s">
        <v>266</v>
      </c>
      <c r="C1061">
        <v>44337</v>
      </c>
      <c r="D1061">
        <v>884616492</v>
      </c>
      <c r="E1061">
        <v>101479</v>
      </c>
      <c r="F1061">
        <v>77</v>
      </c>
      <c r="G1061">
        <v>211384847</v>
      </c>
      <c r="H1061">
        <v>2822121</v>
      </c>
      <c r="I1061">
        <v>464412661</v>
      </c>
      <c r="J1061">
        <v>32</v>
      </c>
      <c r="K1061">
        <v>7</v>
      </c>
      <c r="L1061">
        <v>0</v>
      </c>
      <c r="M1061" t="s">
        <v>6370</v>
      </c>
    </row>
    <row r="1062" spans="1:13">
      <c r="A1062" t="s">
        <v>2782</v>
      </c>
      <c r="B1062" t="s">
        <v>418</v>
      </c>
      <c r="C1062">
        <v>42468</v>
      </c>
      <c r="D1062">
        <v>355833360</v>
      </c>
      <c r="E1062">
        <v>32831</v>
      </c>
      <c r="F1062">
        <v>57</v>
      </c>
      <c r="G1062">
        <v>1841152614</v>
      </c>
      <c r="H1062">
        <v>6950519</v>
      </c>
      <c r="I1062">
        <v>580818135</v>
      </c>
      <c r="J1062">
        <v>32</v>
      </c>
      <c r="K1062">
        <v>64</v>
      </c>
      <c r="L1062">
        <v>0</v>
      </c>
      <c r="M1062" t="s">
        <v>6371</v>
      </c>
    </row>
    <row r="1063" spans="1:13">
      <c r="A1063" t="s">
        <v>2783</v>
      </c>
      <c r="B1063" t="s">
        <v>981</v>
      </c>
      <c r="C1063">
        <v>42736</v>
      </c>
      <c r="D1063">
        <v>583299836</v>
      </c>
      <c r="E1063">
        <v>52696</v>
      </c>
      <c r="F1063">
        <v>64</v>
      </c>
      <c r="G1063">
        <v>1463687327</v>
      </c>
      <c r="H1063">
        <v>4556113</v>
      </c>
      <c r="I1063">
        <v>107045562</v>
      </c>
      <c r="J1063">
        <v>52</v>
      </c>
      <c r="K1063">
        <v>82</v>
      </c>
      <c r="L1063">
        <v>0</v>
      </c>
      <c r="M1063" t="s">
        <v>6371</v>
      </c>
    </row>
    <row r="1064" spans="1:13">
      <c r="A1064" t="s">
        <v>2784</v>
      </c>
      <c r="B1064" t="s">
        <v>2785</v>
      </c>
      <c r="C1064">
        <v>44855</v>
      </c>
      <c r="D1064">
        <v>52106559</v>
      </c>
      <c r="E1064">
        <v>13612</v>
      </c>
      <c r="F1064">
        <v>61</v>
      </c>
      <c r="G1064">
        <v>70625059</v>
      </c>
      <c r="H1064">
        <v>637218</v>
      </c>
      <c r="I1064">
        <v>81185287</v>
      </c>
      <c r="J1064">
        <v>30</v>
      </c>
      <c r="K1064">
        <v>104</v>
      </c>
      <c r="L1064">
        <v>0</v>
      </c>
      <c r="M1064" t="s">
        <v>6370</v>
      </c>
    </row>
    <row r="1065" spans="1:13">
      <c r="A1065" t="s">
        <v>2786</v>
      </c>
      <c r="B1065" t="s">
        <v>2787</v>
      </c>
      <c r="C1065">
        <v>42223</v>
      </c>
      <c r="D1065">
        <v>1086861259</v>
      </c>
      <c r="E1065">
        <v>228925</v>
      </c>
      <c r="F1065">
        <v>79</v>
      </c>
      <c r="G1065">
        <v>836662907</v>
      </c>
      <c r="H1065">
        <v>8009540</v>
      </c>
      <c r="I1065">
        <v>4201171109</v>
      </c>
      <c r="J1065">
        <v>25</v>
      </c>
      <c r="K1065">
        <v>97</v>
      </c>
      <c r="L1065">
        <v>0</v>
      </c>
      <c r="M1065" t="s">
        <v>6371</v>
      </c>
    </row>
    <row r="1066" spans="1:13">
      <c r="A1066" t="s">
        <v>2790</v>
      </c>
      <c r="B1066" t="s">
        <v>1728</v>
      </c>
      <c r="C1066">
        <v>42454</v>
      </c>
      <c r="D1066">
        <v>1320205697</v>
      </c>
      <c r="E1066">
        <v>124827</v>
      </c>
      <c r="F1066">
        <v>71</v>
      </c>
      <c r="G1066">
        <v>1389678876</v>
      </c>
      <c r="H1066">
        <v>10725384</v>
      </c>
      <c r="I1066">
        <v>191249307</v>
      </c>
      <c r="J1066">
        <v>155</v>
      </c>
      <c r="K1066">
        <v>64</v>
      </c>
      <c r="L1066">
        <v>1</v>
      </c>
      <c r="M1066" t="s">
        <v>6371</v>
      </c>
    </row>
    <row r="1067" spans="1:13">
      <c r="A1067" t="s">
        <v>2792</v>
      </c>
      <c r="B1067" t="s">
        <v>2793</v>
      </c>
      <c r="C1067">
        <v>45128</v>
      </c>
      <c r="D1067">
        <v>36398813</v>
      </c>
      <c r="E1067">
        <v>7606</v>
      </c>
      <c r="F1067">
        <v>62</v>
      </c>
      <c r="G1067">
        <v>51105810</v>
      </c>
      <c r="H1067">
        <v>440385</v>
      </c>
      <c r="I1067">
        <v>30427598</v>
      </c>
      <c r="J1067">
        <v>17</v>
      </c>
      <c r="K1067">
        <v>77</v>
      </c>
      <c r="L1067">
        <v>0</v>
      </c>
      <c r="M1067" t="s">
        <v>6370</v>
      </c>
    </row>
    <row r="1068" spans="1:13">
      <c r="A1068" t="s">
        <v>2805</v>
      </c>
      <c r="B1068" t="s">
        <v>170</v>
      </c>
      <c r="C1068">
        <v>44960</v>
      </c>
      <c r="D1068">
        <v>491242756</v>
      </c>
      <c r="E1068">
        <v>37814</v>
      </c>
      <c r="F1068">
        <v>75</v>
      </c>
      <c r="G1068">
        <v>80668854</v>
      </c>
      <c r="H1068">
        <v>1002368</v>
      </c>
      <c r="I1068">
        <v>77308719</v>
      </c>
      <c r="J1068">
        <v>57</v>
      </c>
      <c r="K1068">
        <v>37</v>
      </c>
      <c r="L1068">
        <v>1</v>
      </c>
      <c r="M1068" t="s">
        <v>6370</v>
      </c>
    </row>
    <row r="1069" spans="1:13">
      <c r="A1069" t="s">
        <v>2811</v>
      </c>
      <c r="B1069" t="s">
        <v>2745</v>
      </c>
      <c r="C1069">
        <v>39814</v>
      </c>
      <c r="D1069">
        <v>1164166623</v>
      </c>
      <c r="E1069">
        <v>262779</v>
      </c>
      <c r="F1069">
        <v>81</v>
      </c>
      <c r="G1069">
        <v>1332702041</v>
      </c>
      <c r="H1069">
        <v>6176607</v>
      </c>
      <c r="I1069">
        <v>225165270</v>
      </c>
      <c r="J1069">
        <v>120</v>
      </c>
      <c r="K1069">
        <v>29</v>
      </c>
      <c r="L1069">
        <v>0</v>
      </c>
      <c r="M1069" t="s">
        <v>6372</v>
      </c>
    </row>
    <row r="1070" spans="1:13">
      <c r="A1070" t="s">
        <v>2820</v>
      </c>
      <c r="B1070" t="s">
        <v>260</v>
      </c>
      <c r="C1070">
        <v>45365</v>
      </c>
      <c r="D1070">
        <v>44441672</v>
      </c>
      <c r="E1070">
        <v>3110</v>
      </c>
      <c r="F1070">
        <v>24</v>
      </c>
      <c r="G1070">
        <v>6534998</v>
      </c>
      <c r="H1070">
        <v>164262</v>
      </c>
      <c r="I1070">
        <v>95682600</v>
      </c>
      <c r="J1070">
        <v>33</v>
      </c>
      <c r="K1070">
        <v>336</v>
      </c>
      <c r="L1070">
        <v>0</v>
      </c>
      <c r="M1070" t="s">
        <v>6370</v>
      </c>
    </row>
    <row r="1071" spans="1:13">
      <c r="A1071" t="s">
        <v>2821</v>
      </c>
      <c r="B1071" t="s">
        <v>1347</v>
      </c>
      <c r="C1071">
        <v>42153</v>
      </c>
      <c r="D1071">
        <v>1293191157</v>
      </c>
      <c r="E1071">
        <v>147868</v>
      </c>
      <c r="F1071">
        <v>72</v>
      </c>
      <c r="G1071">
        <v>606547382</v>
      </c>
      <c r="H1071">
        <v>4505365</v>
      </c>
      <c r="I1071">
        <v>19401692</v>
      </c>
      <c r="J1071">
        <v>209</v>
      </c>
      <c r="K1071">
        <v>448</v>
      </c>
      <c r="L1071">
        <v>0</v>
      </c>
      <c r="M1071" t="s">
        <v>6371</v>
      </c>
    </row>
    <row r="1072" spans="1:13">
      <c r="A1072" t="s">
        <v>2824</v>
      </c>
      <c r="B1072" t="s">
        <v>1217</v>
      </c>
      <c r="C1072">
        <v>43686</v>
      </c>
      <c r="D1072">
        <v>594224324</v>
      </c>
      <c r="E1072">
        <v>50354</v>
      </c>
      <c r="F1072">
        <v>61</v>
      </c>
      <c r="G1072">
        <v>903046839</v>
      </c>
      <c r="H1072">
        <v>6893168</v>
      </c>
      <c r="I1072">
        <v>140587874</v>
      </c>
      <c r="J1072">
        <v>89</v>
      </c>
      <c r="K1072">
        <v>242</v>
      </c>
      <c r="L1072">
        <v>0</v>
      </c>
      <c r="M1072" t="s">
        <v>6371</v>
      </c>
    </row>
    <row r="1073" spans="1:13">
      <c r="A1073" t="s">
        <v>2825</v>
      </c>
      <c r="B1073" t="s">
        <v>2826</v>
      </c>
      <c r="C1073">
        <v>43014</v>
      </c>
      <c r="D1073">
        <v>475786302</v>
      </c>
      <c r="E1073">
        <v>169485</v>
      </c>
      <c r="F1073">
        <v>72</v>
      </c>
      <c r="G1073">
        <v>587498816</v>
      </c>
      <c r="H1073">
        <v>5883117</v>
      </c>
      <c r="I1073">
        <v>1965697775</v>
      </c>
      <c r="J1073">
        <v>62</v>
      </c>
      <c r="K1073">
        <v>74</v>
      </c>
      <c r="L1073">
        <v>0</v>
      </c>
      <c r="M1073" t="s">
        <v>6371</v>
      </c>
    </row>
    <row r="1074" spans="1:13">
      <c r="A1074" t="s">
        <v>2832</v>
      </c>
      <c r="B1074" t="s">
        <v>2833</v>
      </c>
      <c r="C1074">
        <v>44246</v>
      </c>
      <c r="D1074">
        <v>340744110</v>
      </c>
      <c r="E1074">
        <v>34114</v>
      </c>
      <c r="F1074">
        <v>65</v>
      </c>
      <c r="G1074">
        <v>616701633</v>
      </c>
      <c r="H1074">
        <v>3072699</v>
      </c>
      <c r="I1074">
        <v>229127001</v>
      </c>
      <c r="J1074">
        <v>8</v>
      </c>
      <c r="K1074">
        <v>328</v>
      </c>
      <c r="L1074">
        <v>0</v>
      </c>
      <c r="M1074" t="s">
        <v>6370</v>
      </c>
    </row>
    <row r="1075" spans="1:13">
      <c r="A1075" t="s">
        <v>2834</v>
      </c>
      <c r="B1075" t="s">
        <v>2835</v>
      </c>
      <c r="C1075">
        <v>38353</v>
      </c>
      <c r="D1075">
        <v>16326628</v>
      </c>
      <c r="E1075">
        <v>12434</v>
      </c>
      <c r="F1075">
        <v>44</v>
      </c>
      <c r="G1075">
        <v>7603329</v>
      </c>
      <c r="H1075">
        <v>122780</v>
      </c>
      <c r="I1075">
        <v>214843956590</v>
      </c>
      <c r="J1075">
        <v>9</v>
      </c>
      <c r="K1075">
        <v>17</v>
      </c>
      <c r="L1075">
        <v>0</v>
      </c>
      <c r="M1075" t="s">
        <v>6372</v>
      </c>
    </row>
    <row r="1076" spans="1:13">
      <c r="A1076" t="s">
        <v>2836</v>
      </c>
      <c r="B1076" t="s">
        <v>1862</v>
      </c>
      <c r="C1076">
        <v>45012</v>
      </c>
      <c r="D1076">
        <v>141377619</v>
      </c>
      <c r="E1076">
        <v>54114</v>
      </c>
      <c r="F1076">
        <v>66</v>
      </c>
      <c r="G1076">
        <v>20493982</v>
      </c>
      <c r="H1076">
        <v>566751</v>
      </c>
      <c r="I1076">
        <v>4036849</v>
      </c>
      <c r="J1076">
        <v>23</v>
      </c>
      <c r="K1076">
        <v>464</v>
      </c>
      <c r="L1076">
        <v>1</v>
      </c>
      <c r="M1076" t="s">
        <v>6370</v>
      </c>
    </row>
    <row r="1077" spans="1:13">
      <c r="A1077" t="s">
        <v>2837</v>
      </c>
      <c r="B1077" t="s">
        <v>61</v>
      </c>
      <c r="C1077">
        <v>44512</v>
      </c>
      <c r="D1077">
        <v>842558786</v>
      </c>
      <c r="E1077">
        <v>55074</v>
      </c>
      <c r="F1077">
        <v>74</v>
      </c>
      <c r="G1077">
        <v>290178261</v>
      </c>
      <c r="H1077">
        <v>6813320</v>
      </c>
      <c r="I1077">
        <v>743331968</v>
      </c>
      <c r="J1077">
        <v>86</v>
      </c>
      <c r="K1077">
        <v>77</v>
      </c>
      <c r="L1077">
        <v>1</v>
      </c>
      <c r="M1077" t="s">
        <v>6370</v>
      </c>
    </row>
    <row r="1078" spans="1:13">
      <c r="A1078" t="s">
        <v>2842</v>
      </c>
      <c r="B1078" t="s">
        <v>531</v>
      </c>
      <c r="C1078">
        <v>43670</v>
      </c>
      <c r="D1078">
        <v>440181206</v>
      </c>
      <c r="E1078">
        <v>87099</v>
      </c>
      <c r="F1078">
        <v>69</v>
      </c>
      <c r="G1078">
        <v>109575448</v>
      </c>
      <c r="H1078">
        <v>1082713</v>
      </c>
      <c r="I1078">
        <v>7112170</v>
      </c>
      <c r="J1078">
        <v>15</v>
      </c>
      <c r="K1078">
        <v>67</v>
      </c>
      <c r="L1078">
        <v>1</v>
      </c>
      <c r="M1078" t="s">
        <v>6371</v>
      </c>
    </row>
    <row r="1079" spans="1:13">
      <c r="A1079" t="s">
        <v>2849</v>
      </c>
      <c r="B1079" t="s">
        <v>688</v>
      </c>
      <c r="C1079">
        <v>44939</v>
      </c>
      <c r="D1079">
        <v>239288183</v>
      </c>
      <c r="E1079">
        <v>42084</v>
      </c>
      <c r="F1079">
        <v>71</v>
      </c>
      <c r="G1079">
        <v>56033826</v>
      </c>
      <c r="H1079">
        <v>823483</v>
      </c>
      <c r="I1079">
        <v>206096023</v>
      </c>
      <c r="J1079">
        <v>34</v>
      </c>
      <c r="K1079">
        <v>36</v>
      </c>
      <c r="L1079">
        <v>1</v>
      </c>
      <c r="M1079" t="s">
        <v>6370</v>
      </c>
    </row>
    <row r="1080" spans="1:13">
      <c r="A1080" t="s">
        <v>2855</v>
      </c>
      <c r="B1080" t="s">
        <v>81</v>
      </c>
      <c r="C1080">
        <v>42440</v>
      </c>
      <c r="D1080">
        <v>1120622892</v>
      </c>
      <c r="E1080">
        <v>104167</v>
      </c>
      <c r="F1080">
        <v>74</v>
      </c>
      <c r="G1080">
        <v>1005463648</v>
      </c>
      <c r="H1080">
        <v>10636477</v>
      </c>
      <c r="I1080">
        <v>533969522</v>
      </c>
      <c r="J1080">
        <v>90</v>
      </c>
      <c r="K1080">
        <v>93</v>
      </c>
      <c r="L1080">
        <v>0</v>
      </c>
      <c r="M1080" t="s">
        <v>6371</v>
      </c>
    </row>
    <row r="1081" spans="1:13">
      <c r="A1081" t="s">
        <v>2856</v>
      </c>
      <c r="B1081" t="s">
        <v>252</v>
      </c>
      <c r="C1081">
        <v>43882</v>
      </c>
      <c r="D1081">
        <v>452491920</v>
      </c>
      <c r="E1081">
        <v>26714</v>
      </c>
      <c r="F1081">
        <v>64</v>
      </c>
      <c r="G1081">
        <v>945639729</v>
      </c>
      <c r="H1081">
        <v>27589023</v>
      </c>
      <c r="I1081">
        <v>359662248</v>
      </c>
      <c r="J1081">
        <v>20</v>
      </c>
      <c r="K1081">
        <v>15</v>
      </c>
      <c r="L1081">
        <v>0</v>
      </c>
      <c r="M1081" t="s">
        <v>6371</v>
      </c>
    </row>
    <row r="1082" spans="1:13">
      <c r="A1082" t="s">
        <v>2857</v>
      </c>
      <c r="B1082" t="s">
        <v>81</v>
      </c>
      <c r="C1082">
        <v>41640</v>
      </c>
      <c r="D1082">
        <v>863631428</v>
      </c>
      <c r="E1082">
        <v>84796</v>
      </c>
      <c r="F1082">
        <v>70</v>
      </c>
      <c r="G1082">
        <v>1514451986</v>
      </c>
      <c r="H1082">
        <v>7876147</v>
      </c>
      <c r="I1082">
        <v>108204850</v>
      </c>
      <c r="J1082">
        <v>113</v>
      </c>
      <c r="K1082">
        <v>713</v>
      </c>
      <c r="L1082">
        <v>0</v>
      </c>
      <c r="M1082" t="s">
        <v>6371</v>
      </c>
    </row>
    <row r="1083" spans="1:13">
      <c r="A1083" t="s">
        <v>2858</v>
      </c>
      <c r="B1083" t="s">
        <v>688</v>
      </c>
      <c r="C1083">
        <v>44694</v>
      </c>
      <c r="D1083">
        <v>308183607</v>
      </c>
      <c r="E1083">
        <v>57988</v>
      </c>
      <c r="F1083">
        <v>64</v>
      </c>
      <c r="G1083">
        <v>29232672</v>
      </c>
      <c r="H1083">
        <v>460660</v>
      </c>
      <c r="I1083">
        <v>401636873</v>
      </c>
      <c r="J1083">
        <v>70</v>
      </c>
      <c r="K1083">
        <v>629</v>
      </c>
      <c r="L1083">
        <v>0</v>
      </c>
      <c r="M1083" t="s">
        <v>6370</v>
      </c>
    </row>
    <row r="1084" spans="1:13">
      <c r="A1084" t="s">
        <v>2861</v>
      </c>
      <c r="B1084" t="s">
        <v>291</v>
      </c>
      <c r="C1084">
        <v>42902</v>
      </c>
      <c r="D1084">
        <v>894360950</v>
      </c>
      <c r="E1084">
        <v>99270</v>
      </c>
      <c r="F1084">
        <v>66</v>
      </c>
      <c r="G1084">
        <v>73078701</v>
      </c>
      <c r="H1084">
        <v>913440</v>
      </c>
      <c r="I1084">
        <v>324949762</v>
      </c>
      <c r="J1084">
        <v>247</v>
      </c>
      <c r="K1084">
        <v>175</v>
      </c>
      <c r="L1084">
        <v>1</v>
      </c>
      <c r="M1084" t="s">
        <v>6371</v>
      </c>
    </row>
    <row r="1085" spans="1:13">
      <c r="A1085" t="s">
        <v>2862</v>
      </c>
      <c r="B1085" t="s">
        <v>2696</v>
      </c>
      <c r="C1085">
        <v>41275</v>
      </c>
      <c r="D1085">
        <v>1017438306</v>
      </c>
      <c r="E1085">
        <v>174201</v>
      </c>
      <c r="F1085">
        <v>71</v>
      </c>
      <c r="G1085">
        <v>569083040</v>
      </c>
      <c r="H1085">
        <v>3417150</v>
      </c>
      <c r="I1085">
        <v>568058521</v>
      </c>
      <c r="J1085">
        <v>219</v>
      </c>
      <c r="K1085">
        <v>239</v>
      </c>
      <c r="L1085">
        <v>0</v>
      </c>
      <c r="M1085" t="s">
        <v>6371</v>
      </c>
    </row>
    <row r="1086" spans="1:13">
      <c r="A1086" t="s">
        <v>2863</v>
      </c>
      <c r="B1086" t="s">
        <v>47</v>
      </c>
      <c r="C1086">
        <v>45065</v>
      </c>
      <c r="D1086">
        <v>160305133</v>
      </c>
      <c r="E1086">
        <v>35523</v>
      </c>
      <c r="F1086">
        <v>62</v>
      </c>
      <c r="G1086">
        <v>51153469</v>
      </c>
      <c r="H1086">
        <v>760977</v>
      </c>
      <c r="I1086">
        <v>44574455</v>
      </c>
      <c r="J1086">
        <v>54</v>
      </c>
      <c r="K1086">
        <v>916</v>
      </c>
      <c r="L1086">
        <v>1</v>
      </c>
      <c r="M1086" t="s">
        <v>6370</v>
      </c>
    </row>
    <row r="1087" spans="1:13">
      <c r="A1087" t="s">
        <v>2866</v>
      </c>
      <c r="B1087" t="s">
        <v>133</v>
      </c>
      <c r="C1087">
        <v>43665</v>
      </c>
      <c r="D1087">
        <v>972593978</v>
      </c>
      <c r="E1087">
        <v>84347</v>
      </c>
      <c r="F1087">
        <v>62</v>
      </c>
      <c r="G1087">
        <v>489662988</v>
      </c>
      <c r="H1087">
        <v>4540879</v>
      </c>
      <c r="I1087">
        <v>36540464</v>
      </c>
      <c r="J1087">
        <v>130</v>
      </c>
      <c r="K1087">
        <v>67</v>
      </c>
      <c r="L1087">
        <v>0</v>
      </c>
      <c r="M1087" t="s">
        <v>6371</v>
      </c>
    </row>
    <row r="1088" spans="1:13">
      <c r="A1088" t="s">
        <v>2873</v>
      </c>
      <c r="B1088" t="s">
        <v>2874</v>
      </c>
      <c r="C1088">
        <v>44659</v>
      </c>
      <c r="D1088">
        <v>540382129</v>
      </c>
      <c r="E1088">
        <v>67808</v>
      </c>
      <c r="F1088">
        <v>76</v>
      </c>
      <c r="G1088">
        <v>33922247</v>
      </c>
      <c r="H1088">
        <v>572580</v>
      </c>
      <c r="I1088">
        <v>2631370364</v>
      </c>
      <c r="J1088">
        <v>76</v>
      </c>
      <c r="K1088">
        <v>558</v>
      </c>
      <c r="L1088">
        <v>0</v>
      </c>
      <c r="M1088" t="s">
        <v>6370</v>
      </c>
    </row>
    <row r="1089" spans="1:13">
      <c r="A1089" t="s">
        <v>2875</v>
      </c>
      <c r="B1089" t="s">
        <v>912</v>
      </c>
      <c r="C1089">
        <v>42397</v>
      </c>
      <c r="D1089">
        <v>1480311407</v>
      </c>
      <c r="E1089">
        <v>162952</v>
      </c>
      <c r="F1089">
        <v>78</v>
      </c>
      <c r="G1089">
        <v>1013766482</v>
      </c>
      <c r="H1089">
        <v>4126099</v>
      </c>
      <c r="I1089">
        <v>2054878</v>
      </c>
      <c r="J1089">
        <v>134</v>
      </c>
      <c r="K1089">
        <v>71</v>
      </c>
      <c r="L1089">
        <v>1</v>
      </c>
      <c r="M1089" t="s">
        <v>6371</v>
      </c>
    </row>
    <row r="1090" spans="1:13">
      <c r="A1090" t="s">
        <v>2884</v>
      </c>
      <c r="B1090" t="s">
        <v>2167</v>
      </c>
      <c r="C1090">
        <v>42789</v>
      </c>
      <c r="D1090">
        <v>1224136357</v>
      </c>
      <c r="E1090">
        <v>115858</v>
      </c>
      <c r="F1090">
        <v>70</v>
      </c>
      <c r="G1090">
        <v>545665182</v>
      </c>
      <c r="H1090">
        <v>3985831</v>
      </c>
      <c r="I1090">
        <v>137040499</v>
      </c>
      <c r="J1090">
        <v>198</v>
      </c>
      <c r="K1090">
        <v>318</v>
      </c>
      <c r="L1090">
        <v>0</v>
      </c>
      <c r="M1090" t="s">
        <v>6371</v>
      </c>
    </row>
    <row r="1091" spans="1:13">
      <c r="A1091" t="s">
        <v>2892</v>
      </c>
      <c r="B1091" t="s">
        <v>447</v>
      </c>
      <c r="C1091">
        <v>40435</v>
      </c>
      <c r="D1091">
        <v>636986949</v>
      </c>
      <c r="E1091">
        <v>141343</v>
      </c>
      <c r="F1091">
        <v>69</v>
      </c>
      <c r="G1091">
        <v>1110450147</v>
      </c>
      <c r="H1091">
        <v>6467597</v>
      </c>
      <c r="I1091">
        <v>5188475</v>
      </c>
      <c r="J1091">
        <v>62</v>
      </c>
      <c r="K1091">
        <v>52</v>
      </c>
      <c r="L1091">
        <v>1</v>
      </c>
      <c r="M1091" t="s">
        <v>6371</v>
      </c>
    </row>
    <row r="1092" spans="1:13">
      <c r="A1092" t="s">
        <v>2901</v>
      </c>
      <c r="B1092" t="s">
        <v>1414</v>
      </c>
      <c r="C1092">
        <v>45128</v>
      </c>
      <c r="D1092">
        <v>135841710</v>
      </c>
      <c r="E1092">
        <v>22636</v>
      </c>
      <c r="F1092">
        <v>61</v>
      </c>
      <c r="G1092">
        <v>53263040</v>
      </c>
      <c r="H1092">
        <v>755107</v>
      </c>
      <c r="I1092">
        <v>1221296456</v>
      </c>
      <c r="J1092">
        <v>12</v>
      </c>
      <c r="K1092">
        <v>690</v>
      </c>
      <c r="L1092">
        <v>1</v>
      </c>
      <c r="M1092" t="s">
        <v>6370</v>
      </c>
    </row>
    <row r="1093" spans="1:13">
      <c r="A1093" t="s">
        <v>2903</v>
      </c>
      <c r="B1093" t="s">
        <v>619</v>
      </c>
      <c r="C1093">
        <v>43279</v>
      </c>
      <c r="D1093">
        <v>818413674</v>
      </c>
      <c r="E1093">
        <v>68379</v>
      </c>
      <c r="F1093">
        <v>68</v>
      </c>
      <c r="G1093">
        <v>1084871772</v>
      </c>
      <c r="H1093">
        <v>3856569</v>
      </c>
      <c r="I1093">
        <v>66017796</v>
      </c>
      <c r="J1093">
        <v>38</v>
      </c>
      <c r="K1093">
        <v>204</v>
      </c>
      <c r="L1093">
        <v>0</v>
      </c>
      <c r="M1093" t="s">
        <v>6371</v>
      </c>
    </row>
    <row r="1094" spans="1:13">
      <c r="A1094" t="s">
        <v>2905</v>
      </c>
      <c r="B1094" t="s">
        <v>829</v>
      </c>
      <c r="C1094">
        <v>43481</v>
      </c>
      <c r="D1094">
        <v>726877512</v>
      </c>
      <c r="E1094">
        <v>145514</v>
      </c>
      <c r="F1094">
        <v>66</v>
      </c>
      <c r="G1094">
        <v>383840816</v>
      </c>
      <c r="H1094">
        <v>2770217</v>
      </c>
      <c r="I1094">
        <v>126460343</v>
      </c>
      <c r="J1094">
        <v>69</v>
      </c>
      <c r="K1094">
        <v>331</v>
      </c>
      <c r="L1094">
        <v>1</v>
      </c>
      <c r="M1094" t="s">
        <v>6371</v>
      </c>
    </row>
    <row r="1095" spans="1:13">
      <c r="A1095" t="s">
        <v>2906</v>
      </c>
      <c r="B1095" t="s">
        <v>459</v>
      </c>
      <c r="C1095">
        <v>41701</v>
      </c>
      <c r="D1095">
        <v>385438228</v>
      </c>
      <c r="E1095">
        <v>51062</v>
      </c>
      <c r="F1095">
        <v>68</v>
      </c>
      <c r="G1095">
        <v>2103164374</v>
      </c>
      <c r="H1095">
        <v>6262143</v>
      </c>
      <c r="I1095">
        <v>55635484</v>
      </c>
      <c r="J1095">
        <v>54</v>
      </c>
      <c r="K1095">
        <v>44</v>
      </c>
      <c r="L1095">
        <v>0</v>
      </c>
      <c r="M1095" t="s">
        <v>6371</v>
      </c>
    </row>
    <row r="1096" spans="1:13">
      <c r="A1096" t="s">
        <v>2910</v>
      </c>
      <c r="B1096" t="s">
        <v>912</v>
      </c>
      <c r="C1096">
        <v>40544</v>
      </c>
      <c r="D1096">
        <v>1655539775</v>
      </c>
      <c r="E1096">
        <v>219739</v>
      </c>
      <c r="F1096">
        <v>79</v>
      </c>
      <c r="G1096">
        <v>1438850843</v>
      </c>
      <c r="H1096">
        <v>6775048</v>
      </c>
      <c r="I1096">
        <v>831485</v>
      </c>
      <c r="J1096">
        <v>318</v>
      </c>
      <c r="K1096">
        <v>1</v>
      </c>
      <c r="L1096">
        <v>0</v>
      </c>
      <c r="M1096" t="s">
        <v>6371</v>
      </c>
    </row>
    <row r="1097" spans="1:13">
      <c r="A1097" t="s">
        <v>2911</v>
      </c>
      <c r="B1097" t="s">
        <v>2912</v>
      </c>
      <c r="C1097">
        <v>43871</v>
      </c>
      <c r="D1097">
        <v>864865822</v>
      </c>
      <c r="E1097">
        <v>155446</v>
      </c>
      <c r="F1097">
        <v>82</v>
      </c>
      <c r="G1097">
        <v>119059085</v>
      </c>
      <c r="H1097">
        <v>1543311</v>
      </c>
      <c r="I1097">
        <v>1722108635</v>
      </c>
      <c r="J1097">
        <v>3</v>
      </c>
      <c r="K1097">
        <v>593</v>
      </c>
      <c r="L1097">
        <v>0</v>
      </c>
      <c r="M1097" t="s">
        <v>6371</v>
      </c>
    </row>
    <row r="1098" spans="1:13">
      <c r="A1098" t="s">
        <v>2913</v>
      </c>
      <c r="B1098" t="s">
        <v>2914</v>
      </c>
      <c r="C1098">
        <v>43691</v>
      </c>
      <c r="D1098">
        <v>512194074</v>
      </c>
      <c r="E1098">
        <v>180810</v>
      </c>
      <c r="F1098">
        <v>71</v>
      </c>
      <c r="G1098">
        <v>31571952</v>
      </c>
      <c r="H1098">
        <v>420306</v>
      </c>
      <c r="I1098">
        <v>1524936587</v>
      </c>
      <c r="J1098">
        <v>63</v>
      </c>
      <c r="K1098">
        <v>183</v>
      </c>
      <c r="L1098">
        <v>1</v>
      </c>
      <c r="M1098" t="s">
        <v>6371</v>
      </c>
    </row>
    <row r="1099" spans="1:13">
      <c r="A1099" t="s">
        <v>2915</v>
      </c>
      <c r="B1099" t="s">
        <v>187</v>
      </c>
      <c r="C1099">
        <v>45072</v>
      </c>
      <c r="D1099">
        <v>132870060</v>
      </c>
      <c r="E1099">
        <v>27561</v>
      </c>
      <c r="F1099">
        <v>69</v>
      </c>
      <c r="G1099">
        <v>27715495</v>
      </c>
      <c r="H1099">
        <v>361926</v>
      </c>
      <c r="I1099">
        <v>62570724</v>
      </c>
      <c r="J1099">
        <v>36</v>
      </c>
      <c r="K1099">
        <v>50</v>
      </c>
      <c r="L1099">
        <v>1</v>
      </c>
      <c r="M1099" t="s">
        <v>6370</v>
      </c>
    </row>
    <row r="1100" spans="1:13">
      <c r="A1100" t="s">
        <v>2919</v>
      </c>
      <c r="B1100" t="s">
        <v>2920</v>
      </c>
      <c r="C1100">
        <v>44322</v>
      </c>
      <c r="D1100">
        <v>389915082</v>
      </c>
      <c r="E1100">
        <v>101681</v>
      </c>
      <c r="F1100">
        <v>66</v>
      </c>
      <c r="G1100">
        <v>12456282</v>
      </c>
      <c r="H1100">
        <v>162382</v>
      </c>
      <c r="I1100">
        <v>3623326028</v>
      </c>
      <c r="J1100">
        <v>57</v>
      </c>
      <c r="K1100">
        <v>1665</v>
      </c>
      <c r="L1100">
        <v>1</v>
      </c>
      <c r="M1100" t="s">
        <v>6370</v>
      </c>
    </row>
    <row r="1101" spans="1:13">
      <c r="A1101" t="s">
        <v>2921</v>
      </c>
      <c r="B1101" t="s">
        <v>1758</v>
      </c>
      <c r="C1101">
        <v>43182</v>
      </c>
      <c r="D1101">
        <v>930662973</v>
      </c>
      <c r="E1101">
        <v>130768</v>
      </c>
      <c r="F1101">
        <v>71</v>
      </c>
      <c r="G1101">
        <v>473069489</v>
      </c>
      <c r="H1101">
        <v>2566614</v>
      </c>
      <c r="I1101">
        <v>114370699</v>
      </c>
      <c r="J1101">
        <v>142</v>
      </c>
      <c r="K1101">
        <v>179</v>
      </c>
      <c r="L1101">
        <v>0</v>
      </c>
      <c r="M1101" t="s">
        <v>6371</v>
      </c>
    </row>
    <row r="1102" spans="1:13">
      <c r="A1102" t="s">
        <v>2930</v>
      </c>
      <c r="B1102" t="s">
        <v>2931</v>
      </c>
      <c r="C1102">
        <v>43994</v>
      </c>
      <c r="D1102">
        <v>495274429</v>
      </c>
      <c r="E1102">
        <v>128838</v>
      </c>
      <c r="F1102">
        <v>63</v>
      </c>
      <c r="G1102">
        <v>78671735</v>
      </c>
      <c r="H1102">
        <v>609580</v>
      </c>
      <c r="I1102">
        <v>354473655</v>
      </c>
      <c r="J1102">
        <v>120</v>
      </c>
      <c r="K1102">
        <v>178</v>
      </c>
      <c r="L1102">
        <v>1</v>
      </c>
      <c r="M1102" t="s">
        <v>6371</v>
      </c>
    </row>
    <row r="1103" spans="1:13">
      <c r="A1103" t="s">
        <v>2936</v>
      </c>
      <c r="B1103" t="s">
        <v>2937</v>
      </c>
      <c r="C1103">
        <v>42809</v>
      </c>
      <c r="D1103">
        <v>491634627</v>
      </c>
      <c r="E1103">
        <v>75806</v>
      </c>
      <c r="F1103">
        <v>62</v>
      </c>
      <c r="G1103">
        <v>188680059</v>
      </c>
      <c r="H1103">
        <v>1804608</v>
      </c>
      <c r="I1103">
        <v>541006747</v>
      </c>
      <c r="J1103">
        <v>44</v>
      </c>
      <c r="K1103">
        <v>72</v>
      </c>
      <c r="L1103">
        <v>0</v>
      </c>
      <c r="M1103" t="s">
        <v>6371</v>
      </c>
    </row>
    <row r="1104" spans="1:13">
      <c r="A1104" t="s">
        <v>2940</v>
      </c>
      <c r="B1104" t="s">
        <v>1831</v>
      </c>
      <c r="C1104">
        <v>44687</v>
      </c>
      <c r="D1104">
        <v>193854805</v>
      </c>
      <c r="E1104">
        <v>33972</v>
      </c>
      <c r="F1104">
        <v>68</v>
      </c>
      <c r="G1104">
        <v>24154881</v>
      </c>
      <c r="H1104">
        <v>173205</v>
      </c>
      <c r="I1104">
        <v>35905755</v>
      </c>
      <c r="J1104">
        <v>25</v>
      </c>
      <c r="K1104">
        <v>208</v>
      </c>
      <c r="L1104">
        <v>0</v>
      </c>
      <c r="M1104" t="s">
        <v>6370</v>
      </c>
    </row>
    <row r="1105" spans="1:13">
      <c r="A1105" t="s">
        <v>2941</v>
      </c>
      <c r="B1105" t="s">
        <v>2942</v>
      </c>
      <c r="C1105">
        <v>44447</v>
      </c>
      <c r="D1105">
        <v>503972431</v>
      </c>
      <c r="E1105">
        <v>90920</v>
      </c>
      <c r="F1105">
        <v>68</v>
      </c>
      <c r="G1105">
        <v>169044079</v>
      </c>
      <c r="H1105">
        <v>1342959</v>
      </c>
      <c r="I1105">
        <v>544513130</v>
      </c>
      <c r="J1105">
        <v>77</v>
      </c>
      <c r="K1105">
        <v>37</v>
      </c>
      <c r="L1105">
        <v>1</v>
      </c>
      <c r="M1105" t="s">
        <v>6370</v>
      </c>
    </row>
    <row r="1106" spans="1:13">
      <c r="A1106" t="s">
        <v>2943</v>
      </c>
      <c r="B1106" t="s">
        <v>260</v>
      </c>
      <c r="C1106">
        <v>42433</v>
      </c>
      <c r="D1106">
        <v>614050155</v>
      </c>
      <c r="E1106">
        <v>70723</v>
      </c>
      <c r="F1106">
        <v>69</v>
      </c>
      <c r="G1106">
        <v>787010459</v>
      </c>
      <c r="H1106">
        <v>6661292</v>
      </c>
      <c r="I1106">
        <v>3071891173</v>
      </c>
      <c r="J1106">
        <v>78</v>
      </c>
      <c r="K1106">
        <v>24</v>
      </c>
      <c r="L1106">
        <v>0</v>
      </c>
      <c r="M1106" t="s">
        <v>6371</v>
      </c>
    </row>
    <row r="1107" spans="1:13">
      <c r="A1107" t="s">
        <v>2944</v>
      </c>
      <c r="B1107" t="s">
        <v>336</v>
      </c>
      <c r="C1107">
        <v>43525</v>
      </c>
      <c r="D1107">
        <v>614313540</v>
      </c>
      <c r="E1107">
        <v>55782</v>
      </c>
      <c r="F1107">
        <v>64</v>
      </c>
      <c r="G1107">
        <v>978997170</v>
      </c>
      <c r="H1107">
        <v>4042367</v>
      </c>
      <c r="I1107">
        <v>48469382</v>
      </c>
      <c r="J1107">
        <v>59</v>
      </c>
      <c r="K1107">
        <v>125</v>
      </c>
      <c r="L1107">
        <v>1</v>
      </c>
      <c r="M1107" t="s">
        <v>6371</v>
      </c>
    </row>
    <row r="1108" spans="1:13">
      <c r="A1108" t="s">
        <v>2946</v>
      </c>
      <c r="B1108" t="s">
        <v>1280</v>
      </c>
      <c r="C1108">
        <v>43266</v>
      </c>
      <c r="D1108">
        <v>671869078</v>
      </c>
      <c r="E1108">
        <v>64411</v>
      </c>
      <c r="F1108">
        <v>65</v>
      </c>
      <c r="G1108">
        <v>686180183</v>
      </c>
      <c r="H1108">
        <v>6533684</v>
      </c>
      <c r="I1108">
        <v>184425042</v>
      </c>
      <c r="J1108">
        <v>5</v>
      </c>
      <c r="K1108">
        <v>31</v>
      </c>
      <c r="L1108">
        <v>0</v>
      </c>
      <c r="M1108" t="s">
        <v>6371</v>
      </c>
    </row>
    <row r="1109" spans="1:13">
      <c r="A1109" t="s">
        <v>2952</v>
      </c>
      <c r="B1109" t="s">
        <v>51</v>
      </c>
      <c r="C1109">
        <v>45055</v>
      </c>
      <c r="D1109">
        <v>366169549</v>
      </c>
      <c r="E1109">
        <v>36901</v>
      </c>
      <c r="F1109">
        <v>78</v>
      </c>
      <c r="G1109">
        <v>11642653</v>
      </c>
      <c r="H1109">
        <v>461148</v>
      </c>
      <c r="I1109">
        <v>242969046</v>
      </c>
      <c r="J1109">
        <v>5</v>
      </c>
      <c r="K1109">
        <v>307</v>
      </c>
      <c r="L1109">
        <v>0</v>
      </c>
      <c r="M1109" t="s">
        <v>6370</v>
      </c>
    </row>
    <row r="1110" spans="1:13">
      <c r="A1110" t="s">
        <v>2953</v>
      </c>
      <c r="B1110" t="s">
        <v>357</v>
      </c>
      <c r="C1110">
        <v>40909</v>
      </c>
      <c r="D1110">
        <v>885944426</v>
      </c>
      <c r="E1110">
        <v>129982</v>
      </c>
      <c r="F1110">
        <v>73</v>
      </c>
      <c r="G1110">
        <v>1106757714</v>
      </c>
      <c r="H1110">
        <v>4773915</v>
      </c>
      <c r="I1110">
        <v>469737119</v>
      </c>
      <c r="J1110">
        <v>45</v>
      </c>
      <c r="K1110">
        <v>188</v>
      </c>
      <c r="L1110">
        <v>0</v>
      </c>
      <c r="M1110" t="s">
        <v>6371</v>
      </c>
    </row>
    <row r="1111" spans="1:13">
      <c r="A1111" t="s">
        <v>2956</v>
      </c>
      <c r="B1111" t="s">
        <v>2957</v>
      </c>
      <c r="C1111">
        <v>43385</v>
      </c>
      <c r="D1111">
        <v>757001327</v>
      </c>
      <c r="E1111">
        <v>53221</v>
      </c>
      <c r="F1111">
        <v>65</v>
      </c>
      <c r="G1111">
        <v>1178040262</v>
      </c>
      <c r="H1111">
        <v>4145589</v>
      </c>
      <c r="I1111">
        <v>41170418</v>
      </c>
      <c r="J1111">
        <v>54</v>
      </c>
      <c r="K1111">
        <v>10</v>
      </c>
      <c r="L1111">
        <v>1</v>
      </c>
      <c r="M1111" t="s">
        <v>6371</v>
      </c>
    </row>
    <row r="1112" spans="1:13">
      <c r="A1112" t="s">
        <v>2958</v>
      </c>
      <c r="B1112" t="s">
        <v>805</v>
      </c>
      <c r="C1112">
        <v>43903</v>
      </c>
      <c r="D1112">
        <v>706711575</v>
      </c>
      <c r="E1112">
        <v>170468</v>
      </c>
      <c r="F1112">
        <v>69</v>
      </c>
      <c r="G1112">
        <v>133159545</v>
      </c>
      <c r="H1112">
        <v>1623904</v>
      </c>
      <c r="I1112">
        <v>1092802231</v>
      </c>
      <c r="J1112">
        <v>70</v>
      </c>
      <c r="K1112">
        <v>203</v>
      </c>
      <c r="L1112">
        <v>1</v>
      </c>
      <c r="M1112" t="s">
        <v>6371</v>
      </c>
    </row>
    <row r="1113" spans="1:13">
      <c r="A1113" t="s">
        <v>2961</v>
      </c>
      <c r="B1113" t="s">
        <v>24</v>
      </c>
      <c r="C1113">
        <v>41275</v>
      </c>
      <c r="D1113">
        <v>970858824</v>
      </c>
      <c r="E1113">
        <v>117008</v>
      </c>
      <c r="F1113">
        <v>71</v>
      </c>
      <c r="G1113">
        <v>1310779877</v>
      </c>
      <c r="H1113">
        <v>7274419</v>
      </c>
      <c r="I1113">
        <v>343153571</v>
      </c>
      <c r="J1113">
        <v>140</v>
      </c>
      <c r="K1113">
        <v>72</v>
      </c>
      <c r="L1113">
        <v>0</v>
      </c>
      <c r="M1113" t="s">
        <v>6371</v>
      </c>
    </row>
    <row r="1114" spans="1:13">
      <c r="A1114" t="s">
        <v>2962</v>
      </c>
      <c r="B1114" t="s">
        <v>2451</v>
      </c>
      <c r="C1114">
        <v>44337</v>
      </c>
      <c r="D1114">
        <v>457254811</v>
      </c>
      <c r="E1114">
        <v>51641</v>
      </c>
      <c r="F1114">
        <v>77</v>
      </c>
      <c r="G1114">
        <v>26485095</v>
      </c>
      <c r="H1114">
        <v>208483</v>
      </c>
      <c r="I1114">
        <v>280557815</v>
      </c>
      <c r="J1114">
        <v>34</v>
      </c>
      <c r="K1114">
        <v>229</v>
      </c>
      <c r="L1114">
        <v>0</v>
      </c>
      <c r="M1114" t="s">
        <v>6370</v>
      </c>
    </row>
    <row r="1115" spans="1:13">
      <c r="A1115" t="s">
        <v>2963</v>
      </c>
      <c r="B1115" t="s">
        <v>200</v>
      </c>
      <c r="C1115">
        <v>45020</v>
      </c>
      <c r="D1115">
        <v>253711656</v>
      </c>
      <c r="E1115">
        <v>26015</v>
      </c>
      <c r="F1115">
        <v>66</v>
      </c>
      <c r="G1115">
        <v>148812952</v>
      </c>
      <c r="H1115">
        <v>859486</v>
      </c>
      <c r="I1115">
        <v>79415641</v>
      </c>
      <c r="J1115">
        <v>17</v>
      </c>
      <c r="K1115">
        <v>5</v>
      </c>
      <c r="L1115">
        <v>1</v>
      </c>
      <c r="M1115" t="s">
        <v>6370</v>
      </c>
    </row>
    <row r="1116" spans="1:13">
      <c r="A1116" t="s">
        <v>2967</v>
      </c>
      <c r="B1116" t="s">
        <v>2968</v>
      </c>
      <c r="C1116">
        <v>42005</v>
      </c>
      <c r="D1116">
        <v>777947820</v>
      </c>
      <c r="E1116">
        <v>135133</v>
      </c>
      <c r="F1116">
        <v>70</v>
      </c>
      <c r="G1116">
        <v>1442138188</v>
      </c>
      <c r="H1116">
        <v>9765818</v>
      </c>
      <c r="I1116">
        <v>297856843</v>
      </c>
      <c r="J1116">
        <v>18</v>
      </c>
      <c r="K1116">
        <v>38</v>
      </c>
      <c r="L1116">
        <v>0</v>
      </c>
      <c r="M1116" t="s">
        <v>6371</v>
      </c>
    </row>
    <row r="1117" spans="1:13">
      <c r="A1117" t="s">
        <v>2969</v>
      </c>
      <c r="B1117" t="s">
        <v>1109</v>
      </c>
      <c r="C1117">
        <v>44323</v>
      </c>
      <c r="D1117">
        <v>349603788</v>
      </c>
      <c r="E1117">
        <v>52095</v>
      </c>
      <c r="F1117">
        <v>63</v>
      </c>
      <c r="G1117">
        <v>137534459</v>
      </c>
      <c r="H1117">
        <v>1529839</v>
      </c>
      <c r="I1117">
        <v>343629235</v>
      </c>
      <c r="J1117">
        <v>151</v>
      </c>
      <c r="K1117">
        <v>85</v>
      </c>
      <c r="L1117">
        <v>0</v>
      </c>
      <c r="M1117" t="s">
        <v>6370</v>
      </c>
    </row>
    <row r="1118" spans="1:13">
      <c r="A1118" t="s">
        <v>2970</v>
      </c>
      <c r="B1118" t="s">
        <v>2971</v>
      </c>
      <c r="C1118">
        <v>43751</v>
      </c>
      <c r="D1118">
        <v>402007889</v>
      </c>
      <c r="E1118">
        <v>119524</v>
      </c>
      <c r="F1118">
        <v>72</v>
      </c>
      <c r="G1118">
        <v>275482156</v>
      </c>
      <c r="H1118">
        <v>4928693</v>
      </c>
      <c r="I1118">
        <v>2141282045</v>
      </c>
      <c r="J1118">
        <v>8</v>
      </c>
      <c r="K1118">
        <v>1</v>
      </c>
      <c r="L1118">
        <v>0</v>
      </c>
      <c r="M1118" t="s">
        <v>6371</v>
      </c>
    </row>
    <row r="1119" spans="1:13">
      <c r="A1119" t="s">
        <v>2972</v>
      </c>
      <c r="B1119" t="s">
        <v>557</v>
      </c>
      <c r="C1119">
        <v>37987</v>
      </c>
      <c r="D1119">
        <v>1307469137</v>
      </c>
      <c r="E1119">
        <v>255327</v>
      </c>
      <c r="F1119">
        <v>80</v>
      </c>
      <c r="G1119">
        <v>1200224642</v>
      </c>
      <c r="H1119">
        <v>8294174</v>
      </c>
      <c r="I1119">
        <v>1599320816</v>
      </c>
      <c r="J1119">
        <v>289</v>
      </c>
      <c r="K1119">
        <v>185</v>
      </c>
      <c r="L1119">
        <v>0</v>
      </c>
      <c r="M1119" t="s">
        <v>6372</v>
      </c>
    </row>
    <row r="1120" spans="1:13">
      <c r="A1120" t="s">
        <v>2980</v>
      </c>
      <c r="B1120" t="s">
        <v>2981</v>
      </c>
      <c r="C1120">
        <v>44736</v>
      </c>
      <c r="D1120">
        <v>167668390</v>
      </c>
      <c r="E1120">
        <v>54358</v>
      </c>
      <c r="F1120">
        <v>71</v>
      </c>
      <c r="G1120">
        <v>185746447</v>
      </c>
      <c r="H1120">
        <v>988971</v>
      </c>
      <c r="I1120">
        <v>984682218</v>
      </c>
      <c r="J1120">
        <v>44</v>
      </c>
      <c r="K1120">
        <v>143</v>
      </c>
      <c r="L1120">
        <v>0</v>
      </c>
      <c r="M1120" t="s">
        <v>6370</v>
      </c>
    </row>
    <row r="1121" spans="1:13">
      <c r="A1121" t="s">
        <v>2984</v>
      </c>
      <c r="B1121" t="s">
        <v>2985</v>
      </c>
      <c r="C1121">
        <v>43294</v>
      </c>
      <c r="D1121">
        <v>542480898</v>
      </c>
      <c r="E1121">
        <v>81834</v>
      </c>
      <c r="F1121">
        <v>68</v>
      </c>
      <c r="G1121">
        <v>435065136</v>
      </c>
      <c r="H1121">
        <v>3809205</v>
      </c>
      <c r="I1121">
        <v>401544074</v>
      </c>
      <c r="J1121">
        <v>96</v>
      </c>
      <c r="K1121">
        <v>66</v>
      </c>
      <c r="L1121">
        <v>0</v>
      </c>
      <c r="M1121" t="s">
        <v>6371</v>
      </c>
    </row>
    <row r="1122" spans="1:13">
      <c r="A1122" t="s">
        <v>2986</v>
      </c>
      <c r="B1122" t="s">
        <v>2055</v>
      </c>
      <c r="C1122">
        <v>44957</v>
      </c>
      <c r="D1122">
        <v>137204273</v>
      </c>
      <c r="E1122">
        <v>42638</v>
      </c>
      <c r="F1122">
        <v>69</v>
      </c>
      <c r="G1122">
        <v>105245546</v>
      </c>
      <c r="H1122">
        <v>1284515</v>
      </c>
      <c r="I1122">
        <v>77626486</v>
      </c>
      <c r="J1122">
        <v>9</v>
      </c>
      <c r="K1122">
        <v>24</v>
      </c>
      <c r="L1122">
        <v>1</v>
      </c>
      <c r="M1122" t="s">
        <v>6370</v>
      </c>
    </row>
    <row r="1123" spans="1:13">
      <c r="A1123" t="s">
        <v>2992</v>
      </c>
      <c r="B1123" t="s">
        <v>1857</v>
      </c>
      <c r="C1123">
        <v>43349</v>
      </c>
      <c r="D1123">
        <v>703089599</v>
      </c>
      <c r="E1123">
        <v>126449</v>
      </c>
      <c r="F1123">
        <v>65</v>
      </c>
      <c r="G1123">
        <v>761321778</v>
      </c>
      <c r="H1123">
        <v>9012438</v>
      </c>
      <c r="I1123">
        <v>154119835</v>
      </c>
      <c r="J1123">
        <v>52</v>
      </c>
      <c r="K1123">
        <v>118</v>
      </c>
      <c r="L1123">
        <v>1</v>
      </c>
      <c r="M1123" t="s">
        <v>6371</v>
      </c>
    </row>
    <row r="1124" spans="1:13">
      <c r="A1124" t="s">
        <v>2999</v>
      </c>
      <c r="B1124" t="s">
        <v>2272</v>
      </c>
      <c r="C1124">
        <v>45119</v>
      </c>
      <c r="D1124">
        <v>160320384</v>
      </c>
      <c r="E1124">
        <v>29292</v>
      </c>
      <c r="F1124">
        <v>64</v>
      </c>
      <c r="G1124">
        <v>27712131</v>
      </c>
      <c r="H1124">
        <v>449186</v>
      </c>
      <c r="I1124">
        <v>2200000</v>
      </c>
      <c r="J1124">
        <v>1</v>
      </c>
      <c r="K1124">
        <v>26</v>
      </c>
      <c r="L1124">
        <v>1</v>
      </c>
      <c r="M1124" t="s">
        <v>6370</v>
      </c>
    </row>
    <row r="1125" spans="1:13">
      <c r="A1125" t="s">
        <v>3000</v>
      </c>
      <c r="B1125" t="s">
        <v>1613</v>
      </c>
      <c r="C1125">
        <v>45023</v>
      </c>
      <c r="D1125">
        <v>127558523</v>
      </c>
      <c r="E1125">
        <v>29689</v>
      </c>
      <c r="F1125">
        <v>68</v>
      </c>
      <c r="G1125">
        <v>56328016</v>
      </c>
      <c r="H1125">
        <v>701370</v>
      </c>
      <c r="I1125">
        <v>37060287</v>
      </c>
      <c r="J1125">
        <v>20</v>
      </c>
      <c r="K1125">
        <v>37</v>
      </c>
      <c r="L1125">
        <v>0</v>
      </c>
      <c r="M1125" t="s">
        <v>6370</v>
      </c>
    </row>
    <row r="1126" spans="1:13">
      <c r="A1126" t="s">
        <v>3001</v>
      </c>
      <c r="B1126" t="s">
        <v>391</v>
      </c>
      <c r="C1126">
        <v>42590</v>
      </c>
      <c r="D1126">
        <v>534374502</v>
      </c>
      <c r="E1126">
        <v>43033</v>
      </c>
      <c r="F1126">
        <v>68</v>
      </c>
      <c r="G1126">
        <v>1785015062</v>
      </c>
      <c r="H1126">
        <v>18123231</v>
      </c>
      <c r="I1126">
        <v>368912538</v>
      </c>
      <c r="J1126">
        <v>14</v>
      </c>
      <c r="K1126">
        <v>9</v>
      </c>
      <c r="L1126">
        <v>0</v>
      </c>
      <c r="M1126" t="s">
        <v>6371</v>
      </c>
    </row>
    <row r="1127" spans="1:13">
      <c r="A1127" t="s">
        <v>3004</v>
      </c>
      <c r="B1127" t="s">
        <v>2594</v>
      </c>
      <c r="C1127">
        <v>44777</v>
      </c>
      <c r="D1127">
        <v>516560181</v>
      </c>
      <c r="E1127">
        <v>60949</v>
      </c>
      <c r="F1127">
        <v>74</v>
      </c>
      <c r="G1127">
        <v>110114094</v>
      </c>
      <c r="H1127">
        <v>814675</v>
      </c>
      <c r="I1127">
        <v>544497354</v>
      </c>
      <c r="J1127">
        <v>17</v>
      </c>
      <c r="K1127">
        <v>3</v>
      </c>
      <c r="L1127">
        <v>1</v>
      </c>
      <c r="M1127" t="s">
        <v>6370</v>
      </c>
    </row>
    <row r="1128" spans="1:13">
      <c r="A1128" t="s">
        <v>3005</v>
      </c>
      <c r="B1128" t="s">
        <v>3006</v>
      </c>
      <c r="C1128">
        <v>44050</v>
      </c>
      <c r="D1128">
        <v>682383223</v>
      </c>
      <c r="E1128">
        <v>115706</v>
      </c>
      <c r="F1128">
        <v>68</v>
      </c>
      <c r="G1128">
        <v>183898967</v>
      </c>
      <c r="H1128">
        <v>1760357</v>
      </c>
      <c r="I1128">
        <v>8328967</v>
      </c>
      <c r="J1128">
        <v>80</v>
      </c>
      <c r="K1128">
        <v>1039</v>
      </c>
      <c r="L1128">
        <v>1</v>
      </c>
      <c r="M1128" t="s">
        <v>6371</v>
      </c>
    </row>
    <row r="1129" spans="1:13">
      <c r="A1129" t="s">
        <v>3010</v>
      </c>
      <c r="B1129" t="s">
        <v>336</v>
      </c>
      <c r="C1129">
        <v>42184</v>
      </c>
      <c r="D1129">
        <v>761287318</v>
      </c>
      <c r="E1129">
        <v>58967</v>
      </c>
      <c r="F1129">
        <v>76</v>
      </c>
      <c r="G1129">
        <v>1659052720</v>
      </c>
      <c r="H1129">
        <v>4919965</v>
      </c>
      <c r="I1129">
        <v>150155845</v>
      </c>
      <c r="J1129">
        <v>66</v>
      </c>
      <c r="K1129">
        <v>25</v>
      </c>
      <c r="L1129">
        <v>0</v>
      </c>
      <c r="M1129" t="s">
        <v>6371</v>
      </c>
    </row>
    <row r="1130" spans="1:13">
      <c r="A1130" t="s">
        <v>3011</v>
      </c>
      <c r="B1130" t="s">
        <v>1913</v>
      </c>
      <c r="C1130">
        <v>42902</v>
      </c>
      <c r="D1130">
        <v>1164638213</v>
      </c>
      <c r="E1130">
        <v>145513</v>
      </c>
      <c r="F1130">
        <v>74</v>
      </c>
      <c r="G1130">
        <v>27823167</v>
      </c>
      <c r="H1130">
        <v>239547</v>
      </c>
      <c r="I1130">
        <v>86703560</v>
      </c>
      <c r="J1130">
        <v>281</v>
      </c>
      <c r="K1130">
        <v>69</v>
      </c>
      <c r="L1130">
        <v>1</v>
      </c>
      <c r="M1130" t="s">
        <v>6371</v>
      </c>
    </row>
    <row r="1131" spans="1:13">
      <c r="A1131" t="s">
        <v>3014</v>
      </c>
      <c r="B1131" t="s">
        <v>3015</v>
      </c>
      <c r="C1131">
        <v>42059</v>
      </c>
      <c r="D1131">
        <v>1100392417</v>
      </c>
      <c r="E1131">
        <v>117948</v>
      </c>
      <c r="F1131">
        <v>69</v>
      </c>
      <c r="G1131">
        <v>1343498789</v>
      </c>
      <c r="H1131">
        <v>7017961</v>
      </c>
      <c r="I1131">
        <v>1292397</v>
      </c>
      <c r="J1131">
        <v>11</v>
      </c>
      <c r="K1131">
        <v>74</v>
      </c>
      <c r="L1131">
        <v>0</v>
      </c>
      <c r="M1131" t="s">
        <v>6371</v>
      </c>
    </row>
    <row r="1132" spans="1:13">
      <c r="A1132" t="s">
        <v>3016</v>
      </c>
      <c r="B1132" t="s">
        <v>313</v>
      </c>
      <c r="C1132">
        <v>43979</v>
      </c>
      <c r="D1132">
        <v>447192467</v>
      </c>
      <c r="E1132">
        <v>93245</v>
      </c>
      <c r="F1132">
        <v>61</v>
      </c>
      <c r="G1132">
        <v>304553514</v>
      </c>
      <c r="H1132">
        <v>4676461</v>
      </c>
      <c r="I1132">
        <v>1990567953</v>
      </c>
      <c r="J1132">
        <v>141</v>
      </c>
      <c r="K1132">
        <v>181</v>
      </c>
      <c r="L1132">
        <v>0</v>
      </c>
      <c r="M1132" t="s">
        <v>6371</v>
      </c>
    </row>
    <row r="1133" spans="1:13">
      <c r="A1133" t="s">
        <v>3018</v>
      </c>
      <c r="B1133" t="s">
        <v>3019</v>
      </c>
      <c r="C1133">
        <v>44428</v>
      </c>
      <c r="D1133">
        <v>263986575</v>
      </c>
      <c r="E1133">
        <v>37945</v>
      </c>
      <c r="F1133">
        <v>67</v>
      </c>
      <c r="G1133">
        <v>138793735</v>
      </c>
      <c r="H1133">
        <v>1535505</v>
      </c>
      <c r="I1133">
        <v>1575405115</v>
      </c>
      <c r="J1133">
        <v>21</v>
      </c>
      <c r="K1133">
        <v>2</v>
      </c>
      <c r="L1133">
        <v>0</v>
      </c>
      <c r="M1133" t="s">
        <v>6370</v>
      </c>
    </row>
    <row r="1134" spans="1:13">
      <c r="A1134" t="s">
        <v>3020</v>
      </c>
      <c r="B1134" t="s">
        <v>127</v>
      </c>
      <c r="C1134">
        <v>43910</v>
      </c>
      <c r="D1134">
        <v>940914292</v>
      </c>
      <c r="E1134">
        <v>130934</v>
      </c>
      <c r="F1134">
        <v>70</v>
      </c>
      <c r="G1134">
        <v>166787290</v>
      </c>
      <c r="H1134">
        <v>2132781</v>
      </c>
      <c r="I1134">
        <v>600906044</v>
      </c>
      <c r="J1134">
        <v>115</v>
      </c>
      <c r="K1134">
        <v>126</v>
      </c>
      <c r="L1134">
        <v>1</v>
      </c>
      <c r="M1134" t="s">
        <v>6371</v>
      </c>
    </row>
    <row r="1135" spans="1:13">
      <c r="A1135" t="s">
        <v>3021</v>
      </c>
      <c r="B1135" t="s">
        <v>3022</v>
      </c>
      <c r="C1135">
        <v>45240</v>
      </c>
      <c r="D1135">
        <v>10292715</v>
      </c>
      <c r="E1135">
        <v>1666</v>
      </c>
      <c r="F1135">
        <v>9</v>
      </c>
      <c r="G1135">
        <v>2441458</v>
      </c>
      <c r="H1135">
        <v>29255</v>
      </c>
      <c r="I1135">
        <v>725724</v>
      </c>
      <c r="J1135">
        <v>13</v>
      </c>
      <c r="K1135">
        <v>87</v>
      </c>
      <c r="L1135">
        <v>0</v>
      </c>
      <c r="M1135" t="s">
        <v>6370</v>
      </c>
    </row>
    <row r="1136" spans="1:13">
      <c r="A1136" t="s">
        <v>3023</v>
      </c>
      <c r="B1136" t="s">
        <v>357</v>
      </c>
      <c r="C1136">
        <v>42654</v>
      </c>
      <c r="D1136">
        <v>946757383</v>
      </c>
      <c r="E1136">
        <v>87426</v>
      </c>
      <c r="F1136">
        <v>64</v>
      </c>
      <c r="G1136">
        <v>936997565</v>
      </c>
      <c r="H1136">
        <v>5406952</v>
      </c>
      <c r="I1136">
        <v>49143641</v>
      </c>
      <c r="J1136">
        <v>93</v>
      </c>
      <c r="K1136">
        <v>47</v>
      </c>
      <c r="L1136">
        <v>0</v>
      </c>
      <c r="M1136" t="s">
        <v>6371</v>
      </c>
    </row>
    <row r="1137" spans="1:13">
      <c r="A1137" t="s">
        <v>622</v>
      </c>
      <c r="B1137" t="s">
        <v>66</v>
      </c>
      <c r="C1137">
        <v>43812</v>
      </c>
      <c r="D1137">
        <v>1225776509</v>
      </c>
      <c r="E1137">
        <v>135760</v>
      </c>
      <c r="F1137">
        <v>75</v>
      </c>
      <c r="G1137">
        <v>308365869</v>
      </c>
      <c r="H1137">
        <v>5355909</v>
      </c>
      <c r="I1137">
        <v>188148281</v>
      </c>
      <c r="J1137">
        <v>114</v>
      </c>
      <c r="K1137">
        <v>60</v>
      </c>
      <c r="L1137">
        <v>0</v>
      </c>
      <c r="M1137" t="s">
        <v>6371</v>
      </c>
    </row>
    <row r="1138" spans="1:13">
      <c r="A1138" t="s">
        <v>3025</v>
      </c>
      <c r="B1138" t="s">
        <v>357</v>
      </c>
      <c r="C1138">
        <v>41640</v>
      </c>
      <c r="D1138">
        <v>1676528402</v>
      </c>
      <c r="E1138">
        <v>191597</v>
      </c>
      <c r="F1138">
        <v>79</v>
      </c>
      <c r="G1138">
        <v>942734894</v>
      </c>
      <c r="H1138">
        <v>4766947</v>
      </c>
      <c r="I1138">
        <v>152847615</v>
      </c>
      <c r="J1138">
        <v>62</v>
      </c>
      <c r="K1138">
        <v>45</v>
      </c>
      <c r="L1138">
        <v>0</v>
      </c>
      <c r="M1138" t="s">
        <v>6371</v>
      </c>
    </row>
    <row r="1139" spans="1:13">
      <c r="A1139" t="s">
        <v>3026</v>
      </c>
      <c r="B1139" t="s">
        <v>112</v>
      </c>
      <c r="C1139">
        <v>44238</v>
      </c>
      <c r="D1139">
        <v>515693079</v>
      </c>
      <c r="E1139">
        <v>56753</v>
      </c>
      <c r="F1139">
        <v>62</v>
      </c>
      <c r="G1139">
        <v>139617172</v>
      </c>
      <c r="H1139">
        <v>1511209</v>
      </c>
      <c r="I1139">
        <v>200621230</v>
      </c>
      <c r="J1139">
        <v>106</v>
      </c>
      <c r="K1139">
        <v>162</v>
      </c>
      <c r="L1139">
        <v>0</v>
      </c>
      <c r="M1139" t="s">
        <v>6370</v>
      </c>
    </row>
    <row r="1140" spans="1:13">
      <c r="A1140" t="s">
        <v>3027</v>
      </c>
      <c r="B1140" t="s">
        <v>3028</v>
      </c>
      <c r="C1140">
        <v>44463</v>
      </c>
      <c r="D1140">
        <v>115647691</v>
      </c>
      <c r="E1140">
        <v>51136</v>
      </c>
      <c r="F1140">
        <v>58</v>
      </c>
      <c r="G1140">
        <v>215744090</v>
      </c>
      <c r="H1140">
        <v>1282316</v>
      </c>
      <c r="I1140">
        <v>388440929</v>
      </c>
      <c r="J1140">
        <v>48</v>
      </c>
      <c r="K1140">
        <v>225</v>
      </c>
      <c r="L1140">
        <v>0</v>
      </c>
      <c r="M1140" t="s">
        <v>6370</v>
      </c>
    </row>
    <row r="1141" spans="1:13">
      <c r="A1141" t="s">
        <v>3029</v>
      </c>
      <c r="B1141" t="s">
        <v>2291</v>
      </c>
      <c r="C1141">
        <v>42664</v>
      </c>
      <c r="D1141">
        <v>1024198691</v>
      </c>
      <c r="E1141">
        <v>168424</v>
      </c>
      <c r="F1141">
        <v>76</v>
      </c>
      <c r="G1141">
        <v>251585070</v>
      </c>
      <c r="H1141">
        <v>1895986</v>
      </c>
      <c r="I1141">
        <v>101238385</v>
      </c>
      <c r="J1141">
        <v>172</v>
      </c>
      <c r="K1141">
        <v>138</v>
      </c>
      <c r="L1141">
        <v>0</v>
      </c>
      <c r="M1141" t="s">
        <v>6371</v>
      </c>
    </row>
    <row r="1142" spans="1:13">
      <c r="A1142" t="s">
        <v>3030</v>
      </c>
      <c r="B1142" t="s">
        <v>3031</v>
      </c>
      <c r="C1142">
        <v>43035</v>
      </c>
      <c r="D1142">
        <v>1187784950</v>
      </c>
      <c r="E1142">
        <v>148513</v>
      </c>
      <c r="F1142">
        <v>74</v>
      </c>
      <c r="G1142">
        <v>295487246</v>
      </c>
      <c r="H1142">
        <v>1776887</v>
      </c>
      <c r="I1142">
        <v>130962355</v>
      </c>
      <c r="J1142">
        <v>173</v>
      </c>
      <c r="K1142">
        <v>410</v>
      </c>
      <c r="L1142">
        <v>0</v>
      </c>
      <c r="M1142" t="s">
        <v>6371</v>
      </c>
    </row>
    <row r="1143" spans="1:13">
      <c r="A1143" t="s">
        <v>3032</v>
      </c>
      <c r="B1143" t="s">
        <v>301</v>
      </c>
      <c r="C1143">
        <v>44897</v>
      </c>
      <c r="D1143">
        <v>249576970</v>
      </c>
      <c r="E1143">
        <v>31843</v>
      </c>
      <c r="F1143">
        <v>70</v>
      </c>
      <c r="G1143">
        <v>39198931</v>
      </c>
      <c r="H1143">
        <v>239096</v>
      </c>
      <c r="I1143">
        <v>37058831</v>
      </c>
      <c r="J1143">
        <v>20</v>
      </c>
      <c r="K1143">
        <v>46</v>
      </c>
      <c r="L1143">
        <v>0</v>
      </c>
      <c r="M1143" t="s">
        <v>6370</v>
      </c>
    </row>
    <row r="1144" spans="1:13">
      <c r="A1144">
        <v>911</v>
      </c>
      <c r="B1144" t="s">
        <v>1296</v>
      </c>
      <c r="C1144">
        <v>44232</v>
      </c>
      <c r="D1144">
        <v>352258962</v>
      </c>
      <c r="E1144">
        <v>68202</v>
      </c>
      <c r="F1144">
        <v>55</v>
      </c>
      <c r="G1144">
        <v>415445675</v>
      </c>
      <c r="H1144">
        <v>2300245</v>
      </c>
      <c r="I1144">
        <v>425874947</v>
      </c>
      <c r="J1144">
        <v>43</v>
      </c>
      <c r="K1144">
        <v>92</v>
      </c>
      <c r="L1144">
        <v>1</v>
      </c>
      <c r="M1144" t="s">
        <v>6370</v>
      </c>
    </row>
    <row r="1145" spans="1:13">
      <c r="A1145" t="s">
        <v>3038</v>
      </c>
      <c r="B1145" t="s">
        <v>1262</v>
      </c>
      <c r="C1145">
        <v>43126</v>
      </c>
      <c r="D1145">
        <v>461456306</v>
      </c>
      <c r="E1145">
        <v>39872</v>
      </c>
      <c r="F1145">
        <v>5</v>
      </c>
      <c r="G1145">
        <v>149557856</v>
      </c>
      <c r="H1145">
        <v>1484925</v>
      </c>
      <c r="I1145">
        <v>48036714</v>
      </c>
      <c r="J1145">
        <v>5</v>
      </c>
      <c r="K1145">
        <v>25</v>
      </c>
      <c r="L1145">
        <v>0</v>
      </c>
      <c r="M1145" t="s">
        <v>6371</v>
      </c>
    </row>
    <row r="1146" spans="1:13">
      <c r="A1146" t="s">
        <v>3041</v>
      </c>
      <c r="B1146" t="s">
        <v>315</v>
      </c>
      <c r="C1146">
        <v>43525</v>
      </c>
      <c r="D1146">
        <v>647501734</v>
      </c>
      <c r="E1146">
        <v>112493</v>
      </c>
      <c r="F1146">
        <v>62</v>
      </c>
      <c r="G1146">
        <v>447330965</v>
      </c>
      <c r="H1146">
        <v>3838459</v>
      </c>
      <c r="I1146">
        <v>435082308</v>
      </c>
      <c r="J1146">
        <v>90</v>
      </c>
      <c r="K1146">
        <v>384</v>
      </c>
      <c r="L1146">
        <v>1</v>
      </c>
      <c r="M1146" t="s">
        <v>6371</v>
      </c>
    </row>
    <row r="1147" spans="1:13">
      <c r="A1147" t="s">
        <v>3043</v>
      </c>
      <c r="B1147" t="s">
        <v>291</v>
      </c>
      <c r="C1147">
        <v>43396</v>
      </c>
      <c r="D1147">
        <v>580625472</v>
      </c>
      <c r="E1147">
        <v>62829</v>
      </c>
      <c r="F1147">
        <v>65</v>
      </c>
      <c r="G1147">
        <v>551699941</v>
      </c>
      <c r="H1147">
        <v>5832935</v>
      </c>
      <c r="I1147">
        <v>1855716339</v>
      </c>
      <c r="J1147">
        <v>73</v>
      </c>
      <c r="K1147">
        <v>223</v>
      </c>
      <c r="L1147">
        <v>1</v>
      </c>
      <c r="M1147" t="s">
        <v>6371</v>
      </c>
    </row>
    <row r="1148" spans="1:13">
      <c r="A1148" t="s">
        <v>3049</v>
      </c>
      <c r="B1148" t="s">
        <v>1803</v>
      </c>
      <c r="C1148">
        <v>41898</v>
      </c>
      <c r="D1148">
        <v>584277301</v>
      </c>
      <c r="E1148">
        <v>124262</v>
      </c>
      <c r="F1148">
        <v>64</v>
      </c>
      <c r="G1148">
        <v>902705161</v>
      </c>
      <c r="H1148">
        <v>5564747</v>
      </c>
      <c r="I1148">
        <v>510652592</v>
      </c>
      <c r="J1148">
        <v>64</v>
      </c>
      <c r="K1148">
        <v>6</v>
      </c>
      <c r="L1148">
        <v>1</v>
      </c>
      <c r="M1148" t="s">
        <v>6371</v>
      </c>
    </row>
    <row r="1149" spans="1:13">
      <c r="A1149" t="s">
        <v>3050</v>
      </c>
      <c r="B1149" t="s">
        <v>301</v>
      </c>
      <c r="C1149">
        <v>44204</v>
      </c>
      <c r="D1149">
        <v>379462137</v>
      </c>
      <c r="E1149">
        <v>52985</v>
      </c>
      <c r="F1149">
        <v>72</v>
      </c>
      <c r="G1149">
        <v>144996999</v>
      </c>
      <c r="H1149">
        <v>759185</v>
      </c>
      <c r="I1149">
        <v>137402135</v>
      </c>
      <c r="J1149">
        <v>23</v>
      </c>
      <c r="K1149">
        <v>89</v>
      </c>
      <c r="L1149">
        <v>0</v>
      </c>
      <c r="M1149" t="s">
        <v>6370</v>
      </c>
    </row>
    <row r="1150" spans="1:13">
      <c r="A1150" t="s">
        <v>3055</v>
      </c>
      <c r="B1150" t="s">
        <v>3056</v>
      </c>
      <c r="C1150">
        <v>44518</v>
      </c>
      <c r="D1150">
        <v>216354398</v>
      </c>
      <c r="E1150">
        <v>90545</v>
      </c>
      <c r="F1150">
        <v>64</v>
      </c>
      <c r="G1150">
        <v>92356896</v>
      </c>
      <c r="H1150">
        <v>647095</v>
      </c>
      <c r="I1150">
        <v>148927892</v>
      </c>
      <c r="J1150">
        <v>14</v>
      </c>
      <c r="K1150">
        <v>10</v>
      </c>
      <c r="L1150">
        <v>1</v>
      </c>
      <c r="M1150" t="s">
        <v>6370</v>
      </c>
    </row>
    <row r="1151" spans="1:13">
      <c r="A1151" t="s">
        <v>3059</v>
      </c>
      <c r="B1151" t="s">
        <v>479</v>
      </c>
      <c r="C1151">
        <v>40179</v>
      </c>
      <c r="D1151">
        <v>1144535829</v>
      </c>
      <c r="E1151">
        <v>170779</v>
      </c>
      <c r="F1151">
        <v>71</v>
      </c>
      <c r="G1151">
        <v>1604084148</v>
      </c>
      <c r="H1151">
        <v>8081370</v>
      </c>
      <c r="I1151">
        <v>592235618</v>
      </c>
      <c r="J1151">
        <v>85</v>
      </c>
      <c r="K1151">
        <v>79</v>
      </c>
      <c r="L1151">
        <v>0</v>
      </c>
      <c r="M1151" t="s">
        <v>6371</v>
      </c>
    </row>
    <row r="1152" spans="1:13">
      <c r="A1152" t="s">
        <v>3060</v>
      </c>
      <c r="B1152" t="s">
        <v>295</v>
      </c>
      <c r="C1152">
        <v>44869</v>
      </c>
      <c r="D1152">
        <v>201467069</v>
      </c>
      <c r="E1152">
        <v>74719</v>
      </c>
      <c r="F1152">
        <v>65</v>
      </c>
      <c r="G1152">
        <v>20937003</v>
      </c>
      <c r="H1152">
        <v>225873</v>
      </c>
      <c r="I1152">
        <v>119899800</v>
      </c>
      <c r="J1152">
        <v>25</v>
      </c>
      <c r="K1152">
        <v>633</v>
      </c>
      <c r="L1152">
        <v>1</v>
      </c>
      <c r="M1152" t="s">
        <v>6370</v>
      </c>
    </row>
    <row r="1153" spans="1:13">
      <c r="A1153" t="s">
        <v>3062</v>
      </c>
      <c r="B1153" t="s">
        <v>3063</v>
      </c>
      <c r="C1153">
        <v>44784</v>
      </c>
      <c r="D1153">
        <v>290154153</v>
      </c>
      <c r="E1153">
        <v>78735</v>
      </c>
      <c r="F1153">
        <v>68</v>
      </c>
      <c r="G1153">
        <v>23082946</v>
      </c>
      <c r="H1153">
        <v>421187</v>
      </c>
      <c r="I1153">
        <v>914597307</v>
      </c>
      <c r="J1153">
        <v>8</v>
      </c>
      <c r="K1153">
        <v>3</v>
      </c>
      <c r="L1153">
        <v>1</v>
      </c>
      <c r="M1153" t="s">
        <v>6370</v>
      </c>
    </row>
    <row r="1154" spans="1:13">
      <c r="A1154" t="s">
        <v>3068</v>
      </c>
      <c r="B1154" t="s">
        <v>1923</v>
      </c>
      <c r="C1154">
        <v>42370</v>
      </c>
      <c r="D1154">
        <v>654612558</v>
      </c>
      <c r="E1154">
        <v>69811</v>
      </c>
      <c r="F1154">
        <v>63</v>
      </c>
      <c r="G1154">
        <v>1571210815</v>
      </c>
      <c r="H1154">
        <v>5796659</v>
      </c>
      <c r="I1154">
        <v>57898629</v>
      </c>
      <c r="J1154">
        <v>81</v>
      </c>
      <c r="K1154">
        <v>80</v>
      </c>
      <c r="L1154">
        <v>0</v>
      </c>
      <c r="M1154" t="s">
        <v>6371</v>
      </c>
    </row>
    <row r="1155" spans="1:13">
      <c r="A1155" t="s">
        <v>3071</v>
      </c>
      <c r="B1155" t="s">
        <v>3072</v>
      </c>
      <c r="C1155">
        <v>45414</v>
      </c>
      <c r="D1155">
        <v>23649304</v>
      </c>
      <c r="E1155">
        <v>1089</v>
      </c>
      <c r="F1155">
        <v>73</v>
      </c>
      <c r="G1155">
        <v>18261218</v>
      </c>
      <c r="H1155">
        <v>229451</v>
      </c>
      <c r="I1155">
        <v>1395100</v>
      </c>
      <c r="J1155">
        <v>5</v>
      </c>
      <c r="K1155">
        <v>85</v>
      </c>
      <c r="L1155">
        <v>0</v>
      </c>
      <c r="M1155" t="s">
        <v>6370</v>
      </c>
    </row>
    <row r="1156" spans="1:13">
      <c r="A1156" t="s">
        <v>3073</v>
      </c>
      <c r="B1156" t="s">
        <v>2596</v>
      </c>
      <c r="C1156">
        <v>45262</v>
      </c>
      <c r="D1156">
        <v>145332157</v>
      </c>
      <c r="E1156">
        <v>8065</v>
      </c>
      <c r="F1156">
        <v>80</v>
      </c>
      <c r="G1156">
        <v>79026835</v>
      </c>
      <c r="H1156">
        <v>407599</v>
      </c>
      <c r="I1156">
        <v>670588</v>
      </c>
      <c r="J1156">
        <v>8</v>
      </c>
      <c r="K1156">
        <v>7</v>
      </c>
      <c r="L1156">
        <v>0</v>
      </c>
      <c r="M1156" t="s">
        <v>6370</v>
      </c>
    </row>
    <row r="1157" spans="1:13">
      <c r="A1157" t="s">
        <v>3075</v>
      </c>
      <c r="B1157" t="s">
        <v>24</v>
      </c>
      <c r="C1157">
        <v>44155</v>
      </c>
      <c r="D1157">
        <v>795449825</v>
      </c>
      <c r="E1157">
        <v>89489</v>
      </c>
      <c r="F1157">
        <v>67</v>
      </c>
      <c r="G1157">
        <v>156172635</v>
      </c>
      <c r="H1157">
        <v>2182645</v>
      </c>
      <c r="I1157">
        <v>248223677</v>
      </c>
      <c r="J1157">
        <v>199</v>
      </c>
      <c r="K1157">
        <v>65</v>
      </c>
      <c r="L1157">
        <v>0</v>
      </c>
      <c r="M1157" t="s">
        <v>6371</v>
      </c>
    </row>
    <row r="1158" spans="1:13">
      <c r="A1158" t="s">
        <v>3080</v>
      </c>
      <c r="B1158" t="s">
        <v>2809</v>
      </c>
      <c r="C1158">
        <v>34335</v>
      </c>
      <c r="D1158">
        <v>1810649765</v>
      </c>
      <c r="E1158">
        <v>109411</v>
      </c>
      <c r="F1158">
        <v>60</v>
      </c>
      <c r="G1158">
        <v>824500156</v>
      </c>
      <c r="H1158">
        <v>7455155</v>
      </c>
      <c r="I1158">
        <v>15963128797</v>
      </c>
      <c r="J1158">
        <v>418</v>
      </c>
      <c r="K1158">
        <v>139</v>
      </c>
      <c r="L1158">
        <v>0</v>
      </c>
      <c r="M1158" t="s">
        <v>6372</v>
      </c>
    </row>
    <row r="1159" spans="1:13">
      <c r="A1159" t="s">
        <v>3081</v>
      </c>
      <c r="B1159" t="s">
        <v>418</v>
      </c>
      <c r="C1159">
        <v>42748</v>
      </c>
      <c r="D1159">
        <v>526264393</v>
      </c>
      <c r="E1159">
        <v>48041</v>
      </c>
      <c r="F1159">
        <v>66</v>
      </c>
      <c r="G1159">
        <v>1423626083</v>
      </c>
      <c r="H1159">
        <v>4711667</v>
      </c>
      <c r="I1159">
        <v>34073736</v>
      </c>
      <c r="J1159">
        <v>38</v>
      </c>
      <c r="K1159">
        <v>51</v>
      </c>
      <c r="L1159">
        <v>0</v>
      </c>
      <c r="M1159" t="s">
        <v>6371</v>
      </c>
    </row>
    <row r="1160" spans="1:13">
      <c r="A1160" t="s">
        <v>3090</v>
      </c>
      <c r="B1160" t="s">
        <v>981</v>
      </c>
      <c r="C1160">
        <v>40867</v>
      </c>
      <c r="D1160">
        <v>869024663</v>
      </c>
      <c r="E1160">
        <v>91687</v>
      </c>
      <c r="F1160">
        <v>69</v>
      </c>
      <c r="G1160">
        <v>1937330456</v>
      </c>
      <c r="H1160">
        <v>6059523</v>
      </c>
      <c r="I1160">
        <v>67188077</v>
      </c>
      <c r="J1160">
        <v>111</v>
      </c>
      <c r="K1160">
        <v>78</v>
      </c>
      <c r="L1160">
        <v>0</v>
      </c>
      <c r="M1160" t="s">
        <v>6371</v>
      </c>
    </row>
    <row r="1161" spans="1:13">
      <c r="A1161" t="s">
        <v>3092</v>
      </c>
      <c r="B1161" t="s">
        <v>19</v>
      </c>
      <c r="C1161">
        <v>44694</v>
      </c>
      <c r="D1161">
        <v>318340376</v>
      </c>
      <c r="E1161">
        <v>83638</v>
      </c>
      <c r="F1161">
        <v>71</v>
      </c>
      <c r="G1161">
        <v>43714392</v>
      </c>
      <c r="H1161">
        <v>491664</v>
      </c>
      <c r="I1161">
        <v>11351079</v>
      </c>
      <c r="J1161">
        <v>36</v>
      </c>
      <c r="K1161">
        <v>121</v>
      </c>
      <c r="L1161">
        <v>1</v>
      </c>
      <c r="M1161" t="s">
        <v>6370</v>
      </c>
    </row>
    <row r="1162" spans="1:13">
      <c r="A1162" t="s">
        <v>3095</v>
      </c>
      <c r="B1162" t="s">
        <v>3096</v>
      </c>
      <c r="C1162">
        <v>45086</v>
      </c>
      <c r="D1162">
        <v>76305266</v>
      </c>
      <c r="E1162">
        <v>31142</v>
      </c>
      <c r="F1162">
        <v>66</v>
      </c>
      <c r="G1162">
        <v>59140995</v>
      </c>
      <c r="H1162">
        <v>748335</v>
      </c>
      <c r="I1162">
        <v>159434907</v>
      </c>
      <c r="J1162">
        <v>8</v>
      </c>
      <c r="K1162">
        <v>19</v>
      </c>
      <c r="L1162">
        <v>0</v>
      </c>
      <c r="M1162" t="s">
        <v>6370</v>
      </c>
    </row>
    <row r="1163" spans="1:13">
      <c r="A1163" t="s">
        <v>3098</v>
      </c>
      <c r="B1163" t="s">
        <v>3099</v>
      </c>
      <c r="C1163">
        <v>45380</v>
      </c>
      <c r="D1163">
        <v>58496778</v>
      </c>
      <c r="E1163">
        <v>5573</v>
      </c>
      <c r="F1163">
        <v>74</v>
      </c>
      <c r="G1163">
        <v>6718753</v>
      </c>
      <c r="H1163">
        <v>63141</v>
      </c>
      <c r="I1163">
        <v>50112477</v>
      </c>
      <c r="J1163">
        <v>22</v>
      </c>
      <c r="K1163">
        <v>10</v>
      </c>
      <c r="L1163">
        <v>1</v>
      </c>
      <c r="M1163" t="s">
        <v>6370</v>
      </c>
    </row>
    <row r="1164" spans="1:13">
      <c r="A1164" t="s">
        <v>3100</v>
      </c>
      <c r="B1164" t="s">
        <v>276</v>
      </c>
      <c r="C1164">
        <v>42985</v>
      </c>
      <c r="D1164">
        <v>660710453</v>
      </c>
      <c r="E1164">
        <v>90212</v>
      </c>
      <c r="F1164">
        <v>62</v>
      </c>
      <c r="G1164">
        <v>814200168</v>
      </c>
      <c r="H1164">
        <v>5248262</v>
      </c>
      <c r="I1164">
        <v>50335494</v>
      </c>
      <c r="J1164">
        <v>122</v>
      </c>
      <c r="K1164">
        <v>100</v>
      </c>
      <c r="L1164">
        <v>1</v>
      </c>
      <c r="M1164" t="s">
        <v>6371</v>
      </c>
    </row>
    <row r="1165" spans="1:13">
      <c r="A1165" t="s">
        <v>3108</v>
      </c>
      <c r="B1165" t="s">
        <v>61</v>
      </c>
      <c r="C1165">
        <v>43630</v>
      </c>
      <c r="D1165">
        <v>935098853</v>
      </c>
      <c r="E1165">
        <v>63937</v>
      </c>
      <c r="F1165">
        <v>75</v>
      </c>
      <c r="G1165">
        <v>437794062</v>
      </c>
      <c r="H1165">
        <v>5982989</v>
      </c>
      <c r="I1165">
        <v>255624404</v>
      </c>
      <c r="J1165">
        <v>159</v>
      </c>
      <c r="K1165">
        <v>379</v>
      </c>
      <c r="L1165">
        <v>0</v>
      </c>
      <c r="M1165" t="s">
        <v>6371</v>
      </c>
    </row>
    <row r="1166" spans="1:13">
      <c r="A1166" t="s">
        <v>3109</v>
      </c>
      <c r="B1166" t="s">
        <v>2602</v>
      </c>
      <c r="C1166">
        <v>44792</v>
      </c>
      <c r="D1166">
        <v>142607318</v>
      </c>
      <c r="E1166">
        <v>17721</v>
      </c>
      <c r="F1166">
        <v>67</v>
      </c>
      <c r="G1166">
        <v>13270587</v>
      </c>
      <c r="H1166">
        <v>89854</v>
      </c>
      <c r="I1166">
        <v>40035442</v>
      </c>
      <c r="J1166">
        <v>28</v>
      </c>
      <c r="K1166">
        <v>131</v>
      </c>
      <c r="L1166">
        <v>0</v>
      </c>
      <c r="M1166" t="s">
        <v>6370</v>
      </c>
    </row>
    <row r="1167" spans="1:13">
      <c r="A1167" t="s">
        <v>3110</v>
      </c>
      <c r="B1167" t="s">
        <v>1071</v>
      </c>
      <c r="C1167">
        <v>44070</v>
      </c>
      <c r="D1167">
        <v>320586187</v>
      </c>
      <c r="E1167">
        <v>52739</v>
      </c>
      <c r="F1167">
        <v>71</v>
      </c>
      <c r="G1167">
        <v>174357045</v>
      </c>
      <c r="H1167">
        <v>850627</v>
      </c>
      <c r="I1167">
        <v>50043423</v>
      </c>
      <c r="J1167">
        <v>50</v>
      </c>
      <c r="K1167">
        <v>86</v>
      </c>
      <c r="L1167">
        <v>0</v>
      </c>
      <c r="M1167" t="s">
        <v>6371</v>
      </c>
    </row>
    <row r="1168" spans="1:13">
      <c r="A1168" t="s">
        <v>3115</v>
      </c>
      <c r="B1168" t="s">
        <v>141</v>
      </c>
      <c r="C1168">
        <v>44687</v>
      </c>
      <c r="D1168">
        <v>426439016</v>
      </c>
      <c r="E1168">
        <v>58352</v>
      </c>
      <c r="F1168">
        <v>71</v>
      </c>
      <c r="G1168">
        <v>187059915</v>
      </c>
      <c r="H1168">
        <v>1140762</v>
      </c>
      <c r="I1168">
        <v>232987490</v>
      </c>
      <c r="J1168">
        <v>15</v>
      </c>
      <c r="K1168">
        <v>2</v>
      </c>
      <c r="L1168">
        <v>0</v>
      </c>
      <c r="M1168" t="s">
        <v>6370</v>
      </c>
    </row>
    <row r="1169" spans="1:13">
      <c r="A1169" t="s">
        <v>3118</v>
      </c>
      <c r="B1169" t="s">
        <v>3119</v>
      </c>
      <c r="C1169">
        <v>44687</v>
      </c>
      <c r="D1169">
        <v>133353888</v>
      </c>
      <c r="E1169">
        <v>40696</v>
      </c>
      <c r="F1169">
        <v>69</v>
      </c>
      <c r="G1169">
        <v>152140804</v>
      </c>
      <c r="H1169">
        <v>845642</v>
      </c>
      <c r="I1169">
        <v>614798320</v>
      </c>
      <c r="J1169">
        <v>43</v>
      </c>
      <c r="K1169">
        <v>17</v>
      </c>
      <c r="L1169">
        <v>1</v>
      </c>
      <c r="M1169" t="s">
        <v>6370</v>
      </c>
    </row>
    <row r="1170" spans="1:13">
      <c r="A1170" t="s">
        <v>3122</v>
      </c>
      <c r="B1170" t="s">
        <v>3123</v>
      </c>
      <c r="C1170">
        <v>44838</v>
      </c>
      <c r="D1170">
        <v>142817891</v>
      </c>
      <c r="E1170">
        <v>52177</v>
      </c>
      <c r="F1170">
        <v>58</v>
      </c>
      <c r="G1170">
        <v>9564773</v>
      </c>
      <c r="H1170">
        <v>374693</v>
      </c>
      <c r="I1170">
        <v>134444259</v>
      </c>
      <c r="J1170">
        <v>30</v>
      </c>
      <c r="K1170">
        <v>1846</v>
      </c>
      <c r="L1170">
        <v>1</v>
      </c>
      <c r="M1170" t="s">
        <v>6370</v>
      </c>
    </row>
    <row r="1171" spans="1:13">
      <c r="A1171" t="s">
        <v>3132</v>
      </c>
      <c r="B1171" t="s">
        <v>3133</v>
      </c>
      <c r="C1171">
        <v>39448</v>
      </c>
      <c r="D1171">
        <v>1878098512</v>
      </c>
      <c r="E1171">
        <v>241725</v>
      </c>
      <c r="F1171">
        <v>72</v>
      </c>
      <c r="G1171">
        <v>359866287</v>
      </c>
      <c r="H1171">
        <v>1614148</v>
      </c>
      <c r="I1171">
        <v>175364993</v>
      </c>
      <c r="J1171">
        <v>230</v>
      </c>
      <c r="K1171">
        <v>257</v>
      </c>
      <c r="L1171">
        <v>0</v>
      </c>
      <c r="M1171" t="s">
        <v>6372</v>
      </c>
    </row>
    <row r="1172" spans="1:13">
      <c r="A1172" t="s">
        <v>3134</v>
      </c>
      <c r="B1172" t="s">
        <v>221</v>
      </c>
      <c r="C1172">
        <v>44736</v>
      </c>
      <c r="D1172">
        <v>192633758</v>
      </c>
      <c r="E1172">
        <v>25097</v>
      </c>
      <c r="F1172">
        <v>72</v>
      </c>
      <c r="G1172">
        <v>43607584</v>
      </c>
      <c r="H1172">
        <v>203727</v>
      </c>
      <c r="I1172">
        <v>45564333</v>
      </c>
      <c r="J1172">
        <v>12</v>
      </c>
      <c r="K1172">
        <v>199</v>
      </c>
      <c r="L1172">
        <v>0</v>
      </c>
      <c r="M1172" t="s">
        <v>6370</v>
      </c>
    </row>
    <row r="1173" spans="1:13">
      <c r="A1173" t="s">
        <v>3142</v>
      </c>
      <c r="B1173" t="s">
        <v>3143</v>
      </c>
      <c r="C1173">
        <v>44939</v>
      </c>
      <c r="D1173">
        <v>137897920</v>
      </c>
      <c r="E1173">
        <v>26625</v>
      </c>
      <c r="F1173">
        <v>69</v>
      </c>
      <c r="G1173">
        <v>61438933</v>
      </c>
      <c r="H1173">
        <v>366832</v>
      </c>
      <c r="I1173">
        <v>33714095</v>
      </c>
      <c r="J1173">
        <v>73</v>
      </c>
      <c r="K1173">
        <v>7</v>
      </c>
      <c r="L1173">
        <v>0</v>
      </c>
      <c r="M1173" t="s">
        <v>6370</v>
      </c>
    </row>
    <row r="1174" spans="1:13">
      <c r="A1174" t="s">
        <v>3144</v>
      </c>
      <c r="B1174" t="s">
        <v>170</v>
      </c>
      <c r="C1174">
        <v>43588</v>
      </c>
      <c r="D1174">
        <v>312111545</v>
      </c>
      <c r="E1174">
        <v>30520</v>
      </c>
      <c r="F1174">
        <v>66</v>
      </c>
      <c r="G1174">
        <v>722096242</v>
      </c>
      <c r="H1174">
        <v>5368740</v>
      </c>
      <c r="I1174">
        <v>661920679</v>
      </c>
      <c r="J1174">
        <v>32</v>
      </c>
      <c r="K1174">
        <v>392</v>
      </c>
      <c r="L1174">
        <v>0</v>
      </c>
      <c r="M1174" t="s">
        <v>6371</v>
      </c>
    </row>
    <row r="1175" spans="1:13">
      <c r="A1175" t="s">
        <v>3145</v>
      </c>
      <c r="B1175" t="s">
        <v>233</v>
      </c>
      <c r="C1175">
        <v>44379</v>
      </c>
      <c r="D1175">
        <v>309587427</v>
      </c>
      <c r="E1175">
        <v>57487</v>
      </c>
      <c r="F1175">
        <v>64</v>
      </c>
      <c r="G1175">
        <v>199356851</v>
      </c>
      <c r="H1175">
        <v>1545728</v>
      </c>
      <c r="I1175">
        <v>34312597</v>
      </c>
      <c r="J1175">
        <v>38</v>
      </c>
      <c r="K1175">
        <v>64</v>
      </c>
      <c r="L1175">
        <v>0</v>
      </c>
      <c r="M1175" t="s">
        <v>6370</v>
      </c>
    </row>
    <row r="1176" spans="1:13">
      <c r="A1176" t="s">
        <v>3150</v>
      </c>
      <c r="B1176" t="s">
        <v>81</v>
      </c>
      <c r="C1176">
        <v>44134</v>
      </c>
      <c r="D1176">
        <v>541397856</v>
      </c>
      <c r="E1176">
        <v>62958</v>
      </c>
      <c r="F1176">
        <v>66</v>
      </c>
      <c r="G1176">
        <v>195125143</v>
      </c>
      <c r="H1176">
        <v>1921318</v>
      </c>
      <c r="I1176">
        <v>1082235761</v>
      </c>
      <c r="J1176">
        <v>47</v>
      </c>
      <c r="K1176">
        <v>328</v>
      </c>
      <c r="L1176">
        <v>0</v>
      </c>
      <c r="M1176" t="s">
        <v>6371</v>
      </c>
    </row>
    <row r="1177" spans="1:13">
      <c r="A1177" t="s">
        <v>3152</v>
      </c>
      <c r="B1177" t="s">
        <v>133</v>
      </c>
      <c r="C1177">
        <v>40867</v>
      </c>
      <c r="D1177">
        <v>2086460781</v>
      </c>
      <c r="E1177">
        <v>167759</v>
      </c>
      <c r="F1177">
        <v>77</v>
      </c>
      <c r="G1177">
        <v>212889507</v>
      </c>
      <c r="H1177">
        <v>1603354</v>
      </c>
      <c r="I1177">
        <v>264665397</v>
      </c>
      <c r="J1177">
        <v>259</v>
      </c>
      <c r="K1177">
        <v>1073</v>
      </c>
      <c r="L1177">
        <v>0</v>
      </c>
      <c r="M1177" t="s">
        <v>6371</v>
      </c>
    </row>
    <row r="1178" spans="1:13">
      <c r="A1178" t="s">
        <v>3156</v>
      </c>
      <c r="B1178" t="s">
        <v>576</v>
      </c>
      <c r="C1178">
        <v>44350</v>
      </c>
      <c r="D1178">
        <v>254118106</v>
      </c>
      <c r="E1178">
        <v>38980</v>
      </c>
      <c r="F1178">
        <v>58</v>
      </c>
      <c r="G1178">
        <v>404064054</v>
      </c>
      <c r="H1178">
        <v>2732944</v>
      </c>
      <c r="I1178">
        <v>2737871422</v>
      </c>
      <c r="J1178">
        <v>70</v>
      </c>
      <c r="K1178">
        <v>421</v>
      </c>
      <c r="L1178">
        <v>0</v>
      </c>
      <c r="M1178" t="s">
        <v>6370</v>
      </c>
    </row>
    <row r="1179" spans="1:13">
      <c r="A1179" t="s">
        <v>3161</v>
      </c>
      <c r="B1179" t="s">
        <v>755</v>
      </c>
      <c r="C1179">
        <v>44638</v>
      </c>
      <c r="D1179">
        <v>293724552</v>
      </c>
      <c r="E1179">
        <v>27089</v>
      </c>
      <c r="F1179">
        <v>68</v>
      </c>
      <c r="G1179">
        <v>343273995</v>
      </c>
      <c r="H1179">
        <v>6840494</v>
      </c>
      <c r="I1179">
        <v>866409009</v>
      </c>
      <c r="J1179">
        <v>7</v>
      </c>
      <c r="K1179">
        <v>255</v>
      </c>
      <c r="L1179">
        <v>0</v>
      </c>
      <c r="M1179" t="s">
        <v>6370</v>
      </c>
    </row>
    <row r="1180" spans="1:13">
      <c r="A1180" t="s">
        <v>3166</v>
      </c>
      <c r="B1180" t="s">
        <v>1705</v>
      </c>
      <c r="C1180">
        <v>44903</v>
      </c>
      <c r="D1180">
        <v>172082938</v>
      </c>
      <c r="E1180">
        <v>15951</v>
      </c>
      <c r="F1180">
        <v>66</v>
      </c>
      <c r="G1180">
        <v>215719591</v>
      </c>
      <c r="H1180">
        <v>857582</v>
      </c>
      <c r="I1180">
        <v>874751736</v>
      </c>
      <c r="J1180">
        <v>3</v>
      </c>
      <c r="K1180">
        <v>456</v>
      </c>
      <c r="L1180">
        <v>1</v>
      </c>
      <c r="M1180" t="s">
        <v>6370</v>
      </c>
    </row>
    <row r="1181" spans="1:13">
      <c r="A1181" t="s">
        <v>3167</v>
      </c>
      <c r="B1181" t="s">
        <v>2407</v>
      </c>
      <c r="C1181">
        <v>44350</v>
      </c>
      <c r="D1181">
        <v>438511316</v>
      </c>
      <c r="E1181">
        <v>96233</v>
      </c>
      <c r="F1181">
        <v>77</v>
      </c>
      <c r="G1181">
        <v>27188286</v>
      </c>
      <c r="H1181">
        <v>573905</v>
      </c>
      <c r="I1181">
        <v>434155492</v>
      </c>
      <c r="J1181">
        <v>4</v>
      </c>
      <c r="K1181">
        <v>37</v>
      </c>
      <c r="L1181">
        <v>0</v>
      </c>
      <c r="M1181" t="s">
        <v>6370</v>
      </c>
    </row>
    <row r="1182" spans="1:13">
      <c r="A1182" t="s">
        <v>3170</v>
      </c>
      <c r="B1182" t="s">
        <v>920</v>
      </c>
      <c r="C1182">
        <v>44795</v>
      </c>
      <c r="D1182">
        <v>365203093</v>
      </c>
      <c r="E1182">
        <v>28691</v>
      </c>
      <c r="F1182">
        <v>69</v>
      </c>
      <c r="G1182">
        <v>281724902</v>
      </c>
      <c r="H1182">
        <v>2937674</v>
      </c>
      <c r="I1182">
        <v>49211096</v>
      </c>
      <c r="J1182">
        <v>25</v>
      </c>
      <c r="K1182">
        <v>122</v>
      </c>
      <c r="L1182">
        <v>0</v>
      </c>
      <c r="M1182" t="s">
        <v>6370</v>
      </c>
    </row>
    <row r="1183" spans="1:13">
      <c r="A1183" t="s">
        <v>3173</v>
      </c>
      <c r="B1183" t="s">
        <v>51</v>
      </c>
      <c r="C1183">
        <v>42937</v>
      </c>
      <c r="D1183">
        <v>1091185920</v>
      </c>
      <c r="E1183">
        <v>114997</v>
      </c>
      <c r="F1183">
        <v>72</v>
      </c>
      <c r="G1183">
        <v>522422864</v>
      </c>
      <c r="H1183">
        <v>5993528</v>
      </c>
      <c r="I1183">
        <v>372214292</v>
      </c>
      <c r="J1183">
        <v>37</v>
      </c>
      <c r="K1183">
        <v>22</v>
      </c>
      <c r="L1183">
        <v>0</v>
      </c>
      <c r="M1183" t="s">
        <v>6371</v>
      </c>
    </row>
    <row r="1184" spans="1:13">
      <c r="A1184" t="s">
        <v>3174</v>
      </c>
      <c r="B1184" t="s">
        <v>3175</v>
      </c>
      <c r="C1184">
        <v>43811</v>
      </c>
      <c r="D1184">
        <v>335856859</v>
      </c>
      <c r="E1184">
        <v>27383</v>
      </c>
      <c r="F1184">
        <v>66</v>
      </c>
      <c r="G1184">
        <v>917170916</v>
      </c>
      <c r="H1184">
        <v>6108835</v>
      </c>
      <c r="I1184">
        <v>332846214</v>
      </c>
      <c r="J1184">
        <v>8</v>
      </c>
      <c r="K1184">
        <v>1</v>
      </c>
      <c r="L1184">
        <v>0</v>
      </c>
      <c r="M1184" t="s">
        <v>6371</v>
      </c>
    </row>
    <row r="1185" spans="1:13">
      <c r="A1185" t="s">
        <v>3178</v>
      </c>
      <c r="B1185" t="s">
        <v>701</v>
      </c>
      <c r="C1185">
        <v>44729</v>
      </c>
      <c r="D1185">
        <v>125056212</v>
      </c>
      <c r="E1185">
        <v>43939</v>
      </c>
      <c r="F1185">
        <v>61</v>
      </c>
      <c r="G1185">
        <v>123551829</v>
      </c>
      <c r="H1185">
        <v>1191440</v>
      </c>
      <c r="I1185">
        <v>58980168</v>
      </c>
      <c r="J1185">
        <v>53</v>
      </c>
      <c r="K1185">
        <v>271</v>
      </c>
      <c r="L1185">
        <v>0</v>
      </c>
      <c r="M1185" t="s">
        <v>6370</v>
      </c>
    </row>
    <row r="1186" spans="1:13">
      <c r="A1186" t="s">
        <v>3179</v>
      </c>
      <c r="B1186" t="s">
        <v>2328</v>
      </c>
      <c r="C1186">
        <v>44197</v>
      </c>
      <c r="D1186">
        <v>343227483</v>
      </c>
      <c r="E1186">
        <v>71196</v>
      </c>
      <c r="F1186">
        <v>63</v>
      </c>
      <c r="G1186">
        <v>239480315</v>
      </c>
      <c r="H1186">
        <v>4107386</v>
      </c>
      <c r="I1186">
        <v>6292383402</v>
      </c>
      <c r="J1186">
        <v>9</v>
      </c>
      <c r="K1186">
        <v>554</v>
      </c>
      <c r="L1186">
        <v>1</v>
      </c>
      <c r="M1186" t="s">
        <v>6370</v>
      </c>
    </row>
    <row r="1187" spans="1:13">
      <c r="A1187" t="s">
        <v>3180</v>
      </c>
      <c r="B1187" t="s">
        <v>860</v>
      </c>
      <c r="C1187">
        <v>44358</v>
      </c>
      <c r="D1187">
        <v>319372639</v>
      </c>
      <c r="E1187">
        <v>63421</v>
      </c>
      <c r="F1187">
        <v>60</v>
      </c>
      <c r="G1187">
        <v>166781349</v>
      </c>
      <c r="H1187">
        <v>2497154</v>
      </c>
      <c r="I1187">
        <v>3757736116</v>
      </c>
      <c r="J1187">
        <v>91</v>
      </c>
      <c r="K1187">
        <v>175</v>
      </c>
      <c r="L1187">
        <v>1</v>
      </c>
      <c r="M1187" t="s">
        <v>6370</v>
      </c>
    </row>
    <row r="1188" spans="1:13">
      <c r="A1188" t="s">
        <v>3181</v>
      </c>
      <c r="B1188" t="s">
        <v>19</v>
      </c>
      <c r="C1188">
        <v>40909</v>
      </c>
      <c r="D1188">
        <v>1476217041</v>
      </c>
      <c r="E1188">
        <v>352198</v>
      </c>
      <c r="F1188">
        <v>75</v>
      </c>
      <c r="G1188">
        <v>385175377</v>
      </c>
      <c r="H1188">
        <v>3054056</v>
      </c>
      <c r="I1188">
        <v>1484578640</v>
      </c>
      <c r="J1188">
        <v>117</v>
      </c>
      <c r="K1188">
        <v>7</v>
      </c>
      <c r="L1188">
        <v>1</v>
      </c>
      <c r="M1188" t="s">
        <v>6371</v>
      </c>
    </row>
    <row r="1189" spans="1:13">
      <c r="A1189" t="s">
        <v>3185</v>
      </c>
      <c r="B1189" t="s">
        <v>1235</v>
      </c>
      <c r="C1189">
        <v>45023</v>
      </c>
      <c r="D1189">
        <v>139105802</v>
      </c>
      <c r="E1189">
        <v>16162</v>
      </c>
      <c r="F1189">
        <v>63</v>
      </c>
      <c r="G1189">
        <v>18520292</v>
      </c>
      <c r="H1189">
        <v>175833</v>
      </c>
      <c r="I1189">
        <v>147611576</v>
      </c>
      <c r="J1189">
        <v>66</v>
      </c>
      <c r="K1189">
        <v>1787</v>
      </c>
      <c r="L1189">
        <v>0</v>
      </c>
      <c r="M1189" t="s">
        <v>6370</v>
      </c>
    </row>
    <row r="1190" spans="1:13">
      <c r="A1190" t="s">
        <v>3188</v>
      </c>
      <c r="B1190" t="s">
        <v>903</v>
      </c>
      <c r="C1190">
        <v>45189</v>
      </c>
      <c r="D1190">
        <v>125169958</v>
      </c>
      <c r="E1190">
        <v>19673</v>
      </c>
      <c r="F1190">
        <v>5</v>
      </c>
      <c r="G1190">
        <v>22661967</v>
      </c>
      <c r="H1190">
        <v>332818</v>
      </c>
      <c r="I1190">
        <v>136718693</v>
      </c>
      <c r="J1190">
        <v>60</v>
      </c>
      <c r="K1190">
        <v>3</v>
      </c>
      <c r="L1190">
        <v>1</v>
      </c>
      <c r="M1190" t="s">
        <v>6370</v>
      </c>
    </row>
    <row r="1191" spans="1:13">
      <c r="A1191" t="s">
        <v>3189</v>
      </c>
      <c r="B1191" t="s">
        <v>148</v>
      </c>
      <c r="C1191">
        <v>44904</v>
      </c>
      <c r="D1191">
        <v>452881574</v>
      </c>
      <c r="E1191">
        <v>59064</v>
      </c>
      <c r="F1191">
        <v>73</v>
      </c>
      <c r="G1191">
        <v>30642267</v>
      </c>
      <c r="H1191">
        <v>285150</v>
      </c>
      <c r="I1191">
        <v>449104323</v>
      </c>
      <c r="J1191">
        <v>22</v>
      </c>
      <c r="K1191">
        <v>56</v>
      </c>
      <c r="L1191">
        <v>1</v>
      </c>
      <c r="M1191" t="s">
        <v>6370</v>
      </c>
    </row>
    <row r="1192" spans="1:13">
      <c r="A1192" t="s">
        <v>3190</v>
      </c>
      <c r="B1192" t="s">
        <v>2267</v>
      </c>
      <c r="C1192">
        <v>41960</v>
      </c>
      <c r="D1192">
        <v>1548151634</v>
      </c>
      <c r="E1192">
        <v>154325</v>
      </c>
      <c r="F1192">
        <v>83</v>
      </c>
      <c r="G1192">
        <v>948760574</v>
      </c>
      <c r="H1192">
        <v>9009457</v>
      </c>
      <c r="I1192">
        <v>1820024186</v>
      </c>
      <c r="J1192">
        <v>66</v>
      </c>
      <c r="K1192">
        <v>17</v>
      </c>
      <c r="L1192">
        <v>0</v>
      </c>
      <c r="M1192" t="s">
        <v>6371</v>
      </c>
    </row>
    <row r="1193" spans="1:13">
      <c r="A1193" t="s">
        <v>3191</v>
      </c>
      <c r="B1193" t="s">
        <v>2362</v>
      </c>
      <c r="C1193">
        <v>43570</v>
      </c>
      <c r="D1193">
        <v>518477840</v>
      </c>
      <c r="E1193">
        <v>40921</v>
      </c>
      <c r="F1193">
        <v>71</v>
      </c>
      <c r="G1193">
        <v>970377956</v>
      </c>
      <c r="H1193">
        <v>2794007</v>
      </c>
      <c r="I1193">
        <v>135032701</v>
      </c>
      <c r="J1193">
        <v>39</v>
      </c>
      <c r="K1193">
        <v>190</v>
      </c>
      <c r="L1193">
        <v>0</v>
      </c>
      <c r="M1193" t="s">
        <v>6371</v>
      </c>
    </row>
    <row r="1194" spans="1:13">
      <c r="A1194" t="s">
        <v>3196</v>
      </c>
      <c r="B1194" t="s">
        <v>19</v>
      </c>
      <c r="C1194">
        <v>42839</v>
      </c>
      <c r="D1194">
        <v>1157112366</v>
      </c>
      <c r="E1194">
        <v>185660</v>
      </c>
      <c r="F1194">
        <v>75</v>
      </c>
      <c r="G1194">
        <v>356343325</v>
      </c>
      <c r="H1194">
        <v>3573193</v>
      </c>
      <c r="I1194">
        <v>97997064</v>
      </c>
      <c r="J1194">
        <v>191</v>
      </c>
      <c r="K1194">
        <v>63</v>
      </c>
      <c r="L1194">
        <v>1</v>
      </c>
      <c r="M1194" t="s">
        <v>6371</v>
      </c>
    </row>
    <row r="1195" spans="1:13">
      <c r="A1195" t="s">
        <v>3202</v>
      </c>
      <c r="B1195" t="s">
        <v>313</v>
      </c>
      <c r="C1195">
        <v>44624</v>
      </c>
      <c r="D1195">
        <v>222910969</v>
      </c>
      <c r="E1195">
        <v>42182</v>
      </c>
      <c r="F1195">
        <v>61</v>
      </c>
      <c r="G1195">
        <v>69332188</v>
      </c>
      <c r="H1195">
        <v>971738</v>
      </c>
      <c r="I1195">
        <v>11257489400</v>
      </c>
      <c r="J1195">
        <v>34</v>
      </c>
      <c r="K1195">
        <v>2464</v>
      </c>
      <c r="L1195">
        <v>1</v>
      </c>
      <c r="M1195" t="s">
        <v>6370</v>
      </c>
    </row>
    <row r="1196" spans="1:13">
      <c r="A1196" t="s">
        <v>3205</v>
      </c>
      <c r="B1196" t="s">
        <v>1949</v>
      </c>
      <c r="C1196">
        <v>43742</v>
      </c>
      <c r="D1196">
        <v>666107710</v>
      </c>
      <c r="E1196">
        <v>127503</v>
      </c>
      <c r="F1196">
        <v>71</v>
      </c>
      <c r="G1196">
        <v>234005957</v>
      </c>
      <c r="H1196">
        <v>3231466</v>
      </c>
      <c r="I1196">
        <v>5185694852</v>
      </c>
      <c r="J1196">
        <v>71</v>
      </c>
      <c r="K1196">
        <v>23</v>
      </c>
      <c r="L1196">
        <v>0</v>
      </c>
      <c r="M1196" t="s">
        <v>6371</v>
      </c>
    </row>
    <row r="1197" spans="1:13">
      <c r="A1197" t="s">
        <v>3206</v>
      </c>
      <c r="B1197" t="s">
        <v>590</v>
      </c>
      <c r="C1197">
        <v>45078</v>
      </c>
      <c r="D1197">
        <v>44751795</v>
      </c>
      <c r="E1197">
        <v>23415</v>
      </c>
      <c r="F1197">
        <v>55</v>
      </c>
      <c r="G1197">
        <v>21737557</v>
      </c>
      <c r="H1197">
        <v>277948</v>
      </c>
      <c r="I1197">
        <v>114732862</v>
      </c>
      <c r="J1197">
        <v>44</v>
      </c>
      <c r="K1197">
        <v>855</v>
      </c>
      <c r="L1197">
        <v>1</v>
      </c>
      <c r="M1197" t="s">
        <v>6370</v>
      </c>
    </row>
    <row r="1198" spans="1:13">
      <c r="A1198" t="s">
        <v>3213</v>
      </c>
      <c r="B1198" t="s">
        <v>3214</v>
      </c>
      <c r="C1198">
        <v>42370</v>
      </c>
      <c r="D1198">
        <v>560774282</v>
      </c>
      <c r="E1198">
        <v>62305</v>
      </c>
      <c r="F1198">
        <v>68</v>
      </c>
      <c r="G1198">
        <v>861165099</v>
      </c>
      <c r="H1198">
        <v>4288539</v>
      </c>
      <c r="I1198">
        <v>216533242</v>
      </c>
      <c r="J1198">
        <v>38</v>
      </c>
      <c r="K1198">
        <v>36</v>
      </c>
      <c r="L1198">
        <v>0</v>
      </c>
      <c r="M1198" t="s">
        <v>6371</v>
      </c>
    </row>
    <row r="1199" spans="1:13">
      <c r="A1199" t="s">
        <v>3215</v>
      </c>
      <c r="B1199" t="s">
        <v>157</v>
      </c>
      <c r="C1199">
        <v>45007</v>
      </c>
      <c r="D1199">
        <v>146680564</v>
      </c>
      <c r="E1199">
        <v>28883</v>
      </c>
      <c r="F1199">
        <v>62</v>
      </c>
      <c r="G1199">
        <v>154916805</v>
      </c>
      <c r="H1199">
        <v>3043720</v>
      </c>
      <c r="I1199">
        <v>1816865</v>
      </c>
      <c r="J1199">
        <v>8</v>
      </c>
      <c r="K1199">
        <v>14</v>
      </c>
      <c r="L1199">
        <v>0</v>
      </c>
      <c r="M1199" t="s">
        <v>6370</v>
      </c>
    </row>
    <row r="1200" spans="1:13">
      <c r="A1200" t="s">
        <v>3217</v>
      </c>
      <c r="B1200" t="s">
        <v>531</v>
      </c>
      <c r="C1200">
        <v>45156</v>
      </c>
      <c r="D1200">
        <v>114669893</v>
      </c>
      <c r="E1200">
        <v>39763</v>
      </c>
      <c r="F1200">
        <v>60</v>
      </c>
      <c r="G1200">
        <v>7212572</v>
      </c>
      <c r="H1200">
        <v>84826</v>
      </c>
      <c r="I1200">
        <v>25286791</v>
      </c>
      <c r="J1200">
        <v>2</v>
      </c>
      <c r="K1200">
        <v>10</v>
      </c>
      <c r="L1200">
        <v>1</v>
      </c>
      <c r="M1200" t="s">
        <v>6370</v>
      </c>
    </row>
    <row r="1201" spans="1:13">
      <c r="A1201" t="s">
        <v>3219</v>
      </c>
      <c r="B1201" t="s">
        <v>360</v>
      </c>
      <c r="C1201">
        <v>42782</v>
      </c>
      <c r="D1201">
        <v>1430439855</v>
      </c>
      <c r="E1201">
        <v>150179</v>
      </c>
      <c r="F1201">
        <v>71</v>
      </c>
      <c r="G1201">
        <v>308045364</v>
      </c>
      <c r="H1201">
        <v>2768168</v>
      </c>
      <c r="I1201">
        <v>81779367</v>
      </c>
      <c r="J1201">
        <v>210</v>
      </c>
      <c r="K1201">
        <v>217</v>
      </c>
      <c r="L1201">
        <v>0</v>
      </c>
      <c r="M1201" t="s">
        <v>6371</v>
      </c>
    </row>
    <row r="1202" spans="1:13">
      <c r="A1202" t="s">
        <v>3222</v>
      </c>
      <c r="B1202" t="s">
        <v>2047</v>
      </c>
      <c r="C1202">
        <v>44130</v>
      </c>
      <c r="D1202">
        <v>384886220</v>
      </c>
      <c r="E1202">
        <v>32051</v>
      </c>
      <c r="F1202">
        <v>65</v>
      </c>
      <c r="G1202">
        <v>681682229</v>
      </c>
      <c r="H1202">
        <v>7966863</v>
      </c>
      <c r="I1202">
        <v>666762692</v>
      </c>
      <c r="J1202">
        <v>31</v>
      </c>
      <c r="K1202">
        <v>9</v>
      </c>
      <c r="L1202">
        <v>0</v>
      </c>
      <c r="M1202" t="s">
        <v>6371</v>
      </c>
    </row>
    <row r="1203" spans="1:13">
      <c r="A1203" t="s">
        <v>3223</v>
      </c>
      <c r="B1203" t="s">
        <v>47</v>
      </c>
      <c r="C1203">
        <v>43714</v>
      </c>
      <c r="D1203">
        <v>622690472</v>
      </c>
      <c r="E1203">
        <v>108263</v>
      </c>
      <c r="F1203">
        <v>69</v>
      </c>
      <c r="G1203">
        <v>261237045</v>
      </c>
      <c r="H1203">
        <v>2753871</v>
      </c>
      <c r="I1203">
        <v>17207972</v>
      </c>
      <c r="J1203">
        <v>36</v>
      </c>
      <c r="K1203">
        <v>2</v>
      </c>
      <c r="L1203">
        <v>0</v>
      </c>
      <c r="M1203" t="s">
        <v>6371</v>
      </c>
    </row>
    <row r="1204" spans="1:13">
      <c r="A1204" t="s">
        <v>3226</v>
      </c>
      <c r="B1204" t="s">
        <v>3227</v>
      </c>
      <c r="C1204">
        <v>41478</v>
      </c>
      <c r="D1204">
        <v>618671056</v>
      </c>
      <c r="E1204">
        <v>78822</v>
      </c>
      <c r="F1204">
        <v>71</v>
      </c>
      <c r="G1204">
        <v>1398550208</v>
      </c>
      <c r="H1204">
        <v>4470299</v>
      </c>
      <c r="I1204">
        <v>302300755</v>
      </c>
      <c r="J1204">
        <v>112</v>
      </c>
      <c r="K1204">
        <v>253</v>
      </c>
      <c r="L1204">
        <v>0</v>
      </c>
      <c r="M1204" t="s">
        <v>6371</v>
      </c>
    </row>
    <row r="1205" spans="1:13">
      <c r="A1205" t="s">
        <v>3235</v>
      </c>
      <c r="B1205" t="s">
        <v>61</v>
      </c>
      <c r="C1205">
        <v>44175</v>
      </c>
      <c r="D1205">
        <v>844790027</v>
      </c>
      <c r="E1205">
        <v>67136</v>
      </c>
      <c r="F1205">
        <v>72</v>
      </c>
      <c r="G1205">
        <v>189534686</v>
      </c>
      <c r="H1205">
        <v>2729881</v>
      </c>
      <c r="I1205">
        <v>212587391</v>
      </c>
      <c r="J1205">
        <v>167</v>
      </c>
      <c r="K1205">
        <v>131</v>
      </c>
      <c r="L1205">
        <v>0</v>
      </c>
      <c r="M1205" t="s">
        <v>6371</v>
      </c>
    </row>
    <row r="1206" spans="1:13">
      <c r="A1206" t="s">
        <v>3238</v>
      </c>
      <c r="B1206" t="s">
        <v>1030</v>
      </c>
      <c r="C1206">
        <v>44421</v>
      </c>
      <c r="D1206">
        <v>509445605</v>
      </c>
      <c r="E1206">
        <v>105947</v>
      </c>
      <c r="F1206">
        <v>68</v>
      </c>
      <c r="G1206">
        <v>21324881</v>
      </c>
      <c r="H1206">
        <v>168696</v>
      </c>
      <c r="I1206">
        <v>16050371</v>
      </c>
      <c r="J1206">
        <v>124</v>
      </c>
      <c r="K1206">
        <v>307</v>
      </c>
      <c r="L1206">
        <v>0</v>
      </c>
      <c r="M1206" t="s">
        <v>6370</v>
      </c>
    </row>
    <row r="1207" spans="1:13">
      <c r="A1207" t="s">
        <v>3239</v>
      </c>
      <c r="B1207" t="s">
        <v>444</v>
      </c>
      <c r="C1207">
        <v>44372</v>
      </c>
      <c r="D1207">
        <v>596905923</v>
      </c>
      <c r="E1207">
        <v>83179</v>
      </c>
      <c r="F1207">
        <v>76</v>
      </c>
      <c r="G1207">
        <v>132634826</v>
      </c>
      <c r="H1207">
        <v>1011336</v>
      </c>
      <c r="I1207">
        <v>1408309850</v>
      </c>
      <c r="J1207">
        <v>72</v>
      </c>
      <c r="K1207">
        <v>181</v>
      </c>
      <c r="L1207">
        <v>1</v>
      </c>
      <c r="M1207" t="s">
        <v>6370</v>
      </c>
    </row>
    <row r="1208" spans="1:13">
      <c r="A1208" t="s">
        <v>3240</v>
      </c>
      <c r="B1208" t="s">
        <v>295</v>
      </c>
      <c r="C1208">
        <v>44260</v>
      </c>
      <c r="D1208">
        <v>383261731</v>
      </c>
      <c r="E1208">
        <v>94964</v>
      </c>
      <c r="F1208">
        <v>62</v>
      </c>
      <c r="G1208">
        <v>84527592</v>
      </c>
      <c r="H1208">
        <v>1340886</v>
      </c>
      <c r="I1208">
        <v>320457752</v>
      </c>
      <c r="J1208">
        <v>62</v>
      </c>
      <c r="K1208">
        <v>377</v>
      </c>
      <c r="L1208">
        <v>1</v>
      </c>
      <c r="M1208" t="s">
        <v>6370</v>
      </c>
    </row>
    <row r="1209" spans="1:13">
      <c r="A1209" t="s">
        <v>3241</v>
      </c>
      <c r="B1209" t="s">
        <v>1770</v>
      </c>
      <c r="C1209">
        <v>44578</v>
      </c>
      <c r="D1209">
        <v>190872805</v>
      </c>
      <c r="E1209">
        <v>102679</v>
      </c>
      <c r="F1209">
        <v>61</v>
      </c>
      <c r="G1209">
        <v>4804721</v>
      </c>
      <c r="H1209">
        <v>64070</v>
      </c>
      <c r="I1209">
        <v>435794732</v>
      </c>
      <c r="J1209">
        <v>44</v>
      </c>
      <c r="K1209">
        <v>1</v>
      </c>
      <c r="L1209">
        <v>0</v>
      </c>
      <c r="M1209" t="s">
        <v>6370</v>
      </c>
    </row>
    <row r="1210" spans="1:13">
      <c r="A1210" t="s">
        <v>3246</v>
      </c>
      <c r="B1210" t="s">
        <v>772</v>
      </c>
      <c r="C1210">
        <v>40909</v>
      </c>
      <c r="D1210">
        <v>1125407888</v>
      </c>
      <c r="E1210">
        <v>189848</v>
      </c>
      <c r="F1210">
        <v>73</v>
      </c>
      <c r="G1210">
        <v>565850053</v>
      </c>
      <c r="H1210">
        <v>3904912</v>
      </c>
      <c r="I1210">
        <v>275858975</v>
      </c>
      <c r="J1210">
        <v>149</v>
      </c>
      <c r="K1210">
        <v>206</v>
      </c>
      <c r="L1210">
        <v>1</v>
      </c>
      <c r="M1210" t="s">
        <v>6371</v>
      </c>
    </row>
    <row r="1211" spans="1:13">
      <c r="A1211" t="s">
        <v>3250</v>
      </c>
      <c r="B1211" t="s">
        <v>184</v>
      </c>
      <c r="C1211">
        <v>42328</v>
      </c>
      <c r="D1211">
        <v>1064599051</v>
      </c>
      <c r="E1211">
        <v>89443</v>
      </c>
      <c r="F1211">
        <v>66</v>
      </c>
      <c r="G1211">
        <v>997993764</v>
      </c>
      <c r="H1211">
        <v>6246988</v>
      </c>
      <c r="I1211">
        <v>261382201</v>
      </c>
      <c r="J1211">
        <v>116</v>
      </c>
      <c r="K1211">
        <v>108</v>
      </c>
      <c r="L1211">
        <v>0</v>
      </c>
      <c r="M1211" t="s">
        <v>6371</v>
      </c>
    </row>
    <row r="1212" spans="1:13">
      <c r="A1212" t="s">
        <v>3253</v>
      </c>
      <c r="B1212" t="s">
        <v>938</v>
      </c>
      <c r="C1212">
        <v>43126</v>
      </c>
      <c r="D1212">
        <v>546219103</v>
      </c>
      <c r="E1212">
        <v>43372</v>
      </c>
      <c r="F1212">
        <v>69</v>
      </c>
      <c r="G1212">
        <v>1289314157</v>
      </c>
      <c r="H1212">
        <v>6163163</v>
      </c>
      <c r="I1212">
        <v>222363120</v>
      </c>
      <c r="J1212">
        <v>21</v>
      </c>
      <c r="K1212">
        <v>102</v>
      </c>
      <c r="L1212">
        <v>0</v>
      </c>
      <c r="M1212" t="s">
        <v>6371</v>
      </c>
    </row>
    <row r="1213" spans="1:13">
      <c r="A1213" t="s">
        <v>3254</v>
      </c>
      <c r="B1213" t="s">
        <v>535</v>
      </c>
      <c r="C1213">
        <v>41275</v>
      </c>
      <c r="D1213">
        <v>1327093253</v>
      </c>
      <c r="E1213">
        <v>188363</v>
      </c>
      <c r="F1213">
        <v>70</v>
      </c>
      <c r="G1213">
        <v>875568512</v>
      </c>
      <c r="H1213">
        <v>5009883</v>
      </c>
      <c r="I1213">
        <v>1196196511</v>
      </c>
      <c r="J1213">
        <v>250</v>
      </c>
      <c r="K1213">
        <v>214</v>
      </c>
      <c r="L1213">
        <v>0</v>
      </c>
      <c r="M1213" t="s">
        <v>6371</v>
      </c>
    </row>
    <row r="1214" spans="1:13">
      <c r="A1214" t="s">
        <v>3255</v>
      </c>
      <c r="B1214" t="s">
        <v>3256</v>
      </c>
      <c r="C1214">
        <v>43259</v>
      </c>
      <c r="D1214">
        <v>390529605</v>
      </c>
      <c r="E1214">
        <v>68181</v>
      </c>
      <c r="F1214">
        <v>67</v>
      </c>
      <c r="G1214">
        <v>388438653</v>
      </c>
      <c r="H1214">
        <v>6747169</v>
      </c>
      <c r="I1214">
        <v>15189209474</v>
      </c>
      <c r="J1214">
        <v>17</v>
      </c>
      <c r="K1214">
        <v>12</v>
      </c>
      <c r="L1214">
        <v>1</v>
      </c>
      <c r="M1214" t="s">
        <v>6371</v>
      </c>
    </row>
    <row r="1215" spans="1:13">
      <c r="A1215" t="s">
        <v>3266</v>
      </c>
      <c r="B1215" t="s">
        <v>576</v>
      </c>
      <c r="C1215">
        <v>43314</v>
      </c>
      <c r="D1215">
        <v>588021470</v>
      </c>
      <c r="E1215">
        <v>51865</v>
      </c>
      <c r="F1215">
        <v>63</v>
      </c>
      <c r="G1215">
        <v>1114556086</v>
      </c>
      <c r="H1215">
        <v>5855578</v>
      </c>
      <c r="I1215">
        <v>58539891</v>
      </c>
      <c r="J1215">
        <v>20</v>
      </c>
      <c r="K1215">
        <v>36</v>
      </c>
      <c r="L1215">
        <v>0</v>
      </c>
      <c r="M1215" t="s">
        <v>6371</v>
      </c>
    </row>
    <row r="1216" spans="1:13">
      <c r="A1216" t="s">
        <v>3270</v>
      </c>
      <c r="B1216" t="s">
        <v>1645</v>
      </c>
      <c r="C1216">
        <v>43518</v>
      </c>
      <c r="D1216">
        <v>306221125</v>
      </c>
      <c r="E1216">
        <v>61432</v>
      </c>
      <c r="F1216">
        <v>58</v>
      </c>
      <c r="G1216">
        <v>635706453</v>
      </c>
      <c r="H1216">
        <v>4888312</v>
      </c>
      <c r="I1216">
        <v>90607937</v>
      </c>
      <c r="J1216">
        <v>50</v>
      </c>
      <c r="K1216">
        <v>102</v>
      </c>
      <c r="L1216">
        <v>1</v>
      </c>
      <c r="M1216" t="s">
        <v>6371</v>
      </c>
    </row>
    <row r="1217" spans="1:13">
      <c r="A1217" t="s">
        <v>3277</v>
      </c>
      <c r="B1217" t="s">
        <v>81</v>
      </c>
      <c r="C1217">
        <v>41872</v>
      </c>
      <c r="D1217">
        <v>1465918510</v>
      </c>
      <c r="E1217">
        <v>110953</v>
      </c>
      <c r="F1217">
        <v>77</v>
      </c>
      <c r="G1217">
        <v>1101895606</v>
      </c>
      <c r="H1217">
        <v>9106812</v>
      </c>
      <c r="I1217">
        <v>285511671</v>
      </c>
      <c r="J1217">
        <v>102</v>
      </c>
      <c r="K1217">
        <v>118</v>
      </c>
      <c r="L1217">
        <v>0</v>
      </c>
      <c r="M1217" t="s">
        <v>6371</v>
      </c>
    </row>
    <row r="1218" spans="1:13">
      <c r="A1218" t="s">
        <v>3278</v>
      </c>
      <c r="B1218" t="s">
        <v>3279</v>
      </c>
      <c r="C1218">
        <v>44861</v>
      </c>
      <c r="D1218">
        <v>249199925</v>
      </c>
      <c r="E1218">
        <v>15573</v>
      </c>
      <c r="F1218">
        <v>68</v>
      </c>
      <c r="G1218">
        <v>141829637</v>
      </c>
      <c r="H1218">
        <v>1346158</v>
      </c>
      <c r="I1218">
        <v>3326289021</v>
      </c>
      <c r="J1218">
        <v>21</v>
      </c>
      <c r="K1218">
        <v>479</v>
      </c>
      <c r="L1218">
        <v>0</v>
      </c>
      <c r="M1218" t="s">
        <v>6370</v>
      </c>
    </row>
    <row r="1219" spans="1:13">
      <c r="A1219" t="s">
        <v>3287</v>
      </c>
      <c r="B1219" t="s">
        <v>3288</v>
      </c>
      <c r="C1219">
        <v>42796</v>
      </c>
      <c r="D1219">
        <v>1303452422</v>
      </c>
      <c r="E1219">
        <v>204110</v>
      </c>
      <c r="F1219">
        <v>74</v>
      </c>
      <c r="G1219">
        <v>563059238</v>
      </c>
      <c r="H1219">
        <v>5008418</v>
      </c>
      <c r="I1219">
        <v>447512595</v>
      </c>
      <c r="J1219">
        <v>87</v>
      </c>
      <c r="K1219">
        <v>1230</v>
      </c>
      <c r="L1219">
        <v>0</v>
      </c>
      <c r="M1219" t="s">
        <v>6371</v>
      </c>
    </row>
    <row r="1220" spans="1:13">
      <c r="A1220" t="s">
        <v>3291</v>
      </c>
      <c r="B1220" t="s">
        <v>2004</v>
      </c>
      <c r="C1220">
        <v>43035</v>
      </c>
      <c r="D1220">
        <v>590983645</v>
      </c>
      <c r="E1220">
        <v>89159</v>
      </c>
      <c r="F1220">
        <v>62</v>
      </c>
      <c r="G1220">
        <v>744579257</v>
      </c>
      <c r="H1220">
        <v>4504144</v>
      </c>
      <c r="I1220">
        <v>417482479</v>
      </c>
      <c r="J1220">
        <v>109</v>
      </c>
      <c r="K1220">
        <v>27</v>
      </c>
      <c r="L1220">
        <v>1</v>
      </c>
      <c r="M1220" t="s">
        <v>6371</v>
      </c>
    </row>
    <row r="1221" spans="1:13">
      <c r="A1221" t="s">
        <v>3292</v>
      </c>
      <c r="B1221" t="s">
        <v>367</v>
      </c>
      <c r="C1221">
        <v>42888</v>
      </c>
      <c r="D1221">
        <v>635393773</v>
      </c>
      <c r="E1221">
        <v>56371</v>
      </c>
      <c r="F1221">
        <v>59</v>
      </c>
      <c r="G1221">
        <v>575220523</v>
      </c>
      <c r="H1221">
        <v>4408507</v>
      </c>
      <c r="I1221">
        <v>84632348</v>
      </c>
      <c r="J1221">
        <v>60</v>
      </c>
      <c r="K1221">
        <v>522</v>
      </c>
      <c r="L1221">
        <v>0</v>
      </c>
      <c r="M1221" t="s">
        <v>6371</v>
      </c>
    </row>
    <row r="1222" spans="1:13">
      <c r="A1222" t="s">
        <v>3293</v>
      </c>
      <c r="B1222" t="s">
        <v>2394</v>
      </c>
      <c r="C1222">
        <v>44226</v>
      </c>
      <c r="D1222">
        <v>163974630</v>
      </c>
      <c r="E1222">
        <v>60031</v>
      </c>
      <c r="F1222">
        <v>64</v>
      </c>
      <c r="G1222">
        <v>109858521</v>
      </c>
      <c r="H1222">
        <v>915546</v>
      </c>
      <c r="I1222">
        <v>48854928</v>
      </c>
      <c r="J1222">
        <v>23</v>
      </c>
      <c r="K1222">
        <v>2</v>
      </c>
      <c r="L1222">
        <v>1</v>
      </c>
      <c r="M1222" t="s">
        <v>6370</v>
      </c>
    </row>
    <row r="1223" spans="1:13">
      <c r="A1223" t="s">
        <v>3298</v>
      </c>
      <c r="B1223" t="s">
        <v>258</v>
      </c>
      <c r="C1223">
        <v>38353</v>
      </c>
      <c r="D1223">
        <v>1631152967</v>
      </c>
      <c r="E1223">
        <v>261693</v>
      </c>
      <c r="F1223">
        <v>80</v>
      </c>
      <c r="G1223">
        <v>1663636127</v>
      </c>
      <c r="H1223">
        <v>9345192</v>
      </c>
      <c r="I1223">
        <v>2939466349</v>
      </c>
      <c r="J1223">
        <v>261</v>
      </c>
      <c r="K1223">
        <v>434</v>
      </c>
      <c r="L1223">
        <v>0</v>
      </c>
      <c r="M1223" t="s">
        <v>6372</v>
      </c>
    </row>
    <row r="1224" spans="1:13">
      <c r="A1224" t="s">
        <v>3304</v>
      </c>
      <c r="B1224" t="s">
        <v>449</v>
      </c>
      <c r="C1224">
        <v>43889</v>
      </c>
      <c r="D1224">
        <v>289652584</v>
      </c>
      <c r="E1224">
        <v>93481</v>
      </c>
      <c r="F1224">
        <v>63</v>
      </c>
      <c r="G1224">
        <v>310518713</v>
      </c>
      <c r="H1224">
        <v>1797173</v>
      </c>
      <c r="I1224">
        <v>40742074</v>
      </c>
      <c r="J1224">
        <v>35</v>
      </c>
      <c r="K1224">
        <v>123</v>
      </c>
      <c r="L1224">
        <v>1</v>
      </c>
      <c r="M1224" t="s">
        <v>6371</v>
      </c>
    </row>
    <row r="1225" spans="1:13">
      <c r="A1225" t="s">
        <v>3305</v>
      </c>
      <c r="B1225" t="s">
        <v>221</v>
      </c>
      <c r="C1225">
        <v>42888</v>
      </c>
      <c r="D1225">
        <v>807802864</v>
      </c>
      <c r="E1225">
        <v>93613</v>
      </c>
      <c r="F1225">
        <v>78</v>
      </c>
      <c r="G1225">
        <v>576510087</v>
      </c>
      <c r="H1225">
        <v>2093903</v>
      </c>
      <c r="I1225">
        <v>42065642</v>
      </c>
      <c r="J1225">
        <v>55</v>
      </c>
      <c r="K1225">
        <v>49</v>
      </c>
      <c r="L1225">
        <v>0</v>
      </c>
      <c r="M1225" t="s">
        <v>6371</v>
      </c>
    </row>
    <row r="1226" spans="1:13">
      <c r="A1226" t="s">
        <v>3306</v>
      </c>
      <c r="B1226" t="s">
        <v>1262</v>
      </c>
      <c r="C1226">
        <v>44400</v>
      </c>
      <c r="D1226">
        <v>143447350</v>
      </c>
      <c r="E1226">
        <v>22233</v>
      </c>
      <c r="F1226">
        <v>60</v>
      </c>
      <c r="G1226">
        <v>95029099</v>
      </c>
      <c r="H1226">
        <v>693003</v>
      </c>
      <c r="I1226">
        <v>15893357</v>
      </c>
      <c r="J1226">
        <v>2</v>
      </c>
      <c r="K1226">
        <v>83</v>
      </c>
      <c r="L1226">
        <v>0</v>
      </c>
      <c r="M1226" t="s">
        <v>6370</v>
      </c>
    </row>
    <row r="1227" spans="1:13">
      <c r="A1227" t="s">
        <v>3316</v>
      </c>
      <c r="B1227" t="s">
        <v>324</v>
      </c>
      <c r="C1227">
        <v>42171</v>
      </c>
      <c r="D1227">
        <v>1046848265</v>
      </c>
      <c r="E1227">
        <v>137023</v>
      </c>
      <c r="F1227">
        <v>68</v>
      </c>
      <c r="G1227">
        <v>585020723</v>
      </c>
      <c r="H1227">
        <v>3442407</v>
      </c>
      <c r="I1227">
        <v>405625969</v>
      </c>
      <c r="J1227">
        <v>129</v>
      </c>
      <c r="K1227">
        <v>87</v>
      </c>
      <c r="L1227">
        <v>0</v>
      </c>
      <c r="M1227" t="s">
        <v>6371</v>
      </c>
    </row>
    <row r="1228" spans="1:13">
      <c r="A1228" t="s">
        <v>3317</v>
      </c>
      <c r="B1228" t="s">
        <v>449</v>
      </c>
      <c r="C1228">
        <v>43377</v>
      </c>
      <c r="D1228">
        <v>428009373</v>
      </c>
      <c r="E1228">
        <v>99524</v>
      </c>
      <c r="F1228">
        <v>65</v>
      </c>
      <c r="G1228">
        <v>503301861</v>
      </c>
      <c r="H1228">
        <v>3383825</v>
      </c>
      <c r="I1228">
        <v>46571795</v>
      </c>
      <c r="J1228">
        <v>27</v>
      </c>
      <c r="K1228">
        <v>86</v>
      </c>
      <c r="L1228">
        <v>1</v>
      </c>
      <c r="M1228" t="s">
        <v>6371</v>
      </c>
    </row>
    <row r="1229" spans="1:13">
      <c r="A1229" t="s">
        <v>3321</v>
      </c>
      <c r="B1229" t="s">
        <v>2307</v>
      </c>
      <c r="C1229">
        <v>41275</v>
      </c>
      <c r="D1229">
        <v>751508028</v>
      </c>
      <c r="E1229">
        <v>76654</v>
      </c>
      <c r="F1229">
        <v>74</v>
      </c>
      <c r="G1229">
        <v>2243582425</v>
      </c>
      <c r="H1229">
        <v>6525279</v>
      </c>
      <c r="I1229">
        <v>240862996</v>
      </c>
      <c r="J1229">
        <v>46</v>
      </c>
      <c r="K1229">
        <v>8</v>
      </c>
      <c r="L1229">
        <v>0</v>
      </c>
      <c r="M1229" t="s">
        <v>6371</v>
      </c>
    </row>
    <row r="1230" spans="1:13">
      <c r="A1230" t="s">
        <v>3324</v>
      </c>
      <c r="B1230" t="s">
        <v>3325</v>
      </c>
      <c r="C1230">
        <v>45149</v>
      </c>
      <c r="D1230">
        <v>105178211</v>
      </c>
      <c r="E1230">
        <v>40300</v>
      </c>
      <c r="F1230">
        <v>70</v>
      </c>
      <c r="G1230">
        <v>329644</v>
      </c>
      <c r="H1230">
        <v>6449</v>
      </c>
      <c r="I1230">
        <v>11685263</v>
      </c>
      <c r="J1230">
        <v>33</v>
      </c>
      <c r="K1230">
        <v>358</v>
      </c>
      <c r="L1230">
        <v>0</v>
      </c>
      <c r="M1230" t="s">
        <v>6370</v>
      </c>
    </row>
    <row r="1231" spans="1:13">
      <c r="A1231" t="s">
        <v>519</v>
      </c>
      <c r="B1231" t="s">
        <v>123</v>
      </c>
      <c r="C1231">
        <v>42797</v>
      </c>
      <c r="D1231">
        <v>1322385342</v>
      </c>
      <c r="E1231">
        <v>109373</v>
      </c>
      <c r="F1231">
        <v>70</v>
      </c>
      <c r="G1231">
        <v>696425510</v>
      </c>
      <c r="H1231">
        <v>4649149</v>
      </c>
      <c r="I1231">
        <v>223959183</v>
      </c>
      <c r="J1231">
        <v>37</v>
      </c>
      <c r="K1231">
        <v>6</v>
      </c>
      <c r="L1231">
        <v>0</v>
      </c>
      <c r="M1231" t="s">
        <v>6371</v>
      </c>
    </row>
    <row r="1232" spans="1:13">
      <c r="A1232" t="s">
        <v>3338</v>
      </c>
      <c r="B1232" t="s">
        <v>879</v>
      </c>
      <c r="C1232">
        <v>42286</v>
      </c>
      <c r="D1232">
        <v>550049388</v>
      </c>
      <c r="E1232">
        <v>48598</v>
      </c>
      <c r="F1232">
        <v>56</v>
      </c>
      <c r="G1232">
        <v>592341655</v>
      </c>
      <c r="H1232">
        <v>4553103</v>
      </c>
      <c r="I1232">
        <v>489745782</v>
      </c>
      <c r="J1232">
        <v>53</v>
      </c>
      <c r="K1232">
        <v>4</v>
      </c>
      <c r="L1232">
        <v>0</v>
      </c>
      <c r="M1232" t="s">
        <v>6371</v>
      </c>
    </row>
    <row r="1233" spans="1:13">
      <c r="A1233" t="s">
        <v>3339</v>
      </c>
      <c r="B1233" t="s">
        <v>3340</v>
      </c>
      <c r="C1233">
        <v>45058</v>
      </c>
      <c r="D1233">
        <v>100186243</v>
      </c>
      <c r="E1233">
        <v>26116</v>
      </c>
      <c r="F1233">
        <v>70</v>
      </c>
      <c r="G1233">
        <v>20691770</v>
      </c>
      <c r="H1233">
        <v>124812</v>
      </c>
      <c r="I1233">
        <v>28216441</v>
      </c>
      <c r="J1233">
        <v>41</v>
      </c>
      <c r="K1233">
        <v>85</v>
      </c>
      <c r="L1233">
        <v>0</v>
      </c>
      <c r="M1233" t="s">
        <v>6370</v>
      </c>
    </row>
    <row r="1234" spans="1:13">
      <c r="A1234" t="s">
        <v>3341</v>
      </c>
      <c r="B1234" t="s">
        <v>3342</v>
      </c>
      <c r="C1234">
        <v>45037</v>
      </c>
      <c r="D1234">
        <v>100397677</v>
      </c>
      <c r="E1234">
        <v>21963</v>
      </c>
      <c r="F1234">
        <v>68</v>
      </c>
      <c r="G1234">
        <v>44530380</v>
      </c>
      <c r="H1234">
        <v>526851</v>
      </c>
      <c r="I1234">
        <v>975465555</v>
      </c>
      <c r="J1234">
        <v>6</v>
      </c>
      <c r="K1234">
        <v>12</v>
      </c>
      <c r="L1234">
        <v>1</v>
      </c>
      <c r="M1234" t="s">
        <v>6370</v>
      </c>
    </row>
    <row r="1235" spans="1:13">
      <c r="A1235" t="s">
        <v>3343</v>
      </c>
      <c r="B1235" t="s">
        <v>633</v>
      </c>
      <c r="C1235">
        <v>43406</v>
      </c>
      <c r="D1235">
        <v>778846570</v>
      </c>
      <c r="E1235">
        <v>66150</v>
      </c>
      <c r="F1235">
        <v>70</v>
      </c>
      <c r="G1235">
        <v>785898158</v>
      </c>
      <c r="H1235">
        <v>2771037</v>
      </c>
      <c r="I1235">
        <v>18692923</v>
      </c>
      <c r="J1235">
        <v>37</v>
      </c>
      <c r="K1235">
        <v>62</v>
      </c>
      <c r="L1235">
        <v>0</v>
      </c>
      <c r="M1235" t="s">
        <v>6371</v>
      </c>
    </row>
    <row r="1236" spans="1:13">
      <c r="A1236" t="s">
        <v>3344</v>
      </c>
      <c r="B1236" t="s">
        <v>3345</v>
      </c>
      <c r="C1236">
        <v>44937</v>
      </c>
      <c r="D1236">
        <v>19617254</v>
      </c>
      <c r="E1236">
        <v>6378</v>
      </c>
      <c r="F1236">
        <v>40</v>
      </c>
      <c r="G1236">
        <v>5983105</v>
      </c>
      <c r="H1236">
        <v>119013</v>
      </c>
      <c r="I1236">
        <v>2956553569</v>
      </c>
      <c r="J1236">
        <v>1</v>
      </c>
      <c r="K1236">
        <v>969</v>
      </c>
      <c r="L1236">
        <v>1</v>
      </c>
      <c r="M1236" t="s">
        <v>6370</v>
      </c>
    </row>
    <row r="1237" spans="1:13">
      <c r="A1237" t="s">
        <v>3346</v>
      </c>
      <c r="B1237" t="s">
        <v>3347</v>
      </c>
      <c r="C1237">
        <v>43663</v>
      </c>
      <c r="D1237">
        <v>522143496</v>
      </c>
      <c r="E1237">
        <v>111477</v>
      </c>
      <c r="F1237">
        <v>68</v>
      </c>
      <c r="G1237">
        <v>212806984</v>
      </c>
      <c r="H1237">
        <v>1853709</v>
      </c>
      <c r="I1237">
        <v>125604010</v>
      </c>
      <c r="J1237">
        <v>41</v>
      </c>
      <c r="K1237">
        <v>40</v>
      </c>
      <c r="L1237">
        <v>1</v>
      </c>
      <c r="M1237" t="s">
        <v>6371</v>
      </c>
    </row>
    <row r="1238" spans="1:13">
      <c r="A1238" t="s">
        <v>3348</v>
      </c>
      <c r="B1238" t="s">
        <v>3349</v>
      </c>
      <c r="C1238">
        <v>44820</v>
      </c>
      <c r="D1238">
        <v>296674882</v>
      </c>
      <c r="E1238">
        <v>56660</v>
      </c>
      <c r="F1238">
        <v>74</v>
      </c>
      <c r="G1238">
        <v>38522238</v>
      </c>
      <c r="H1238">
        <v>508119</v>
      </c>
      <c r="I1238">
        <v>366838888</v>
      </c>
      <c r="J1238">
        <v>16</v>
      </c>
      <c r="K1238">
        <v>11</v>
      </c>
      <c r="L1238">
        <v>0</v>
      </c>
      <c r="M1238" t="s">
        <v>6370</v>
      </c>
    </row>
    <row r="1239" spans="1:13">
      <c r="A1239" t="s">
        <v>2052</v>
      </c>
      <c r="B1239" t="s">
        <v>2409</v>
      </c>
      <c r="C1239">
        <v>40909</v>
      </c>
      <c r="D1239">
        <v>784334383</v>
      </c>
      <c r="E1239">
        <v>104998</v>
      </c>
      <c r="F1239">
        <v>68</v>
      </c>
      <c r="G1239">
        <v>1776560692</v>
      </c>
      <c r="H1239">
        <v>7559025</v>
      </c>
      <c r="I1239">
        <v>112921980</v>
      </c>
      <c r="J1239">
        <v>86</v>
      </c>
      <c r="K1239">
        <v>118</v>
      </c>
      <c r="L1239">
        <v>0</v>
      </c>
      <c r="M1239" t="s">
        <v>6371</v>
      </c>
    </row>
    <row r="1240" spans="1:13">
      <c r="A1240" t="s">
        <v>3358</v>
      </c>
      <c r="B1240" t="s">
        <v>1534</v>
      </c>
      <c r="C1240">
        <v>44522</v>
      </c>
      <c r="D1240">
        <v>164804108</v>
      </c>
      <c r="E1240">
        <v>40909</v>
      </c>
      <c r="F1240">
        <v>60</v>
      </c>
      <c r="G1240">
        <v>111437165</v>
      </c>
      <c r="H1240">
        <v>932922</v>
      </c>
      <c r="I1240">
        <v>50358850</v>
      </c>
      <c r="J1240">
        <v>20</v>
      </c>
      <c r="K1240">
        <v>168</v>
      </c>
      <c r="L1240">
        <v>1</v>
      </c>
      <c r="M1240" t="s">
        <v>6370</v>
      </c>
    </row>
    <row r="1241" spans="1:13">
      <c r="A1241" t="s">
        <v>3361</v>
      </c>
      <c r="B1241" t="s">
        <v>2362</v>
      </c>
      <c r="C1241">
        <v>43350</v>
      </c>
      <c r="D1241">
        <v>492542256</v>
      </c>
      <c r="E1241">
        <v>37141</v>
      </c>
      <c r="F1241">
        <v>68</v>
      </c>
      <c r="G1241">
        <v>1091852566</v>
      </c>
      <c r="H1241">
        <v>3311784</v>
      </c>
      <c r="I1241">
        <v>34264578</v>
      </c>
      <c r="J1241">
        <v>27</v>
      </c>
      <c r="K1241">
        <v>261</v>
      </c>
      <c r="L1241">
        <v>0</v>
      </c>
      <c r="M1241" t="s">
        <v>6371</v>
      </c>
    </row>
    <row r="1242" spans="1:13">
      <c r="A1242" t="s">
        <v>3362</v>
      </c>
      <c r="B1242" t="s">
        <v>184</v>
      </c>
      <c r="C1242">
        <v>42328</v>
      </c>
      <c r="D1242">
        <v>1284096603</v>
      </c>
      <c r="E1242">
        <v>117365</v>
      </c>
      <c r="F1242">
        <v>71</v>
      </c>
      <c r="G1242">
        <v>1021758621</v>
      </c>
      <c r="H1242">
        <v>6306795</v>
      </c>
      <c r="I1242">
        <v>348333229</v>
      </c>
      <c r="J1242">
        <v>133</v>
      </c>
      <c r="K1242">
        <v>7</v>
      </c>
      <c r="L1242">
        <v>0</v>
      </c>
      <c r="M1242" t="s">
        <v>6371</v>
      </c>
    </row>
    <row r="1243" spans="1:13">
      <c r="A1243" t="s">
        <v>3369</v>
      </c>
      <c r="B1243" t="s">
        <v>2377</v>
      </c>
      <c r="C1243">
        <v>44841</v>
      </c>
      <c r="D1243">
        <v>155142115</v>
      </c>
      <c r="E1243">
        <v>65297</v>
      </c>
      <c r="F1243">
        <v>60</v>
      </c>
      <c r="G1243">
        <v>54256746</v>
      </c>
      <c r="H1243">
        <v>737762</v>
      </c>
      <c r="I1243">
        <v>1073599652</v>
      </c>
      <c r="J1243">
        <v>8</v>
      </c>
      <c r="K1243">
        <v>158</v>
      </c>
      <c r="L1243">
        <v>1</v>
      </c>
      <c r="M1243" t="s">
        <v>6370</v>
      </c>
    </row>
    <row r="1244" spans="1:13">
      <c r="A1244" t="s">
        <v>3373</v>
      </c>
      <c r="B1244" t="s">
        <v>43</v>
      </c>
      <c r="C1244">
        <v>44126</v>
      </c>
      <c r="D1244">
        <v>356681497</v>
      </c>
      <c r="E1244">
        <v>137745</v>
      </c>
      <c r="F1244">
        <v>65</v>
      </c>
      <c r="G1244">
        <v>204509339</v>
      </c>
      <c r="H1244">
        <v>2198210</v>
      </c>
      <c r="I1244">
        <v>200676951</v>
      </c>
      <c r="J1244">
        <v>26</v>
      </c>
      <c r="K1244">
        <v>12</v>
      </c>
      <c r="L1244">
        <v>1</v>
      </c>
      <c r="M1244" t="s">
        <v>6371</v>
      </c>
    </row>
    <row r="1245" spans="1:13">
      <c r="A1245" t="s">
        <v>3378</v>
      </c>
      <c r="B1245" t="s">
        <v>2998</v>
      </c>
      <c r="C1245">
        <v>44729</v>
      </c>
      <c r="D1245">
        <v>335203899</v>
      </c>
      <c r="E1245">
        <v>61133</v>
      </c>
      <c r="F1245">
        <v>76</v>
      </c>
      <c r="G1245">
        <v>22524199</v>
      </c>
      <c r="H1245">
        <v>241700</v>
      </c>
      <c r="I1245">
        <v>262461997</v>
      </c>
      <c r="J1245">
        <v>92</v>
      </c>
      <c r="K1245">
        <v>95</v>
      </c>
      <c r="L1245">
        <v>0</v>
      </c>
      <c r="M1245" t="s">
        <v>6370</v>
      </c>
    </row>
    <row r="1246" spans="1:13">
      <c r="A1246" t="s">
        <v>3379</v>
      </c>
      <c r="B1246" t="s">
        <v>1412</v>
      </c>
      <c r="C1246">
        <v>43602</v>
      </c>
      <c r="D1246">
        <v>1367265268</v>
      </c>
      <c r="E1246">
        <v>135811</v>
      </c>
      <c r="F1246">
        <v>75</v>
      </c>
      <c r="G1246">
        <v>174911891</v>
      </c>
      <c r="H1246">
        <v>749591</v>
      </c>
      <c r="I1246">
        <v>109739416</v>
      </c>
      <c r="J1246">
        <v>118</v>
      </c>
      <c r="K1246">
        <v>16</v>
      </c>
      <c r="L1246">
        <v>0</v>
      </c>
      <c r="M1246" t="s">
        <v>6371</v>
      </c>
    </row>
    <row r="1247" spans="1:13">
      <c r="A1247" t="s">
        <v>3385</v>
      </c>
      <c r="B1247" t="s">
        <v>3386</v>
      </c>
      <c r="C1247">
        <v>40909</v>
      </c>
      <c r="D1247">
        <v>1286089822</v>
      </c>
      <c r="E1247">
        <v>256512</v>
      </c>
      <c r="F1247">
        <v>78</v>
      </c>
      <c r="G1247">
        <v>291434533</v>
      </c>
      <c r="H1247">
        <v>3222924</v>
      </c>
      <c r="I1247">
        <v>774957680</v>
      </c>
      <c r="J1247">
        <v>118</v>
      </c>
      <c r="K1247">
        <v>427</v>
      </c>
      <c r="L1247">
        <v>0</v>
      </c>
      <c r="M1247" t="s">
        <v>6371</v>
      </c>
    </row>
    <row r="1248" spans="1:13">
      <c r="A1248" t="s">
        <v>3389</v>
      </c>
      <c r="B1248" t="s">
        <v>1284</v>
      </c>
      <c r="C1248">
        <v>43698</v>
      </c>
      <c r="D1248">
        <v>683247723</v>
      </c>
      <c r="E1248">
        <v>103554</v>
      </c>
      <c r="F1248">
        <v>71</v>
      </c>
      <c r="G1248">
        <v>322965834</v>
      </c>
      <c r="H1248">
        <v>5220826</v>
      </c>
      <c r="I1248">
        <v>561046941</v>
      </c>
      <c r="J1248">
        <v>62</v>
      </c>
      <c r="K1248">
        <v>74</v>
      </c>
      <c r="L1248">
        <v>0</v>
      </c>
      <c r="M1248" t="s">
        <v>6371</v>
      </c>
    </row>
    <row r="1249" spans="1:13">
      <c r="A1249" t="s">
        <v>3390</v>
      </c>
      <c r="B1249" t="s">
        <v>2616</v>
      </c>
      <c r="C1249">
        <v>42177</v>
      </c>
      <c r="D1249">
        <v>83366020</v>
      </c>
      <c r="E1249">
        <v>17799</v>
      </c>
      <c r="F1249">
        <v>49</v>
      </c>
      <c r="G1249">
        <v>2000837797</v>
      </c>
      <c r="H1249">
        <v>11310696</v>
      </c>
      <c r="I1249">
        <v>29251104</v>
      </c>
      <c r="J1249">
        <v>18</v>
      </c>
      <c r="K1249">
        <v>423</v>
      </c>
      <c r="L1249">
        <v>1</v>
      </c>
      <c r="M1249" t="s">
        <v>6371</v>
      </c>
    </row>
    <row r="1250" spans="1:13">
      <c r="A1250" t="s">
        <v>3393</v>
      </c>
      <c r="B1250" t="s">
        <v>1177</v>
      </c>
      <c r="C1250">
        <v>44582</v>
      </c>
      <c r="D1250">
        <v>177722624</v>
      </c>
      <c r="E1250">
        <v>34102</v>
      </c>
      <c r="F1250">
        <v>59</v>
      </c>
      <c r="G1250">
        <v>61447086</v>
      </c>
      <c r="H1250">
        <v>348517</v>
      </c>
      <c r="I1250">
        <v>20533718</v>
      </c>
      <c r="J1250">
        <v>62</v>
      </c>
      <c r="K1250">
        <v>3</v>
      </c>
      <c r="L1250">
        <v>0</v>
      </c>
      <c r="M1250" t="s">
        <v>6370</v>
      </c>
    </row>
    <row r="1251" spans="1:13">
      <c r="A1251" t="s">
        <v>3403</v>
      </c>
      <c r="B1251" t="s">
        <v>637</v>
      </c>
      <c r="C1251">
        <v>44683</v>
      </c>
      <c r="D1251">
        <v>312942305</v>
      </c>
      <c r="E1251">
        <v>20231</v>
      </c>
      <c r="F1251">
        <v>62</v>
      </c>
      <c r="G1251">
        <v>386459691</v>
      </c>
      <c r="H1251">
        <v>4716534</v>
      </c>
      <c r="I1251">
        <v>1245609565</v>
      </c>
      <c r="J1251">
        <v>19</v>
      </c>
      <c r="K1251">
        <v>218</v>
      </c>
      <c r="L1251">
        <v>0</v>
      </c>
      <c r="M1251" t="s">
        <v>6370</v>
      </c>
    </row>
    <row r="1252" spans="1:13">
      <c r="A1252" t="s">
        <v>3404</v>
      </c>
      <c r="B1252" t="s">
        <v>3405</v>
      </c>
      <c r="C1252">
        <v>41640</v>
      </c>
      <c r="D1252">
        <v>1197774081</v>
      </c>
      <c r="E1252">
        <v>128593</v>
      </c>
      <c r="F1252">
        <v>65</v>
      </c>
      <c r="G1252">
        <v>580076338</v>
      </c>
      <c r="H1252">
        <v>3685849</v>
      </c>
      <c r="I1252">
        <v>112554627</v>
      </c>
      <c r="J1252">
        <v>220</v>
      </c>
      <c r="K1252">
        <v>107</v>
      </c>
      <c r="L1252">
        <v>0</v>
      </c>
      <c r="M1252" t="s">
        <v>6371</v>
      </c>
    </row>
    <row r="1253" spans="1:13">
      <c r="A1253" t="s">
        <v>3406</v>
      </c>
      <c r="B1253" t="s">
        <v>715</v>
      </c>
      <c r="C1253">
        <v>44792</v>
      </c>
      <c r="D1253">
        <v>178441881</v>
      </c>
      <c r="E1253">
        <v>28857</v>
      </c>
      <c r="F1253">
        <v>75</v>
      </c>
      <c r="G1253">
        <v>24354425</v>
      </c>
      <c r="H1253">
        <v>188213</v>
      </c>
      <c r="I1253">
        <v>161742703</v>
      </c>
      <c r="J1253">
        <v>19</v>
      </c>
      <c r="K1253">
        <v>36</v>
      </c>
      <c r="L1253">
        <v>0</v>
      </c>
      <c r="M1253" t="s">
        <v>6370</v>
      </c>
    </row>
    <row r="1254" spans="1:13">
      <c r="A1254" t="s">
        <v>3407</v>
      </c>
      <c r="B1254" t="s">
        <v>3408</v>
      </c>
      <c r="C1254">
        <v>44659</v>
      </c>
      <c r="D1254">
        <v>86262202</v>
      </c>
      <c r="E1254">
        <v>17907</v>
      </c>
      <c r="F1254">
        <v>53</v>
      </c>
      <c r="G1254">
        <v>17014183</v>
      </c>
      <c r="H1254">
        <v>149189</v>
      </c>
      <c r="I1254">
        <v>2990547999</v>
      </c>
      <c r="J1254">
        <v>10</v>
      </c>
      <c r="K1254">
        <v>2</v>
      </c>
      <c r="L1254">
        <v>0</v>
      </c>
      <c r="M1254" t="s">
        <v>6370</v>
      </c>
    </row>
    <row r="1255" spans="1:13">
      <c r="A1255" t="s">
        <v>3410</v>
      </c>
      <c r="B1255" t="s">
        <v>590</v>
      </c>
      <c r="C1255">
        <v>44615</v>
      </c>
      <c r="D1255">
        <v>152289860</v>
      </c>
      <c r="E1255">
        <v>58113</v>
      </c>
      <c r="F1255">
        <v>69</v>
      </c>
      <c r="G1255">
        <v>79913960</v>
      </c>
      <c r="H1255">
        <v>578895</v>
      </c>
      <c r="I1255">
        <v>546510983</v>
      </c>
      <c r="J1255">
        <v>79</v>
      </c>
      <c r="K1255">
        <v>198</v>
      </c>
      <c r="L1255">
        <v>1</v>
      </c>
      <c r="M1255" t="s">
        <v>6370</v>
      </c>
    </row>
    <row r="1256" spans="1:13">
      <c r="A1256" t="s">
        <v>3412</v>
      </c>
      <c r="B1256" t="s">
        <v>3413</v>
      </c>
      <c r="C1256">
        <v>44418</v>
      </c>
      <c r="D1256">
        <v>383171089</v>
      </c>
      <c r="E1256">
        <v>60923</v>
      </c>
      <c r="F1256">
        <v>70</v>
      </c>
      <c r="G1256">
        <v>88319558</v>
      </c>
      <c r="H1256">
        <v>994946</v>
      </c>
      <c r="I1256">
        <v>2493175114</v>
      </c>
      <c r="J1256">
        <v>26</v>
      </c>
      <c r="K1256">
        <v>172</v>
      </c>
      <c r="L1256">
        <v>0</v>
      </c>
      <c r="M1256" t="s">
        <v>6370</v>
      </c>
    </row>
    <row r="1257" spans="1:13">
      <c r="A1257" t="s">
        <v>3416</v>
      </c>
      <c r="B1257" t="s">
        <v>2004</v>
      </c>
      <c r="C1257">
        <v>43126</v>
      </c>
      <c r="D1257">
        <v>778459270</v>
      </c>
      <c r="E1257">
        <v>150813</v>
      </c>
      <c r="F1257">
        <v>67</v>
      </c>
      <c r="G1257">
        <v>311818843</v>
      </c>
      <c r="H1257">
        <v>2881524</v>
      </c>
      <c r="I1257">
        <v>873289436</v>
      </c>
      <c r="J1257">
        <v>80</v>
      </c>
      <c r="K1257">
        <v>30</v>
      </c>
      <c r="L1257">
        <v>1</v>
      </c>
      <c r="M1257" t="s">
        <v>6371</v>
      </c>
    </row>
    <row r="1258" spans="1:13">
      <c r="A1258" t="s">
        <v>3418</v>
      </c>
      <c r="B1258" t="s">
        <v>3419</v>
      </c>
      <c r="C1258">
        <v>44476</v>
      </c>
      <c r="D1258">
        <v>194908788</v>
      </c>
      <c r="E1258">
        <v>58039</v>
      </c>
      <c r="F1258">
        <v>59</v>
      </c>
      <c r="G1258">
        <v>140886656</v>
      </c>
      <c r="H1258">
        <v>3277009</v>
      </c>
      <c r="I1258">
        <v>5338367302</v>
      </c>
      <c r="J1258">
        <v>4</v>
      </c>
      <c r="K1258">
        <v>121</v>
      </c>
      <c r="L1258">
        <v>1</v>
      </c>
      <c r="M1258" t="s">
        <v>6370</v>
      </c>
    </row>
    <row r="1259" spans="1:13">
      <c r="A1259" t="s">
        <v>3420</v>
      </c>
      <c r="B1259" t="s">
        <v>3421</v>
      </c>
      <c r="C1259">
        <v>42643</v>
      </c>
      <c r="D1259">
        <v>912446776</v>
      </c>
      <c r="E1259">
        <v>48788</v>
      </c>
      <c r="F1259">
        <v>67</v>
      </c>
      <c r="G1259">
        <v>1323533350</v>
      </c>
      <c r="H1259">
        <v>3121184</v>
      </c>
      <c r="I1259">
        <v>27776697</v>
      </c>
      <c r="J1259">
        <v>45</v>
      </c>
      <c r="K1259">
        <v>121</v>
      </c>
      <c r="L1259">
        <v>0</v>
      </c>
      <c r="M1259" t="s">
        <v>6371</v>
      </c>
    </row>
    <row r="1260" spans="1:13">
      <c r="A1260" t="s">
        <v>3435</v>
      </c>
      <c r="B1260" t="s">
        <v>1789</v>
      </c>
      <c r="C1260">
        <v>42257</v>
      </c>
      <c r="D1260">
        <v>972089598</v>
      </c>
      <c r="E1260">
        <v>98962</v>
      </c>
      <c r="F1260">
        <v>66</v>
      </c>
      <c r="G1260">
        <v>909147975</v>
      </c>
      <c r="H1260">
        <v>6777996</v>
      </c>
      <c r="I1260">
        <v>118233698</v>
      </c>
      <c r="J1260">
        <v>140</v>
      </c>
      <c r="K1260">
        <v>47</v>
      </c>
      <c r="L1260">
        <v>0</v>
      </c>
      <c r="M1260" t="s">
        <v>6371</v>
      </c>
    </row>
    <row r="1261" spans="1:13">
      <c r="A1261" t="s">
        <v>3436</v>
      </c>
      <c r="B1261" t="s">
        <v>30</v>
      </c>
      <c r="C1261">
        <v>44126</v>
      </c>
      <c r="D1261">
        <v>555631717</v>
      </c>
      <c r="E1261">
        <v>127984</v>
      </c>
      <c r="F1261">
        <v>66</v>
      </c>
      <c r="G1261">
        <v>124710525</v>
      </c>
      <c r="H1261">
        <v>1463633</v>
      </c>
      <c r="I1261">
        <v>148481502</v>
      </c>
      <c r="J1261">
        <v>78</v>
      </c>
      <c r="K1261">
        <v>39</v>
      </c>
      <c r="L1261">
        <v>1</v>
      </c>
      <c r="M1261" t="s">
        <v>6371</v>
      </c>
    </row>
    <row r="1262" spans="1:13">
      <c r="A1262" t="s">
        <v>3439</v>
      </c>
      <c r="B1262" t="s">
        <v>2703</v>
      </c>
      <c r="C1262">
        <v>42405</v>
      </c>
      <c r="D1262">
        <v>1274848626</v>
      </c>
      <c r="E1262">
        <v>213943</v>
      </c>
      <c r="F1262">
        <v>70</v>
      </c>
      <c r="G1262">
        <v>267224710</v>
      </c>
      <c r="H1262">
        <v>2081752</v>
      </c>
      <c r="I1262">
        <v>234589315</v>
      </c>
      <c r="J1262">
        <v>86</v>
      </c>
      <c r="K1262">
        <v>195</v>
      </c>
      <c r="L1262">
        <v>0</v>
      </c>
      <c r="M1262" t="s">
        <v>6371</v>
      </c>
    </row>
    <row r="1263" spans="1:13">
      <c r="A1263" t="s">
        <v>3442</v>
      </c>
      <c r="B1263" t="s">
        <v>3443</v>
      </c>
      <c r="C1263">
        <v>44230</v>
      </c>
      <c r="D1263">
        <v>364856266</v>
      </c>
      <c r="E1263">
        <v>76669</v>
      </c>
      <c r="F1263">
        <v>62</v>
      </c>
      <c r="G1263">
        <v>214069737</v>
      </c>
      <c r="H1263">
        <v>2307973</v>
      </c>
      <c r="I1263">
        <v>1045339221</v>
      </c>
      <c r="J1263">
        <v>57</v>
      </c>
      <c r="K1263">
        <v>16</v>
      </c>
      <c r="L1263">
        <v>0</v>
      </c>
      <c r="M1263" t="s">
        <v>6370</v>
      </c>
    </row>
    <row r="1264" spans="1:13">
      <c r="A1264" t="s">
        <v>3444</v>
      </c>
      <c r="B1264" t="s">
        <v>66</v>
      </c>
      <c r="C1264">
        <v>44701</v>
      </c>
      <c r="D1264">
        <v>455718141</v>
      </c>
      <c r="E1264">
        <v>51605</v>
      </c>
      <c r="F1264">
        <v>70</v>
      </c>
      <c r="G1264">
        <v>75741997</v>
      </c>
      <c r="H1264">
        <v>1437701</v>
      </c>
      <c r="I1264">
        <v>440110491</v>
      </c>
      <c r="J1264">
        <v>40</v>
      </c>
      <c r="K1264">
        <v>29</v>
      </c>
      <c r="L1264">
        <v>0</v>
      </c>
      <c r="M1264" t="s">
        <v>6370</v>
      </c>
    </row>
    <row r="1265" spans="1:13">
      <c r="A1265" t="s">
        <v>3451</v>
      </c>
      <c r="B1265" t="s">
        <v>3452</v>
      </c>
      <c r="C1265">
        <v>40323</v>
      </c>
      <c r="D1265">
        <v>1335928309</v>
      </c>
      <c r="E1265">
        <v>190857</v>
      </c>
      <c r="F1265">
        <v>81</v>
      </c>
      <c r="G1265">
        <v>165856240</v>
      </c>
      <c r="H1265">
        <v>1428581</v>
      </c>
      <c r="I1265">
        <v>595426317</v>
      </c>
      <c r="J1265">
        <v>154</v>
      </c>
      <c r="K1265">
        <v>1200</v>
      </c>
      <c r="L1265">
        <v>0</v>
      </c>
      <c r="M1265" t="s">
        <v>6371</v>
      </c>
    </row>
    <row r="1266" spans="1:13">
      <c r="A1266" t="s">
        <v>3453</v>
      </c>
      <c r="B1266" t="s">
        <v>3454</v>
      </c>
      <c r="C1266">
        <v>44946</v>
      </c>
      <c r="D1266">
        <v>54683202</v>
      </c>
      <c r="E1266">
        <v>28810</v>
      </c>
      <c r="F1266">
        <v>61</v>
      </c>
      <c r="G1266">
        <v>117764650</v>
      </c>
      <c r="H1266">
        <v>714375</v>
      </c>
      <c r="I1266">
        <v>85578368</v>
      </c>
      <c r="J1266">
        <v>51</v>
      </c>
      <c r="K1266">
        <v>155</v>
      </c>
      <c r="L1266">
        <v>1</v>
      </c>
      <c r="M1266" t="s">
        <v>6370</v>
      </c>
    </row>
    <row r="1267" spans="1:13">
      <c r="A1267" t="s">
        <v>3458</v>
      </c>
      <c r="B1267" t="s">
        <v>1414</v>
      </c>
      <c r="C1267">
        <v>44988</v>
      </c>
      <c r="D1267">
        <v>209988103</v>
      </c>
      <c r="E1267">
        <v>30013</v>
      </c>
      <c r="F1267">
        <v>67</v>
      </c>
      <c r="G1267">
        <v>141919199</v>
      </c>
      <c r="H1267">
        <v>1514197</v>
      </c>
      <c r="I1267">
        <v>87467392</v>
      </c>
      <c r="J1267">
        <v>14</v>
      </c>
      <c r="K1267">
        <v>316</v>
      </c>
      <c r="L1267">
        <v>1</v>
      </c>
      <c r="M1267" t="s">
        <v>6370</v>
      </c>
    </row>
    <row r="1268" spans="1:13">
      <c r="A1268" t="s">
        <v>3462</v>
      </c>
      <c r="B1268" t="s">
        <v>51</v>
      </c>
      <c r="C1268">
        <v>43299</v>
      </c>
      <c r="D1268">
        <v>860596912</v>
      </c>
      <c r="E1268">
        <v>103375</v>
      </c>
      <c r="F1268">
        <v>71</v>
      </c>
      <c r="G1268">
        <v>520754022</v>
      </c>
      <c r="H1268">
        <v>9647204</v>
      </c>
      <c r="I1268">
        <v>397345798</v>
      </c>
      <c r="J1268">
        <v>82</v>
      </c>
      <c r="K1268">
        <v>233</v>
      </c>
      <c r="L1268">
        <v>0</v>
      </c>
      <c r="M1268" t="s">
        <v>6371</v>
      </c>
    </row>
    <row r="1269" spans="1:13">
      <c r="A1269" t="s">
        <v>3463</v>
      </c>
      <c r="B1269" t="s">
        <v>981</v>
      </c>
      <c r="C1269">
        <v>43546</v>
      </c>
      <c r="D1269">
        <v>547483874</v>
      </c>
      <c r="E1269">
        <v>59096</v>
      </c>
      <c r="F1269">
        <v>61</v>
      </c>
      <c r="G1269">
        <v>768753162</v>
      </c>
      <c r="H1269">
        <v>3000650</v>
      </c>
      <c r="I1269">
        <v>5221834</v>
      </c>
      <c r="J1269">
        <v>59</v>
      </c>
      <c r="K1269">
        <v>55</v>
      </c>
      <c r="L1269">
        <v>0</v>
      </c>
      <c r="M1269" t="s">
        <v>6371</v>
      </c>
    </row>
    <row r="1270" spans="1:13">
      <c r="A1270" t="s">
        <v>3470</v>
      </c>
      <c r="B1270" t="s">
        <v>3471</v>
      </c>
      <c r="C1270">
        <v>42853</v>
      </c>
      <c r="D1270">
        <v>1561518107</v>
      </c>
      <c r="E1270">
        <v>183674</v>
      </c>
      <c r="F1270">
        <v>82</v>
      </c>
      <c r="G1270">
        <v>96339252</v>
      </c>
      <c r="H1270">
        <v>1072061</v>
      </c>
      <c r="I1270">
        <v>7603775552</v>
      </c>
      <c r="J1270">
        <v>40</v>
      </c>
      <c r="K1270">
        <v>119</v>
      </c>
      <c r="L1270">
        <v>0</v>
      </c>
      <c r="M1270" t="s">
        <v>6371</v>
      </c>
    </row>
    <row r="1271" spans="1:13">
      <c r="A1271" t="s">
        <v>3474</v>
      </c>
      <c r="B1271" t="s">
        <v>3475</v>
      </c>
      <c r="C1271">
        <v>41971</v>
      </c>
      <c r="D1271">
        <v>1410353130</v>
      </c>
      <c r="E1271">
        <v>218492</v>
      </c>
      <c r="F1271">
        <v>83</v>
      </c>
      <c r="G1271">
        <v>417265571</v>
      </c>
      <c r="H1271">
        <v>5087140</v>
      </c>
      <c r="I1271">
        <v>3241952947</v>
      </c>
      <c r="J1271">
        <v>38</v>
      </c>
      <c r="K1271">
        <v>652</v>
      </c>
      <c r="L1271">
        <v>0</v>
      </c>
      <c r="M1271" t="s">
        <v>6371</v>
      </c>
    </row>
    <row r="1272" spans="1:13">
      <c r="A1272" t="s">
        <v>3476</v>
      </c>
      <c r="B1272" t="s">
        <v>51</v>
      </c>
      <c r="C1272">
        <v>43553</v>
      </c>
      <c r="D1272">
        <v>930343185</v>
      </c>
      <c r="E1272">
        <v>116055</v>
      </c>
      <c r="F1272">
        <v>75</v>
      </c>
      <c r="G1272">
        <v>280579630</v>
      </c>
      <c r="H1272">
        <v>3517952</v>
      </c>
      <c r="I1272">
        <v>724117161</v>
      </c>
      <c r="J1272">
        <v>35</v>
      </c>
      <c r="K1272">
        <v>1</v>
      </c>
      <c r="L1272">
        <v>0</v>
      </c>
      <c r="M1272" t="s">
        <v>6371</v>
      </c>
    </row>
    <row r="1273" spans="1:13">
      <c r="A1273" t="s">
        <v>3481</v>
      </c>
      <c r="B1273" t="s">
        <v>276</v>
      </c>
      <c r="C1273">
        <v>43069</v>
      </c>
      <c r="D1273">
        <v>949651805</v>
      </c>
      <c r="E1273">
        <v>141296</v>
      </c>
      <c r="F1273">
        <v>72</v>
      </c>
      <c r="G1273">
        <v>182719598</v>
      </c>
      <c r="H1273">
        <v>2055406</v>
      </c>
      <c r="I1273">
        <v>529467091</v>
      </c>
      <c r="J1273">
        <v>69</v>
      </c>
      <c r="K1273">
        <v>14</v>
      </c>
      <c r="L1273">
        <v>1</v>
      </c>
      <c r="M1273" t="s">
        <v>6371</v>
      </c>
    </row>
    <row r="1274" spans="1:13">
      <c r="A1274" t="s">
        <v>3484</v>
      </c>
      <c r="B1274" t="s">
        <v>1534</v>
      </c>
      <c r="C1274">
        <v>45156</v>
      </c>
      <c r="D1274">
        <v>47296342</v>
      </c>
      <c r="E1274">
        <v>10429</v>
      </c>
      <c r="F1274">
        <v>46</v>
      </c>
      <c r="G1274">
        <v>33439568</v>
      </c>
      <c r="H1274">
        <v>316661</v>
      </c>
      <c r="I1274">
        <v>37869926</v>
      </c>
      <c r="J1274">
        <v>10</v>
      </c>
      <c r="K1274">
        <v>16</v>
      </c>
      <c r="L1274">
        <v>1</v>
      </c>
      <c r="M1274" t="s">
        <v>6370</v>
      </c>
    </row>
    <row r="1275" spans="1:13">
      <c r="A1275" t="s">
        <v>3486</v>
      </c>
      <c r="B1275" t="s">
        <v>1986</v>
      </c>
      <c r="C1275">
        <v>45233</v>
      </c>
      <c r="D1275">
        <v>44047842</v>
      </c>
      <c r="E1275">
        <v>8961</v>
      </c>
      <c r="F1275">
        <v>11</v>
      </c>
      <c r="G1275">
        <v>11326093</v>
      </c>
      <c r="H1275">
        <v>90929</v>
      </c>
      <c r="I1275">
        <v>8486978</v>
      </c>
      <c r="J1275">
        <v>16</v>
      </c>
      <c r="K1275">
        <v>4</v>
      </c>
      <c r="L1275">
        <v>0</v>
      </c>
      <c r="M1275" t="s">
        <v>6370</v>
      </c>
    </row>
    <row r="1276" spans="1:13">
      <c r="A1276" t="s">
        <v>3487</v>
      </c>
      <c r="B1276" t="s">
        <v>2448</v>
      </c>
      <c r="C1276">
        <v>43875</v>
      </c>
      <c r="D1276">
        <v>671310199</v>
      </c>
      <c r="E1276">
        <v>156377</v>
      </c>
      <c r="F1276">
        <v>76</v>
      </c>
      <c r="G1276">
        <v>125724257</v>
      </c>
      <c r="H1276">
        <v>1588850</v>
      </c>
      <c r="I1276">
        <v>961188514</v>
      </c>
      <c r="J1276">
        <v>46</v>
      </c>
      <c r="K1276">
        <v>85</v>
      </c>
      <c r="L1276">
        <v>0</v>
      </c>
      <c r="M1276" t="s">
        <v>6371</v>
      </c>
    </row>
    <row r="1277" spans="1:13">
      <c r="A1277" t="s">
        <v>3488</v>
      </c>
      <c r="B1277" t="s">
        <v>506</v>
      </c>
      <c r="C1277">
        <v>43973</v>
      </c>
      <c r="D1277">
        <v>327311508</v>
      </c>
      <c r="E1277">
        <v>31216</v>
      </c>
      <c r="F1277">
        <v>68</v>
      </c>
      <c r="G1277">
        <v>699298520</v>
      </c>
      <c r="H1277">
        <v>2643453</v>
      </c>
      <c r="I1277">
        <v>271173077</v>
      </c>
      <c r="J1277">
        <v>15</v>
      </c>
      <c r="K1277">
        <v>27</v>
      </c>
      <c r="L1277">
        <v>0</v>
      </c>
      <c r="M1277" t="s">
        <v>6371</v>
      </c>
    </row>
    <row r="1278" spans="1:13">
      <c r="A1278" t="s">
        <v>3489</v>
      </c>
      <c r="B1278" t="s">
        <v>51</v>
      </c>
      <c r="C1278">
        <v>43874</v>
      </c>
      <c r="D1278">
        <v>610838644</v>
      </c>
      <c r="E1278">
        <v>91391</v>
      </c>
      <c r="F1278">
        <v>70</v>
      </c>
      <c r="G1278">
        <v>369182880</v>
      </c>
      <c r="H1278">
        <v>7406983</v>
      </c>
      <c r="I1278">
        <v>69072143</v>
      </c>
      <c r="J1278">
        <v>88</v>
      </c>
      <c r="K1278">
        <v>7</v>
      </c>
      <c r="L1278">
        <v>0</v>
      </c>
      <c r="M1278" t="s">
        <v>6371</v>
      </c>
    </row>
    <row r="1279" spans="1:13">
      <c r="A1279" t="s">
        <v>3494</v>
      </c>
      <c r="B1279" t="s">
        <v>459</v>
      </c>
      <c r="C1279">
        <v>42524</v>
      </c>
      <c r="D1279">
        <v>559708419</v>
      </c>
      <c r="E1279">
        <v>61743</v>
      </c>
      <c r="F1279">
        <v>65</v>
      </c>
      <c r="G1279">
        <v>1254068497</v>
      </c>
      <c r="H1279">
        <v>4746667</v>
      </c>
      <c r="I1279">
        <v>148552468</v>
      </c>
      <c r="J1279">
        <v>117</v>
      </c>
      <c r="K1279">
        <v>63</v>
      </c>
      <c r="L1279">
        <v>0</v>
      </c>
      <c r="M1279" t="s">
        <v>6371</v>
      </c>
    </row>
    <row r="1280" spans="1:13">
      <c r="A1280" t="s">
        <v>3495</v>
      </c>
      <c r="B1280" t="s">
        <v>3496</v>
      </c>
      <c r="C1280">
        <v>43350</v>
      </c>
      <c r="D1280">
        <v>822935346</v>
      </c>
      <c r="E1280">
        <v>90889</v>
      </c>
      <c r="F1280">
        <v>69</v>
      </c>
      <c r="G1280">
        <v>659693784</v>
      </c>
      <c r="H1280">
        <v>6100262</v>
      </c>
      <c r="I1280">
        <v>581871422</v>
      </c>
      <c r="J1280">
        <v>55</v>
      </c>
      <c r="K1280">
        <v>60</v>
      </c>
      <c r="L1280">
        <v>0</v>
      </c>
      <c r="M1280" t="s">
        <v>6371</v>
      </c>
    </row>
    <row r="1281" spans="1:13">
      <c r="A1281" t="s">
        <v>3502</v>
      </c>
      <c r="B1281" t="s">
        <v>1046</v>
      </c>
      <c r="C1281">
        <v>43508</v>
      </c>
      <c r="D1281">
        <v>109221089</v>
      </c>
      <c r="E1281">
        <v>33020</v>
      </c>
      <c r="F1281">
        <v>66</v>
      </c>
      <c r="G1281">
        <v>974345116</v>
      </c>
      <c r="H1281">
        <v>4887786</v>
      </c>
      <c r="I1281">
        <v>284819297</v>
      </c>
      <c r="J1281">
        <v>13</v>
      </c>
      <c r="K1281">
        <v>344</v>
      </c>
      <c r="L1281">
        <v>0</v>
      </c>
      <c r="M1281" t="s">
        <v>6371</v>
      </c>
    </row>
    <row r="1282" spans="1:13">
      <c r="A1282" t="s">
        <v>3503</v>
      </c>
      <c r="B1282" t="s">
        <v>2122</v>
      </c>
      <c r="C1282">
        <v>44727</v>
      </c>
      <c r="D1282">
        <v>47723324</v>
      </c>
      <c r="E1282">
        <v>34495</v>
      </c>
      <c r="F1282">
        <v>52</v>
      </c>
      <c r="G1282">
        <v>90212996</v>
      </c>
      <c r="H1282">
        <v>801572</v>
      </c>
      <c r="I1282">
        <v>3829712483</v>
      </c>
      <c r="J1282">
        <v>16</v>
      </c>
      <c r="K1282">
        <v>865</v>
      </c>
      <c r="L1282">
        <v>0</v>
      </c>
      <c r="M1282" t="s">
        <v>6370</v>
      </c>
    </row>
    <row r="1283" spans="1:13">
      <c r="A1283" t="s">
        <v>3509</v>
      </c>
      <c r="B1283" t="s">
        <v>3510</v>
      </c>
      <c r="C1283">
        <v>43025</v>
      </c>
      <c r="D1283">
        <v>641453269</v>
      </c>
      <c r="E1283">
        <v>197169</v>
      </c>
      <c r="F1283">
        <v>72</v>
      </c>
      <c r="G1283">
        <v>409991163</v>
      </c>
      <c r="H1283">
        <v>5836318</v>
      </c>
      <c r="I1283">
        <v>2500579993</v>
      </c>
      <c r="J1283">
        <v>55</v>
      </c>
      <c r="K1283">
        <v>15</v>
      </c>
      <c r="L1283">
        <v>0</v>
      </c>
      <c r="M1283" t="s">
        <v>6371</v>
      </c>
    </row>
    <row r="1284" spans="1:13">
      <c r="A1284" t="s">
        <v>3521</v>
      </c>
      <c r="B1284" t="s">
        <v>920</v>
      </c>
      <c r="C1284">
        <v>44531</v>
      </c>
      <c r="D1284">
        <v>306760464</v>
      </c>
      <c r="E1284">
        <v>23542</v>
      </c>
      <c r="F1284">
        <v>66</v>
      </c>
      <c r="G1284">
        <v>458931624</v>
      </c>
      <c r="H1284">
        <v>5675068</v>
      </c>
      <c r="I1284">
        <v>1292286614</v>
      </c>
      <c r="J1284">
        <v>33</v>
      </c>
      <c r="K1284">
        <v>124</v>
      </c>
      <c r="L1284">
        <v>0</v>
      </c>
      <c r="M1284" t="s">
        <v>6370</v>
      </c>
    </row>
    <row r="1285" spans="1:13">
      <c r="A1285" t="s">
        <v>3523</v>
      </c>
      <c r="B1285" t="s">
        <v>129</v>
      </c>
      <c r="C1285">
        <v>43406</v>
      </c>
      <c r="D1285">
        <v>917916061</v>
      </c>
      <c r="E1285">
        <v>204396</v>
      </c>
      <c r="F1285">
        <v>75</v>
      </c>
      <c r="G1285">
        <v>182161713</v>
      </c>
      <c r="H1285">
        <v>2330786</v>
      </c>
      <c r="I1285">
        <v>405647527</v>
      </c>
      <c r="J1285">
        <v>32</v>
      </c>
      <c r="K1285">
        <v>64</v>
      </c>
      <c r="L1285">
        <v>1</v>
      </c>
      <c r="M1285" t="s">
        <v>6371</v>
      </c>
    </row>
    <row r="1286" spans="1:13">
      <c r="A1286" t="s">
        <v>3532</v>
      </c>
      <c r="B1286" t="s">
        <v>19</v>
      </c>
      <c r="C1286">
        <v>44694</v>
      </c>
      <c r="D1286">
        <v>254191262</v>
      </c>
      <c r="E1286">
        <v>68188</v>
      </c>
      <c r="F1286">
        <v>71</v>
      </c>
      <c r="G1286">
        <v>66231224</v>
      </c>
      <c r="H1286">
        <v>1090031</v>
      </c>
      <c r="I1286">
        <v>33984850</v>
      </c>
      <c r="J1286">
        <v>23</v>
      </c>
      <c r="K1286">
        <v>35</v>
      </c>
      <c r="L1286">
        <v>1</v>
      </c>
      <c r="M1286" t="s">
        <v>6370</v>
      </c>
    </row>
    <row r="1287" spans="1:13">
      <c r="A1287" t="s">
        <v>3537</v>
      </c>
      <c r="B1287" t="s">
        <v>133</v>
      </c>
      <c r="C1287">
        <v>41640</v>
      </c>
      <c r="D1287">
        <v>1879966374</v>
      </c>
      <c r="E1287">
        <v>164059</v>
      </c>
      <c r="F1287">
        <v>77</v>
      </c>
      <c r="G1287">
        <v>464847219</v>
      </c>
      <c r="H1287">
        <v>2891357</v>
      </c>
      <c r="I1287">
        <v>417275446</v>
      </c>
      <c r="J1287">
        <v>124</v>
      </c>
      <c r="K1287">
        <v>125</v>
      </c>
      <c r="L1287">
        <v>0</v>
      </c>
      <c r="M1287" t="s">
        <v>6371</v>
      </c>
    </row>
    <row r="1288" spans="1:13">
      <c r="A1288" t="s">
        <v>3540</v>
      </c>
      <c r="B1288" t="s">
        <v>295</v>
      </c>
      <c r="C1288">
        <v>44869</v>
      </c>
      <c r="D1288">
        <v>199662854</v>
      </c>
      <c r="E1288">
        <v>70800</v>
      </c>
      <c r="F1288">
        <v>62</v>
      </c>
      <c r="G1288">
        <v>26734808</v>
      </c>
      <c r="H1288">
        <v>271645</v>
      </c>
      <c r="I1288">
        <v>100007156</v>
      </c>
      <c r="J1288">
        <v>27</v>
      </c>
      <c r="K1288">
        <v>118</v>
      </c>
      <c r="L1288">
        <v>1</v>
      </c>
      <c r="M1288" t="s">
        <v>6370</v>
      </c>
    </row>
    <row r="1289" spans="1:13">
      <c r="A1289" t="s">
        <v>251</v>
      </c>
      <c r="B1289" t="s">
        <v>3544</v>
      </c>
      <c r="C1289">
        <v>40179</v>
      </c>
      <c r="D1289">
        <v>1070923216</v>
      </c>
      <c r="E1289">
        <v>204514</v>
      </c>
      <c r="F1289">
        <v>69</v>
      </c>
      <c r="G1289">
        <v>576914505</v>
      </c>
      <c r="H1289">
        <v>3412361</v>
      </c>
      <c r="I1289">
        <v>185228504</v>
      </c>
      <c r="J1289">
        <v>133</v>
      </c>
      <c r="K1289">
        <v>210</v>
      </c>
      <c r="L1289">
        <v>0</v>
      </c>
      <c r="M1289" t="s">
        <v>6371</v>
      </c>
    </row>
    <row r="1290" spans="1:13">
      <c r="A1290" t="s">
        <v>3546</v>
      </c>
      <c r="B1290" t="s">
        <v>3547</v>
      </c>
      <c r="C1290">
        <v>44762</v>
      </c>
      <c r="D1290">
        <v>240519561</v>
      </c>
      <c r="E1290">
        <v>48629</v>
      </c>
      <c r="F1290">
        <v>62</v>
      </c>
      <c r="G1290">
        <v>203263077</v>
      </c>
      <c r="H1290">
        <v>2270776</v>
      </c>
      <c r="I1290">
        <v>313936580</v>
      </c>
      <c r="J1290">
        <v>13</v>
      </c>
      <c r="K1290">
        <v>100</v>
      </c>
      <c r="L1290">
        <v>1</v>
      </c>
      <c r="M1290" t="s">
        <v>6370</v>
      </c>
    </row>
    <row r="1291" spans="1:13">
      <c r="A1291" t="s">
        <v>3548</v>
      </c>
      <c r="B1291" t="s">
        <v>1850</v>
      </c>
      <c r="C1291">
        <v>42124</v>
      </c>
      <c r="D1291">
        <v>616445374</v>
      </c>
      <c r="E1291">
        <v>76646</v>
      </c>
      <c r="F1291">
        <v>65</v>
      </c>
      <c r="G1291">
        <v>656387408</v>
      </c>
      <c r="H1291">
        <v>7682235</v>
      </c>
      <c r="I1291">
        <v>166158568</v>
      </c>
      <c r="J1291">
        <v>19</v>
      </c>
      <c r="K1291">
        <v>81</v>
      </c>
      <c r="L1291">
        <v>0</v>
      </c>
      <c r="M1291" t="s">
        <v>6371</v>
      </c>
    </row>
    <row r="1292" spans="1:13">
      <c r="A1292" t="s">
        <v>3551</v>
      </c>
      <c r="B1292" t="s">
        <v>1217</v>
      </c>
      <c r="C1292">
        <v>43916</v>
      </c>
      <c r="D1292">
        <v>488713982</v>
      </c>
      <c r="E1292">
        <v>42311</v>
      </c>
      <c r="F1292">
        <v>58</v>
      </c>
      <c r="G1292">
        <v>596356173</v>
      </c>
      <c r="H1292">
        <v>4579674</v>
      </c>
      <c r="I1292">
        <v>712167034</v>
      </c>
      <c r="J1292">
        <v>88</v>
      </c>
      <c r="K1292">
        <v>9</v>
      </c>
      <c r="L1292">
        <v>0</v>
      </c>
      <c r="M1292" t="s">
        <v>6371</v>
      </c>
    </row>
    <row r="1293" spans="1:13">
      <c r="A1293" t="s">
        <v>3554</v>
      </c>
      <c r="B1293" t="s">
        <v>3555</v>
      </c>
      <c r="C1293">
        <v>41275</v>
      </c>
      <c r="D1293">
        <v>965827790</v>
      </c>
      <c r="E1293">
        <v>160031</v>
      </c>
      <c r="F1293">
        <v>71</v>
      </c>
      <c r="G1293">
        <v>243060460</v>
      </c>
      <c r="H1293">
        <v>2037116</v>
      </c>
      <c r="I1293">
        <v>930985864</v>
      </c>
      <c r="J1293">
        <v>89</v>
      </c>
      <c r="K1293">
        <v>159</v>
      </c>
      <c r="L1293">
        <v>0</v>
      </c>
      <c r="M1293" t="s">
        <v>6371</v>
      </c>
    </row>
    <row r="1294" spans="1:13">
      <c r="A1294" t="s">
        <v>3556</v>
      </c>
      <c r="B1294" t="s">
        <v>3557</v>
      </c>
      <c r="C1294">
        <v>44806</v>
      </c>
      <c r="D1294">
        <v>227893586</v>
      </c>
      <c r="E1294">
        <v>28139</v>
      </c>
      <c r="F1294">
        <v>73</v>
      </c>
      <c r="G1294">
        <v>30913276</v>
      </c>
      <c r="H1294">
        <v>159791</v>
      </c>
      <c r="I1294">
        <v>117505652</v>
      </c>
      <c r="J1294">
        <v>33</v>
      </c>
      <c r="K1294">
        <v>34</v>
      </c>
      <c r="L1294">
        <v>0</v>
      </c>
      <c r="M1294" t="s">
        <v>6370</v>
      </c>
    </row>
    <row r="1295" spans="1:13">
      <c r="A1295" t="s">
        <v>3556</v>
      </c>
      <c r="B1295" t="s">
        <v>3557</v>
      </c>
      <c r="C1295">
        <v>44806</v>
      </c>
      <c r="D1295">
        <v>227893586</v>
      </c>
      <c r="E1295">
        <v>28139</v>
      </c>
      <c r="F1295">
        <v>73</v>
      </c>
      <c r="G1295">
        <v>30913276</v>
      </c>
      <c r="H1295">
        <v>159791</v>
      </c>
      <c r="I1295">
        <v>117505652</v>
      </c>
      <c r="J1295">
        <v>33</v>
      </c>
      <c r="K1295">
        <v>34</v>
      </c>
      <c r="L1295">
        <v>0</v>
      </c>
      <c r="M1295" t="s">
        <v>6370</v>
      </c>
    </row>
    <row r="1296" spans="1:13">
      <c r="A1296" t="s">
        <v>3558</v>
      </c>
      <c r="B1296" t="s">
        <v>187</v>
      </c>
      <c r="C1296">
        <v>44189</v>
      </c>
      <c r="D1296">
        <v>176140377</v>
      </c>
      <c r="E1296">
        <v>76081</v>
      </c>
      <c r="F1296">
        <v>61</v>
      </c>
      <c r="G1296">
        <v>90527434</v>
      </c>
      <c r="H1296">
        <v>1019305</v>
      </c>
      <c r="I1296">
        <v>12014523</v>
      </c>
      <c r="J1296">
        <v>36</v>
      </c>
      <c r="K1296">
        <v>36</v>
      </c>
      <c r="L1296">
        <v>1</v>
      </c>
      <c r="M1296" t="s">
        <v>6371</v>
      </c>
    </row>
    <row r="1297" spans="1:13">
      <c r="A1297" t="s">
        <v>3563</v>
      </c>
      <c r="B1297" t="s">
        <v>3564</v>
      </c>
      <c r="C1297">
        <v>42748</v>
      </c>
      <c r="D1297">
        <v>1214862854</v>
      </c>
      <c r="E1297">
        <v>86990</v>
      </c>
      <c r="F1297">
        <v>69</v>
      </c>
      <c r="G1297">
        <v>333612581</v>
      </c>
      <c r="H1297">
        <v>3284811</v>
      </c>
      <c r="I1297">
        <v>142981272</v>
      </c>
      <c r="J1297">
        <v>148</v>
      </c>
      <c r="K1297">
        <v>288</v>
      </c>
      <c r="L1297">
        <v>0</v>
      </c>
      <c r="M1297" t="s">
        <v>6371</v>
      </c>
    </row>
    <row r="1298" spans="1:13">
      <c r="A1298" t="s">
        <v>3565</v>
      </c>
      <c r="B1298" t="s">
        <v>355</v>
      </c>
      <c r="C1298">
        <v>43868</v>
      </c>
      <c r="D1298">
        <v>523416171</v>
      </c>
      <c r="E1298">
        <v>164690</v>
      </c>
      <c r="F1298">
        <v>68</v>
      </c>
      <c r="G1298">
        <v>139802262</v>
      </c>
      <c r="H1298">
        <v>1087343</v>
      </c>
      <c r="I1298">
        <v>223524052</v>
      </c>
      <c r="J1298">
        <v>14</v>
      </c>
      <c r="K1298">
        <v>163</v>
      </c>
      <c r="L1298">
        <v>1</v>
      </c>
      <c r="M1298" t="s">
        <v>6371</v>
      </c>
    </row>
    <row r="1299" spans="1:13">
      <c r="A1299" t="s">
        <v>3574</v>
      </c>
      <c r="B1299" t="s">
        <v>313</v>
      </c>
      <c r="C1299">
        <v>43692</v>
      </c>
      <c r="D1299">
        <v>572697124</v>
      </c>
      <c r="E1299">
        <v>76099</v>
      </c>
      <c r="F1299">
        <v>65</v>
      </c>
      <c r="G1299">
        <v>630335590</v>
      </c>
      <c r="H1299">
        <v>4117309</v>
      </c>
      <c r="I1299">
        <v>125501807</v>
      </c>
      <c r="J1299">
        <v>148</v>
      </c>
      <c r="K1299">
        <v>104</v>
      </c>
      <c r="L1299">
        <v>0</v>
      </c>
      <c r="M1299" t="s">
        <v>6371</v>
      </c>
    </row>
    <row r="1300" spans="1:13">
      <c r="A1300" t="s">
        <v>3575</v>
      </c>
      <c r="B1300" t="s">
        <v>1332</v>
      </c>
      <c r="C1300">
        <v>42216</v>
      </c>
      <c r="D1300">
        <v>510138748</v>
      </c>
      <c r="E1300">
        <v>83010</v>
      </c>
      <c r="F1300">
        <v>70</v>
      </c>
      <c r="G1300">
        <v>486163241</v>
      </c>
      <c r="H1300">
        <v>3542793</v>
      </c>
      <c r="I1300">
        <v>63978184</v>
      </c>
      <c r="J1300">
        <v>76</v>
      </c>
      <c r="K1300">
        <v>18</v>
      </c>
      <c r="L1300">
        <v>1</v>
      </c>
      <c r="M1300" t="s">
        <v>6371</v>
      </c>
    </row>
    <row r="1301" spans="1:13">
      <c r="A1301" t="s">
        <v>3587</v>
      </c>
      <c r="B1301" t="s">
        <v>500</v>
      </c>
      <c r="C1301">
        <v>40909</v>
      </c>
      <c r="D1301">
        <v>1438795892</v>
      </c>
      <c r="E1301">
        <v>180669</v>
      </c>
      <c r="F1301">
        <v>78</v>
      </c>
      <c r="G1301">
        <v>1122719476</v>
      </c>
      <c r="H1301">
        <v>8456502</v>
      </c>
      <c r="I1301">
        <v>2876399321</v>
      </c>
      <c r="J1301">
        <v>71</v>
      </c>
      <c r="K1301">
        <v>25</v>
      </c>
      <c r="L1301">
        <v>0</v>
      </c>
      <c r="M1301" t="s">
        <v>6371</v>
      </c>
    </row>
    <row r="1302" spans="1:13">
      <c r="A1302" t="s">
        <v>3595</v>
      </c>
      <c r="B1302" t="s">
        <v>2265</v>
      </c>
      <c r="C1302">
        <v>45105</v>
      </c>
      <c r="D1302">
        <v>52240739</v>
      </c>
      <c r="E1302">
        <v>18224</v>
      </c>
      <c r="F1302">
        <v>59</v>
      </c>
      <c r="G1302">
        <v>19520315</v>
      </c>
      <c r="H1302">
        <v>328759</v>
      </c>
      <c r="I1302">
        <v>71305547</v>
      </c>
      <c r="J1302">
        <v>10</v>
      </c>
      <c r="K1302">
        <v>44</v>
      </c>
      <c r="L1302">
        <v>0</v>
      </c>
      <c r="M1302" t="s">
        <v>6370</v>
      </c>
    </row>
    <row r="1303" spans="1:13">
      <c r="A1303" t="s">
        <v>3598</v>
      </c>
      <c r="B1303" t="s">
        <v>3335</v>
      </c>
      <c r="C1303">
        <v>41917</v>
      </c>
      <c r="D1303">
        <v>895051532</v>
      </c>
      <c r="E1303">
        <v>155100</v>
      </c>
      <c r="F1303">
        <v>72</v>
      </c>
      <c r="G1303">
        <v>619712411</v>
      </c>
      <c r="H1303">
        <v>5087544</v>
      </c>
      <c r="I1303">
        <v>730346946</v>
      </c>
      <c r="J1303">
        <v>78</v>
      </c>
      <c r="K1303">
        <v>115</v>
      </c>
      <c r="L1303">
        <v>0</v>
      </c>
      <c r="M1303" t="s">
        <v>6371</v>
      </c>
    </row>
    <row r="1304" spans="1:13">
      <c r="A1304" t="s">
        <v>3599</v>
      </c>
      <c r="B1304" t="s">
        <v>1412</v>
      </c>
      <c r="C1304">
        <v>44441</v>
      </c>
      <c r="D1304">
        <v>412597562</v>
      </c>
      <c r="E1304">
        <v>80841</v>
      </c>
      <c r="F1304">
        <v>66</v>
      </c>
      <c r="G1304">
        <v>209120821</v>
      </c>
      <c r="H1304">
        <v>1034481</v>
      </c>
      <c r="I1304">
        <v>201664757</v>
      </c>
      <c r="J1304">
        <v>76</v>
      </c>
      <c r="K1304">
        <v>63</v>
      </c>
      <c r="L1304">
        <v>0</v>
      </c>
      <c r="M1304" t="s">
        <v>6370</v>
      </c>
    </row>
    <row r="1305" spans="1:13">
      <c r="A1305" t="s">
        <v>3600</v>
      </c>
      <c r="B1305" t="s">
        <v>318</v>
      </c>
      <c r="C1305">
        <v>44953</v>
      </c>
      <c r="D1305">
        <v>261468916</v>
      </c>
      <c r="E1305">
        <v>44088</v>
      </c>
      <c r="F1305">
        <v>75</v>
      </c>
      <c r="G1305">
        <v>8880434</v>
      </c>
      <c r="H1305">
        <v>54195</v>
      </c>
      <c r="I1305">
        <v>127691196</v>
      </c>
      <c r="J1305">
        <v>25</v>
      </c>
      <c r="K1305">
        <v>4</v>
      </c>
      <c r="L1305">
        <v>1</v>
      </c>
      <c r="M1305" t="s">
        <v>6370</v>
      </c>
    </row>
    <row r="1306" spans="1:13">
      <c r="A1306" t="s">
        <v>1874</v>
      </c>
      <c r="B1306" t="s">
        <v>155</v>
      </c>
      <c r="C1306">
        <v>37704</v>
      </c>
      <c r="D1306">
        <v>1720830668</v>
      </c>
      <c r="E1306">
        <v>270810</v>
      </c>
      <c r="F1306">
        <v>80</v>
      </c>
      <c r="G1306">
        <v>2450982330</v>
      </c>
      <c r="H1306">
        <v>15462896</v>
      </c>
      <c r="I1306">
        <v>490782499</v>
      </c>
      <c r="J1306">
        <v>5</v>
      </c>
      <c r="K1306">
        <v>559</v>
      </c>
      <c r="L1306">
        <v>0</v>
      </c>
      <c r="M1306" t="s">
        <v>6372</v>
      </c>
    </row>
    <row r="1307" spans="1:13">
      <c r="A1307" t="s">
        <v>3605</v>
      </c>
      <c r="B1307" t="s">
        <v>380</v>
      </c>
      <c r="C1307">
        <v>42786</v>
      </c>
      <c r="D1307">
        <v>1315024190</v>
      </c>
      <c r="E1307">
        <v>261850</v>
      </c>
      <c r="F1307">
        <v>80</v>
      </c>
      <c r="G1307">
        <v>152580618</v>
      </c>
      <c r="H1307">
        <v>1969610</v>
      </c>
      <c r="I1307">
        <v>558037837</v>
      </c>
      <c r="J1307">
        <v>101</v>
      </c>
      <c r="K1307">
        <v>188</v>
      </c>
      <c r="L1307">
        <v>0</v>
      </c>
      <c r="M1307" t="s">
        <v>6371</v>
      </c>
    </row>
    <row r="1308" spans="1:13">
      <c r="A1308" t="s">
        <v>3606</v>
      </c>
      <c r="B1308" t="s">
        <v>59</v>
      </c>
      <c r="C1308">
        <v>43854</v>
      </c>
      <c r="D1308">
        <v>465811322</v>
      </c>
      <c r="E1308">
        <v>70596</v>
      </c>
      <c r="F1308">
        <v>66</v>
      </c>
      <c r="G1308">
        <v>574401770</v>
      </c>
      <c r="H1308">
        <v>3127746</v>
      </c>
      <c r="I1308">
        <v>196656614</v>
      </c>
      <c r="J1308">
        <v>42</v>
      </c>
      <c r="K1308">
        <v>40</v>
      </c>
      <c r="L1308">
        <v>1</v>
      </c>
      <c r="M1308" t="s">
        <v>6371</v>
      </c>
    </row>
    <row r="1309" spans="1:13">
      <c r="A1309" t="s">
        <v>3609</v>
      </c>
      <c r="B1309" t="s">
        <v>3610</v>
      </c>
      <c r="C1309">
        <v>41275</v>
      </c>
      <c r="D1309">
        <v>727417273</v>
      </c>
      <c r="E1309">
        <v>107826</v>
      </c>
      <c r="F1309">
        <v>73</v>
      </c>
      <c r="G1309">
        <v>563826762</v>
      </c>
      <c r="H1309">
        <v>2402463</v>
      </c>
      <c r="I1309">
        <v>101847028</v>
      </c>
      <c r="J1309">
        <v>59</v>
      </c>
      <c r="K1309">
        <v>126</v>
      </c>
      <c r="L1309">
        <v>0</v>
      </c>
      <c r="M1309" t="s">
        <v>6371</v>
      </c>
    </row>
    <row r="1310" spans="1:13">
      <c r="A1310" t="s">
        <v>3612</v>
      </c>
      <c r="B1310" t="s">
        <v>127</v>
      </c>
      <c r="C1310">
        <v>44232</v>
      </c>
      <c r="D1310">
        <v>669099980</v>
      </c>
      <c r="E1310">
        <v>87216</v>
      </c>
      <c r="F1310">
        <v>76</v>
      </c>
      <c r="G1310">
        <v>213028772</v>
      </c>
      <c r="H1310">
        <v>2081644</v>
      </c>
      <c r="I1310">
        <v>101980300</v>
      </c>
      <c r="J1310">
        <v>13</v>
      </c>
      <c r="K1310">
        <v>90</v>
      </c>
      <c r="L1310">
        <v>0</v>
      </c>
      <c r="M1310" t="s">
        <v>6370</v>
      </c>
    </row>
    <row r="1311" spans="1:13">
      <c r="A1311" t="s">
        <v>2621</v>
      </c>
      <c r="B1311" t="s">
        <v>3613</v>
      </c>
      <c r="C1311">
        <v>43005</v>
      </c>
      <c r="D1311">
        <v>133061000</v>
      </c>
      <c r="E1311">
        <v>41010</v>
      </c>
      <c r="F1311">
        <v>54</v>
      </c>
      <c r="G1311">
        <v>113794097</v>
      </c>
      <c r="H1311">
        <v>1057519</v>
      </c>
      <c r="I1311">
        <v>3983988990</v>
      </c>
      <c r="J1311">
        <v>24</v>
      </c>
      <c r="K1311">
        <v>74</v>
      </c>
      <c r="L1311">
        <v>0</v>
      </c>
      <c r="M1311" t="s">
        <v>6371</v>
      </c>
    </row>
    <row r="1312" spans="1:13">
      <c r="A1312" t="s">
        <v>3614</v>
      </c>
      <c r="B1312" t="s">
        <v>3615</v>
      </c>
      <c r="C1312">
        <v>44393</v>
      </c>
      <c r="D1312">
        <v>181529121</v>
      </c>
      <c r="E1312">
        <v>36504</v>
      </c>
      <c r="F1312">
        <v>60</v>
      </c>
      <c r="G1312">
        <v>235286963</v>
      </c>
      <c r="H1312">
        <v>3057740</v>
      </c>
      <c r="I1312">
        <v>406413864</v>
      </c>
      <c r="J1312">
        <v>88</v>
      </c>
      <c r="K1312">
        <v>456</v>
      </c>
      <c r="L1312">
        <v>1</v>
      </c>
      <c r="M1312" t="s">
        <v>6370</v>
      </c>
    </row>
    <row r="1313" spans="1:13">
      <c r="A1313" t="s">
        <v>3618</v>
      </c>
      <c r="B1313" t="s">
        <v>167</v>
      </c>
      <c r="C1313">
        <v>43532</v>
      </c>
      <c r="D1313">
        <v>540907681</v>
      </c>
      <c r="E1313">
        <v>169023</v>
      </c>
      <c r="F1313">
        <v>70</v>
      </c>
      <c r="G1313">
        <v>281620086</v>
      </c>
      <c r="H1313">
        <v>1394656</v>
      </c>
      <c r="I1313">
        <v>65403430</v>
      </c>
      <c r="J1313">
        <v>113</v>
      </c>
      <c r="K1313">
        <v>9</v>
      </c>
      <c r="L1313">
        <v>1</v>
      </c>
      <c r="M1313" t="s">
        <v>6371</v>
      </c>
    </row>
    <row r="1314" spans="1:13">
      <c r="A1314" t="s">
        <v>3626</v>
      </c>
      <c r="B1314" t="s">
        <v>47</v>
      </c>
      <c r="C1314">
        <v>44386</v>
      </c>
      <c r="D1314">
        <v>399297877</v>
      </c>
      <c r="E1314">
        <v>98593</v>
      </c>
      <c r="F1314">
        <v>66</v>
      </c>
      <c r="G1314">
        <v>113586161</v>
      </c>
      <c r="H1314">
        <v>1283651</v>
      </c>
      <c r="I1314">
        <v>90781226</v>
      </c>
      <c r="J1314">
        <v>98</v>
      </c>
      <c r="K1314">
        <v>24</v>
      </c>
      <c r="L1314">
        <v>1</v>
      </c>
      <c r="M1314" t="s">
        <v>6370</v>
      </c>
    </row>
    <row r="1315" spans="1:13">
      <c r="A1315" t="s">
        <v>3627</v>
      </c>
      <c r="B1315" t="s">
        <v>747</v>
      </c>
      <c r="C1315">
        <v>44610</v>
      </c>
      <c r="D1315">
        <v>152999496</v>
      </c>
      <c r="E1315">
        <v>61870</v>
      </c>
      <c r="F1315">
        <v>63</v>
      </c>
      <c r="G1315">
        <v>41680427</v>
      </c>
      <c r="H1315">
        <v>625297</v>
      </c>
      <c r="I1315">
        <v>165647395</v>
      </c>
      <c r="J1315">
        <v>5</v>
      </c>
      <c r="K1315">
        <v>47</v>
      </c>
      <c r="L1315">
        <v>1</v>
      </c>
      <c r="M1315" t="s">
        <v>6370</v>
      </c>
    </row>
    <row r="1316" spans="1:13">
      <c r="A1316" t="s">
        <v>356</v>
      </c>
      <c r="B1316" t="s">
        <v>1955</v>
      </c>
      <c r="C1316">
        <v>44666</v>
      </c>
      <c r="D1316">
        <v>445742307</v>
      </c>
      <c r="E1316">
        <v>68570</v>
      </c>
      <c r="F1316">
        <v>72</v>
      </c>
      <c r="G1316">
        <v>65247352</v>
      </c>
      <c r="H1316">
        <v>1302190</v>
      </c>
      <c r="I1316">
        <v>299317588</v>
      </c>
      <c r="J1316">
        <v>9</v>
      </c>
      <c r="K1316">
        <v>3</v>
      </c>
      <c r="L1316">
        <v>0</v>
      </c>
      <c r="M1316" t="s">
        <v>6370</v>
      </c>
    </row>
    <row r="1317" spans="1:13">
      <c r="A1317" t="s">
        <v>3634</v>
      </c>
      <c r="B1317" t="s">
        <v>315</v>
      </c>
      <c r="C1317">
        <v>43735</v>
      </c>
      <c r="D1317">
        <v>349688559</v>
      </c>
      <c r="E1317">
        <v>77636</v>
      </c>
      <c r="F1317">
        <v>60</v>
      </c>
      <c r="G1317">
        <v>66011548</v>
      </c>
      <c r="H1317">
        <v>699236</v>
      </c>
      <c r="I1317">
        <v>643169528</v>
      </c>
      <c r="J1317">
        <v>26</v>
      </c>
      <c r="K1317">
        <v>43</v>
      </c>
      <c r="L1317">
        <v>1</v>
      </c>
      <c r="M1317" t="s">
        <v>6371</v>
      </c>
    </row>
    <row r="1318" spans="1:13">
      <c r="A1318" t="s">
        <v>3637</v>
      </c>
      <c r="B1318" t="s">
        <v>3638</v>
      </c>
      <c r="C1318">
        <v>44643</v>
      </c>
      <c r="D1318">
        <v>238502829</v>
      </c>
      <c r="E1318">
        <v>38595</v>
      </c>
      <c r="F1318">
        <v>4</v>
      </c>
      <c r="G1318">
        <v>26154092</v>
      </c>
      <c r="H1318">
        <v>390129</v>
      </c>
      <c r="I1318">
        <v>2205444414</v>
      </c>
      <c r="J1318">
        <v>17</v>
      </c>
      <c r="K1318">
        <v>760</v>
      </c>
      <c r="L1318">
        <v>1</v>
      </c>
      <c r="M1318" t="s">
        <v>6370</v>
      </c>
    </row>
    <row r="1319" spans="1:13">
      <c r="A1319" t="s">
        <v>3640</v>
      </c>
      <c r="B1319" t="s">
        <v>418</v>
      </c>
      <c r="C1319">
        <v>44645</v>
      </c>
      <c r="D1319">
        <v>409394001</v>
      </c>
      <c r="E1319">
        <v>53657</v>
      </c>
      <c r="F1319">
        <v>64</v>
      </c>
      <c r="G1319">
        <v>123846563</v>
      </c>
      <c r="H1319">
        <v>1120466</v>
      </c>
      <c r="I1319">
        <v>1334863571</v>
      </c>
      <c r="J1319">
        <v>45</v>
      </c>
      <c r="K1319">
        <v>81</v>
      </c>
      <c r="L1319">
        <v>1</v>
      </c>
      <c r="M1319" t="s">
        <v>6370</v>
      </c>
    </row>
    <row r="1320" spans="1:13">
      <c r="A1320" t="s">
        <v>3645</v>
      </c>
      <c r="B1320" t="s">
        <v>772</v>
      </c>
      <c r="C1320">
        <v>44988</v>
      </c>
      <c r="D1320">
        <v>148574146</v>
      </c>
      <c r="E1320">
        <v>25770</v>
      </c>
      <c r="F1320">
        <v>59</v>
      </c>
      <c r="G1320">
        <v>39166702</v>
      </c>
      <c r="H1320">
        <v>619142</v>
      </c>
      <c r="I1320">
        <v>21611489</v>
      </c>
      <c r="J1320">
        <v>39</v>
      </c>
      <c r="K1320">
        <v>156</v>
      </c>
      <c r="L1320">
        <v>1</v>
      </c>
      <c r="M1320" t="s">
        <v>6370</v>
      </c>
    </row>
    <row r="1321" spans="1:13">
      <c r="A1321" t="s">
        <v>3652</v>
      </c>
      <c r="B1321" t="s">
        <v>127</v>
      </c>
      <c r="C1321">
        <v>44232</v>
      </c>
      <c r="D1321">
        <v>451878749</v>
      </c>
      <c r="E1321">
        <v>78793</v>
      </c>
      <c r="F1321">
        <v>70</v>
      </c>
      <c r="G1321">
        <v>221123432</v>
      </c>
      <c r="H1321">
        <v>2660730</v>
      </c>
      <c r="I1321">
        <v>233301151</v>
      </c>
      <c r="J1321">
        <v>41</v>
      </c>
      <c r="K1321">
        <v>709</v>
      </c>
      <c r="L1321">
        <v>0</v>
      </c>
      <c r="M1321" t="s">
        <v>6370</v>
      </c>
    </row>
    <row r="1322" spans="1:13">
      <c r="A1322" t="s">
        <v>3653</v>
      </c>
      <c r="B1322" t="s">
        <v>3654</v>
      </c>
      <c r="C1322">
        <v>44848</v>
      </c>
      <c r="D1322">
        <v>350348521</v>
      </c>
      <c r="E1322">
        <v>48286</v>
      </c>
      <c r="F1322">
        <v>75</v>
      </c>
      <c r="G1322">
        <v>63111604</v>
      </c>
      <c r="H1322">
        <v>494666</v>
      </c>
      <c r="I1322">
        <v>793536731</v>
      </c>
      <c r="J1322">
        <v>32</v>
      </c>
      <c r="K1322">
        <v>5</v>
      </c>
      <c r="L1322">
        <v>0</v>
      </c>
      <c r="M1322" t="s">
        <v>6370</v>
      </c>
    </row>
    <row r="1323" spans="1:13">
      <c r="A1323" t="s">
        <v>3655</v>
      </c>
      <c r="B1323" t="s">
        <v>1030</v>
      </c>
      <c r="C1323">
        <v>44253</v>
      </c>
      <c r="D1323">
        <v>480737112</v>
      </c>
      <c r="E1323">
        <v>91401</v>
      </c>
      <c r="F1323">
        <v>66</v>
      </c>
      <c r="G1323">
        <v>55185277</v>
      </c>
      <c r="H1323">
        <v>280740</v>
      </c>
      <c r="I1323">
        <v>149754997</v>
      </c>
      <c r="J1323">
        <v>185</v>
      </c>
      <c r="K1323">
        <v>60</v>
      </c>
      <c r="L1323">
        <v>0</v>
      </c>
      <c r="M1323" t="s">
        <v>6370</v>
      </c>
    </row>
    <row r="1324" spans="1:13">
      <c r="A1324" t="s">
        <v>3659</v>
      </c>
      <c r="B1324" t="s">
        <v>3660</v>
      </c>
      <c r="C1324">
        <v>44309</v>
      </c>
      <c r="D1324">
        <v>453644642</v>
      </c>
      <c r="E1324">
        <v>78241</v>
      </c>
      <c r="F1324">
        <v>67</v>
      </c>
      <c r="G1324">
        <v>68753113</v>
      </c>
      <c r="H1324">
        <v>442500</v>
      </c>
      <c r="I1324">
        <v>86516663</v>
      </c>
      <c r="J1324">
        <v>135</v>
      </c>
      <c r="K1324">
        <v>583</v>
      </c>
      <c r="L1324">
        <v>0</v>
      </c>
      <c r="M1324" t="s">
        <v>6370</v>
      </c>
    </row>
    <row r="1325" spans="1:13">
      <c r="A1325" t="s">
        <v>3668</v>
      </c>
      <c r="B1325" t="s">
        <v>3669</v>
      </c>
      <c r="C1325">
        <v>45400</v>
      </c>
      <c r="D1325">
        <v>16327372</v>
      </c>
      <c r="E1325">
        <v>987</v>
      </c>
      <c r="F1325">
        <v>69</v>
      </c>
      <c r="G1325">
        <v>29637408</v>
      </c>
      <c r="H1325">
        <v>364827</v>
      </c>
      <c r="I1325">
        <v>64226700</v>
      </c>
      <c r="J1325">
        <v>21</v>
      </c>
      <c r="K1325">
        <v>30</v>
      </c>
      <c r="L1325">
        <v>0</v>
      </c>
      <c r="M1325" t="s">
        <v>6370</v>
      </c>
    </row>
    <row r="1326" spans="1:13">
      <c r="A1326" t="s">
        <v>3671</v>
      </c>
      <c r="B1326" t="s">
        <v>3672</v>
      </c>
      <c r="C1326">
        <v>44309</v>
      </c>
      <c r="D1326">
        <v>138100044</v>
      </c>
      <c r="E1326">
        <v>64635</v>
      </c>
      <c r="F1326">
        <v>56</v>
      </c>
      <c r="G1326">
        <v>168383616</v>
      </c>
      <c r="H1326">
        <v>1456308</v>
      </c>
      <c r="I1326">
        <v>94781829</v>
      </c>
      <c r="J1326">
        <v>59</v>
      </c>
      <c r="K1326">
        <v>187</v>
      </c>
      <c r="L1326">
        <v>1</v>
      </c>
      <c r="M1326" t="s">
        <v>6370</v>
      </c>
    </row>
    <row r="1327" spans="1:13">
      <c r="A1327" t="s">
        <v>3674</v>
      </c>
      <c r="B1327" t="s">
        <v>3675</v>
      </c>
      <c r="C1327">
        <v>44638</v>
      </c>
      <c r="D1327">
        <v>332175085</v>
      </c>
      <c r="E1327">
        <v>63085</v>
      </c>
      <c r="F1327">
        <v>66</v>
      </c>
      <c r="G1327">
        <v>119541325</v>
      </c>
      <c r="H1327">
        <v>763188</v>
      </c>
      <c r="I1327">
        <v>866018385</v>
      </c>
      <c r="J1327">
        <v>37</v>
      </c>
      <c r="K1327">
        <v>108</v>
      </c>
      <c r="L1327">
        <v>1</v>
      </c>
      <c r="M1327" t="s">
        <v>6370</v>
      </c>
    </row>
    <row r="1328" spans="1:13">
      <c r="A1328" t="s">
        <v>3676</v>
      </c>
      <c r="B1328" t="s">
        <v>266</v>
      </c>
      <c r="C1328">
        <v>44337</v>
      </c>
      <c r="D1328">
        <v>639900946</v>
      </c>
      <c r="E1328">
        <v>87550</v>
      </c>
      <c r="F1328">
        <v>73</v>
      </c>
      <c r="G1328">
        <v>147309966</v>
      </c>
      <c r="H1328">
        <v>3536634</v>
      </c>
      <c r="I1328">
        <v>774173668</v>
      </c>
      <c r="J1328">
        <v>41</v>
      </c>
      <c r="K1328">
        <v>85</v>
      </c>
      <c r="L1328">
        <v>1</v>
      </c>
      <c r="M1328" t="s">
        <v>6370</v>
      </c>
    </row>
    <row r="1329" spans="1:13">
      <c r="A1329" t="s">
        <v>3677</v>
      </c>
      <c r="B1329" t="s">
        <v>3678</v>
      </c>
      <c r="C1329">
        <v>41849</v>
      </c>
      <c r="D1329">
        <v>275465440</v>
      </c>
      <c r="E1329">
        <v>58725</v>
      </c>
      <c r="F1329">
        <v>65</v>
      </c>
      <c r="G1329">
        <v>290207058</v>
      </c>
      <c r="H1329">
        <v>1533113</v>
      </c>
      <c r="I1329">
        <v>53454696</v>
      </c>
      <c r="J1329">
        <v>30</v>
      </c>
      <c r="K1329">
        <v>8</v>
      </c>
      <c r="L1329">
        <v>1</v>
      </c>
      <c r="M1329" t="s">
        <v>6371</v>
      </c>
    </row>
    <row r="1330" spans="1:13">
      <c r="A1330" t="s">
        <v>3680</v>
      </c>
      <c r="B1330" t="s">
        <v>1641</v>
      </c>
      <c r="C1330">
        <v>44652</v>
      </c>
      <c r="D1330">
        <v>359336745</v>
      </c>
      <c r="E1330">
        <v>67125</v>
      </c>
      <c r="F1330">
        <v>70</v>
      </c>
      <c r="G1330">
        <v>143505182</v>
      </c>
      <c r="H1330">
        <v>823971</v>
      </c>
      <c r="I1330">
        <v>82205989</v>
      </c>
      <c r="J1330">
        <v>38</v>
      </c>
      <c r="K1330">
        <v>170</v>
      </c>
      <c r="L1330">
        <v>0</v>
      </c>
      <c r="M1330" t="s">
        <v>6370</v>
      </c>
    </row>
    <row r="1331" spans="1:13">
      <c r="A1331" t="s">
        <v>3683</v>
      </c>
      <c r="B1331" t="s">
        <v>1890</v>
      </c>
      <c r="C1331">
        <v>44750</v>
      </c>
      <c r="D1331">
        <v>247386146</v>
      </c>
      <c r="E1331">
        <v>57298</v>
      </c>
      <c r="F1331">
        <v>70</v>
      </c>
      <c r="G1331">
        <v>48937559</v>
      </c>
      <c r="H1331">
        <v>461922</v>
      </c>
      <c r="I1331">
        <v>119045728</v>
      </c>
      <c r="J1331">
        <v>21</v>
      </c>
      <c r="K1331">
        <v>553</v>
      </c>
      <c r="L1331">
        <v>1</v>
      </c>
      <c r="M1331" t="s">
        <v>6370</v>
      </c>
    </row>
    <row r="1332" spans="1:13">
      <c r="A1332" t="s">
        <v>3688</v>
      </c>
      <c r="B1332" t="s">
        <v>2541</v>
      </c>
      <c r="C1332">
        <v>44314</v>
      </c>
      <c r="D1332">
        <v>304069347</v>
      </c>
      <c r="E1332">
        <v>89224</v>
      </c>
      <c r="F1332">
        <v>63</v>
      </c>
      <c r="G1332">
        <v>87407927</v>
      </c>
      <c r="H1332">
        <v>580798</v>
      </c>
      <c r="I1332">
        <v>94926621</v>
      </c>
      <c r="J1332">
        <v>89</v>
      </c>
      <c r="K1332">
        <v>24</v>
      </c>
      <c r="L1332">
        <v>0</v>
      </c>
      <c r="M1332" t="s">
        <v>6370</v>
      </c>
    </row>
    <row r="1333" spans="1:13">
      <c r="A1333" t="s">
        <v>3689</v>
      </c>
      <c r="B1333" t="s">
        <v>2878</v>
      </c>
      <c r="C1333">
        <v>44491</v>
      </c>
      <c r="D1333">
        <v>275492185</v>
      </c>
      <c r="E1333">
        <v>47297</v>
      </c>
      <c r="F1333">
        <v>68</v>
      </c>
      <c r="G1333">
        <v>104950820</v>
      </c>
      <c r="H1333">
        <v>697838</v>
      </c>
      <c r="I1333">
        <v>2603158294</v>
      </c>
      <c r="J1333">
        <v>35</v>
      </c>
      <c r="K1333">
        <v>2</v>
      </c>
      <c r="L1333">
        <v>0</v>
      </c>
      <c r="M1333" t="s">
        <v>6370</v>
      </c>
    </row>
    <row r="1334" spans="1:13">
      <c r="A1334" t="s">
        <v>3691</v>
      </c>
      <c r="B1334" t="s">
        <v>966</v>
      </c>
      <c r="C1334">
        <v>45040</v>
      </c>
      <c r="D1334">
        <v>58652026</v>
      </c>
      <c r="E1334">
        <v>19596</v>
      </c>
      <c r="F1334">
        <v>54</v>
      </c>
      <c r="G1334">
        <v>74399520</v>
      </c>
      <c r="H1334">
        <v>458583</v>
      </c>
      <c r="I1334">
        <v>344636407</v>
      </c>
      <c r="J1334">
        <v>14</v>
      </c>
      <c r="K1334">
        <v>6</v>
      </c>
      <c r="L1334">
        <v>1</v>
      </c>
      <c r="M1334" t="s">
        <v>6370</v>
      </c>
    </row>
    <row r="1335" spans="1:13">
      <c r="A1335" t="s">
        <v>3694</v>
      </c>
      <c r="B1335" t="s">
        <v>3695</v>
      </c>
      <c r="C1335">
        <v>44021</v>
      </c>
      <c r="D1335">
        <v>509353753</v>
      </c>
      <c r="E1335">
        <v>87580</v>
      </c>
      <c r="F1335">
        <v>63</v>
      </c>
      <c r="G1335">
        <v>231541575</v>
      </c>
      <c r="H1335">
        <v>3846027</v>
      </c>
      <c r="I1335">
        <v>842856226</v>
      </c>
      <c r="J1335">
        <v>45</v>
      </c>
      <c r="K1335">
        <v>112</v>
      </c>
      <c r="L1335">
        <v>1</v>
      </c>
      <c r="M1335" t="s">
        <v>6371</v>
      </c>
    </row>
    <row r="1336" spans="1:13">
      <c r="A1336" t="s">
        <v>3696</v>
      </c>
      <c r="B1336" t="s">
        <v>3697</v>
      </c>
      <c r="C1336">
        <v>45145</v>
      </c>
      <c r="D1336">
        <v>88499180</v>
      </c>
      <c r="E1336">
        <v>9715</v>
      </c>
      <c r="F1336">
        <v>59</v>
      </c>
      <c r="G1336">
        <v>134376601</v>
      </c>
      <c r="H1336">
        <v>256505</v>
      </c>
      <c r="I1336">
        <v>291191318</v>
      </c>
      <c r="J1336">
        <v>16</v>
      </c>
      <c r="K1336">
        <v>33</v>
      </c>
      <c r="L1336">
        <v>0</v>
      </c>
      <c r="M1336" t="s">
        <v>6370</v>
      </c>
    </row>
    <row r="1337" spans="1:13">
      <c r="A1337" t="s">
        <v>3699</v>
      </c>
      <c r="B1337" t="s">
        <v>3700</v>
      </c>
      <c r="C1337">
        <v>41275</v>
      </c>
      <c r="D1337">
        <v>1460945792</v>
      </c>
      <c r="E1337">
        <v>331171</v>
      </c>
      <c r="F1337">
        <v>76</v>
      </c>
      <c r="G1337">
        <v>224150562</v>
      </c>
      <c r="H1337">
        <v>1926122</v>
      </c>
      <c r="I1337">
        <v>2134365963</v>
      </c>
      <c r="J1337">
        <v>83</v>
      </c>
      <c r="K1337">
        <v>115</v>
      </c>
      <c r="L1337">
        <v>0</v>
      </c>
      <c r="M1337" t="s">
        <v>6371</v>
      </c>
    </row>
    <row r="1338" spans="1:13">
      <c r="A1338" t="s">
        <v>605</v>
      </c>
      <c r="B1338" t="s">
        <v>459</v>
      </c>
      <c r="C1338">
        <v>43909</v>
      </c>
      <c r="D1338">
        <v>489654759</v>
      </c>
      <c r="E1338">
        <v>60072</v>
      </c>
      <c r="F1338">
        <v>63</v>
      </c>
      <c r="G1338">
        <v>478807073</v>
      </c>
      <c r="H1338">
        <v>3205287</v>
      </c>
      <c r="I1338">
        <v>491920895</v>
      </c>
      <c r="J1338">
        <v>92</v>
      </c>
      <c r="K1338">
        <v>41</v>
      </c>
      <c r="L1338">
        <v>0</v>
      </c>
      <c r="M1338" t="s">
        <v>6371</v>
      </c>
    </row>
    <row r="1339" spans="1:13">
      <c r="A1339" t="s">
        <v>3704</v>
      </c>
      <c r="B1339" t="s">
        <v>170</v>
      </c>
      <c r="C1339">
        <v>44239</v>
      </c>
      <c r="D1339">
        <v>236644328</v>
      </c>
      <c r="E1339">
        <v>36130</v>
      </c>
      <c r="F1339">
        <v>50</v>
      </c>
      <c r="G1339">
        <v>525752748</v>
      </c>
      <c r="H1339">
        <v>3073337</v>
      </c>
      <c r="I1339">
        <v>329180615</v>
      </c>
      <c r="J1339">
        <v>56</v>
      </c>
      <c r="K1339">
        <v>18</v>
      </c>
      <c r="L1339">
        <v>1</v>
      </c>
      <c r="M1339" t="s">
        <v>6370</v>
      </c>
    </row>
    <row r="1340" spans="1:13">
      <c r="A1340" t="s">
        <v>3705</v>
      </c>
      <c r="B1340" t="s">
        <v>3706</v>
      </c>
      <c r="C1340">
        <v>45051</v>
      </c>
      <c r="D1340">
        <v>34026239</v>
      </c>
      <c r="E1340">
        <v>8723</v>
      </c>
      <c r="F1340">
        <v>58</v>
      </c>
      <c r="G1340">
        <v>56469190</v>
      </c>
      <c r="H1340">
        <v>290499</v>
      </c>
      <c r="I1340">
        <v>391501573</v>
      </c>
      <c r="J1340">
        <v>23</v>
      </c>
      <c r="K1340">
        <v>4</v>
      </c>
      <c r="L1340">
        <v>0</v>
      </c>
      <c r="M1340" t="s">
        <v>6370</v>
      </c>
    </row>
    <row r="1341" spans="1:13">
      <c r="A1341" t="s">
        <v>3709</v>
      </c>
      <c r="B1341" t="s">
        <v>892</v>
      </c>
      <c r="C1341">
        <v>43048</v>
      </c>
      <c r="D1341">
        <v>947770190</v>
      </c>
      <c r="E1341">
        <v>123852</v>
      </c>
      <c r="F1341">
        <v>69</v>
      </c>
      <c r="G1341">
        <v>417814325</v>
      </c>
      <c r="H1341">
        <v>6867798</v>
      </c>
      <c r="I1341">
        <v>5479108705</v>
      </c>
      <c r="J1341">
        <v>128</v>
      </c>
      <c r="K1341">
        <v>93</v>
      </c>
      <c r="L1341">
        <v>0</v>
      </c>
      <c r="M1341" t="s">
        <v>6371</v>
      </c>
    </row>
    <row r="1342" spans="1:13">
      <c r="A1342" t="s">
        <v>3710</v>
      </c>
      <c r="B1342" t="s">
        <v>1857</v>
      </c>
      <c r="C1342">
        <v>44437</v>
      </c>
      <c r="D1342">
        <v>404497617</v>
      </c>
      <c r="E1342">
        <v>108795</v>
      </c>
      <c r="F1342">
        <v>62</v>
      </c>
      <c r="G1342">
        <v>45337894</v>
      </c>
      <c r="H1342">
        <v>615908</v>
      </c>
      <c r="I1342">
        <v>91838300</v>
      </c>
      <c r="J1342">
        <v>51</v>
      </c>
      <c r="K1342">
        <v>185</v>
      </c>
      <c r="L1342">
        <v>0</v>
      </c>
      <c r="M1342" t="s">
        <v>6370</v>
      </c>
    </row>
    <row r="1343" spans="1:13">
      <c r="A1343" t="s">
        <v>3713</v>
      </c>
      <c r="B1343" t="s">
        <v>3714</v>
      </c>
      <c r="C1343">
        <v>42873</v>
      </c>
      <c r="D1343">
        <v>1000549809</v>
      </c>
      <c r="E1343">
        <v>86051</v>
      </c>
      <c r="F1343">
        <v>63</v>
      </c>
      <c r="G1343">
        <v>503776997</v>
      </c>
      <c r="H1343">
        <v>5263027</v>
      </c>
      <c r="I1343">
        <v>181309829</v>
      </c>
      <c r="J1343">
        <v>99</v>
      </c>
      <c r="K1343">
        <v>101</v>
      </c>
      <c r="L1343">
        <v>0</v>
      </c>
      <c r="M1343" t="s">
        <v>6371</v>
      </c>
    </row>
    <row r="1344" spans="1:13">
      <c r="A1344" t="s">
        <v>3717</v>
      </c>
      <c r="B1344" t="s">
        <v>3718</v>
      </c>
      <c r="C1344">
        <v>43476</v>
      </c>
      <c r="D1344">
        <v>895496661</v>
      </c>
      <c r="E1344">
        <v>158437</v>
      </c>
      <c r="F1344">
        <v>75</v>
      </c>
      <c r="G1344">
        <v>60795572</v>
      </c>
      <c r="H1344">
        <v>663427</v>
      </c>
      <c r="I1344">
        <v>500515994</v>
      </c>
      <c r="J1344">
        <v>109</v>
      </c>
      <c r="K1344">
        <v>9</v>
      </c>
      <c r="L1344">
        <v>1</v>
      </c>
      <c r="M1344" t="s">
        <v>6371</v>
      </c>
    </row>
    <row r="1345" spans="1:13">
      <c r="A1345" t="s">
        <v>3725</v>
      </c>
      <c r="B1345" t="s">
        <v>3726</v>
      </c>
      <c r="C1345">
        <v>37432</v>
      </c>
      <c r="D1345">
        <v>859999247</v>
      </c>
      <c r="E1345">
        <v>170136</v>
      </c>
      <c r="F1345">
        <v>74</v>
      </c>
      <c r="G1345">
        <v>1639732381</v>
      </c>
      <c r="H1345">
        <v>8770296</v>
      </c>
      <c r="I1345">
        <v>368297203</v>
      </c>
      <c r="J1345">
        <v>116</v>
      </c>
      <c r="K1345">
        <v>86</v>
      </c>
      <c r="L1345">
        <v>1</v>
      </c>
      <c r="M1345" t="s">
        <v>6372</v>
      </c>
    </row>
    <row r="1346" spans="1:13">
      <c r="A1346" t="s">
        <v>3729</v>
      </c>
      <c r="B1346" t="s">
        <v>747</v>
      </c>
      <c r="C1346">
        <v>45072</v>
      </c>
      <c r="D1346">
        <v>83393310</v>
      </c>
      <c r="E1346">
        <v>32703</v>
      </c>
      <c r="F1346">
        <v>64</v>
      </c>
      <c r="G1346">
        <v>14159412</v>
      </c>
      <c r="H1346">
        <v>193138</v>
      </c>
      <c r="I1346">
        <v>9909365</v>
      </c>
      <c r="J1346">
        <v>10</v>
      </c>
      <c r="K1346">
        <v>57</v>
      </c>
      <c r="L1346">
        <v>1</v>
      </c>
      <c r="M1346" t="s">
        <v>6370</v>
      </c>
    </row>
    <row r="1347" spans="1:13">
      <c r="A1347" t="s">
        <v>3733</v>
      </c>
      <c r="B1347" t="s">
        <v>3734</v>
      </c>
      <c r="C1347">
        <v>44673</v>
      </c>
      <c r="D1347">
        <v>383945607</v>
      </c>
      <c r="E1347">
        <v>58627</v>
      </c>
      <c r="F1347">
        <v>72</v>
      </c>
      <c r="G1347">
        <v>51670623</v>
      </c>
      <c r="H1347">
        <v>427016</v>
      </c>
      <c r="I1347">
        <v>159467861</v>
      </c>
      <c r="J1347">
        <v>83</v>
      </c>
      <c r="K1347">
        <v>409</v>
      </c>
      <c r="L1347">
        <v>0</v>
      </c>
      <c r="M1347" t="s">
        <v>6370</v>
      </c>
    </row>
    <row r="1348" spans="1:13">
      <c r="A1348" t="s">
        <v>3739</v>
      </c>
      <c r="B1348" t="s">
        <v>1705</v>
      </c>
      <c r="C1348">
        <v>44713</v>
      </c>
      <c r="D1348">
        <v>168710415</v>
      </c>
      <c r="E1348">
        <v>16559</v>
      </c>
      <c r="F1348">
        <v>56</v>
      </c>
      <c r="G1348">
        <v>358805694</v>
      </c>
      <c r="H1348">
        <v>1890653</v>
      </c>
      <c r="I1348">
        <v>248098853</v>
      </c>
      <c r="J1348">
        <v>12</v>
      </c>
      <c r="K1348">
        <v>1</v>
      </c>
      <c r="L1348">
        <v>0</v>
      </c>
      <c r="M1348" t="s">
        <v>6370</v>
      </c>
    </row>
    <row r="1349" spans="1:13">
      <c r="A1349" t="s">
        <v>3740</v>
      </c>
      <c r="B1349" t="s">
        <v>61</v>
      </c>
      <c r="C1349">
        <v>44855</v>
      </c>
      <c r="D1349">
        <v>536110386</v>
      </c>
      <c r="E1349">
        <v>32472</v>
      </c>
      <c r="F1349">
        <v>71</v>
      </c>
      <c r="G1349">
        <v>19011964</v>
      </c>
      <c r="H1349">
        <v>168023</v>
      </c>
      <c r="I1349">
        <v>1573795763</v>
      </c>
      <c r="J1349">
        <v>46</v>
      </c>
      <c r="K1349">
        <v>84</v>
      </c>
      <c r="L1349">
        <v>0</v>
      </c>
      <c r="M1349" t="s">
        <v>6370</v>
      </c>
    </row>
    <row r="1350" spans="1:13">
      <c r="A1350" t="s">
        <v>2652</v>
      </c>
      <c r="B1350" t="s">
        <v>1373</v>
      </c>
      <c r="C1350">
        <v>43014</v>
      </c>
      <c r="D1350">
        <v>492361216</v>
      </c>
      <c r="E1350">
        <v>43773</v>
      </c>
      <c r="F1350">
        <v>66</v>
      </c>
      <c r="G1350">
        <v>697287853</v>
      </c>
      <c r="H1350">
        <v>3494761</v>
      </c>
      <c r="I1350">
        <v>74609105</v>
      </c>
      <c r="J1350">
        <v>46</v>
      </c>
      <c r="K1350">
        <v>35</v>
      </c>
      <c r="L1350">
        <v>0</v>
      </c>
      <c r="M1350" t="s">
        <v>6371</v>
      </c>
    </row>
    <row r="1351" spans="1:13">
      <c r="A1351" t="s">
        <v>3744</v>
      </c>
      <c r="B1351" t="s">
        <v>332</v>
      </c>
      <c r="C1351">
        <v>45163</v>
      </c>
      <c r="D1351">
        <v>106899723</v>
      </c>
      <c r="E1351">
        <v>23959</v>
      </c>
      <c r="F1351">
        <v>64</v>
      </c>
      <c r="G1351">
        <v>54351042</v>
      </c>
      <c r="H1351">
        <v>362313</v>
      </c>
      <c r="I1351">
        <v>44045683</v>
      </c>
      <c r="J1351">
        <v>15</v>
      </c>
      <c r="K1351">
        <v>24</v>
      </c>
      <c r="L1351">
        <v>0</v>
      </c>
      <c r="M1351" t="s">
        <v>6370</v>
      </c>
    </row>
    <row r="1352" spans="1:13">
      <c r="A1352" t="s">
        <v>3746</v>
      </c>
      <c r="B1352" t="s">
        <v>1002</v>
      </c>
      <c r="C1352">
        <v>41275</v>
      </c>
      <c r="D1352">
        <v>1256488099</v>
      </c>
      <c r="E1352">
        <v>158078</v>
      </c>
      <c r="F1352">
        <v>80</v>
      </c>
      <c r="G1352">
        <v>721653474</v>
      </c>
      <c r="H1352">
        <v>5562953</v>
      </c>
      <c r="I1352">
        <v>881937736</v>
      </c>
      <c r="J1352">
        <v>85</v>
      </c>
      <c r="K1352">
        <v>38</v>
      </c>
      <c r="L1352">
        <v>0</v>
      </c>
      <c r="M1352" t="s">
        <v>6371</v>
      </c>
    </row>
    <row r="1353" spans="1:13">
      <c r="A1353" t="s">
        <v>3747</v>
      </c>
      <c r="B1353" t="s">
        <v>19</v>
      </c>
      <c r="C1353">
        <v>44694</v>
      </c>
      <c r="D1353">
        <v>246425341</v>
      </c>
      <c r="E1353">
        <v>81509</v>
      </c>
      <c r="F1353">
        <v>71</v>
      </c>
      <c r="G1353">
        <v>38465606</v>
      </c>
      <c r="H1353">
        <v>807082</v>
      </c>
      <c r="I1353">
        <v>342828836</v>
      </c>
      <c r="J1353">
        <v>5</v>
      </c>
      <c r="K1353">
        <v>11</v>
      </c>
      <c r="L1353">
        <v>1</v>
      </c>
      <c r="M1353" t="s">
        <v>6370</v>
      </c>
    </row>
    <row r="1354" spans="1:13">
      <c r="A1354" t="s">
        <v>3748</v>
      </c>
      <c r="B1354" t="s">
        <v>72</v>
      </c>
      <c r="C1354">
        <v>41621</v>
      </c>
      <c r="D1354">
        <v>607315454</v>
      </c>
      <c r="E1354">
        <v>73281</v>
      </c>
      <c r="F1354">
        <v>67</v>
      </c>
      <c r="G1354">
        <v>827853706</v>
      </c>
      <c r="H1354">
        <v>3895677</v>
      </c>
      <c r="I1354">
        <v>200100315</v>
      </c>
      <c r="J1354">
        <v>129</v>
      </c>
      <c r="K1354">
        <v>83</v>
      </c>
      <c r="L1354">
        <v>1</v>
      </c>
      <c r="M1354" t="s">
        <v>6371</v>
      </c>
    </row>
    <row r="1355" spans="1:13">
      <c r="A1355" t="s">
        <v>3750</v>
      </c>
      <c r="B1355" t="s">
        <v>3751</v>
      </c>
      <c r="C1355">
        <v>45405</v>
      </c>
      <c r="D1355">
        <v>9956970</v>
      </c>
      <c r="E1355">
        <v>918</v>
      </c>
      <c r="F1355">
        <v>66</v>
      </c>
      <c r="G1355">
        <v>28265816</v>
      </c>
      <c r="H1355">
        <v>825743</v>
      </c>
      <c r="I1355">
        <v>16415876</v>
      </c>
      <c r="J1355">
        <v>6</v>
      </c>
      <c r="K1355">
        <v>8</v>
      </c>
      <c r="L1355">
        <v>0</v>
      </c>
      <c r="M1355" t="s">
        <v>6370</v>
      </c>
    </row>
    <row r="1356" spans="1:13">
      <c r="A1356" t="s">
        <v>3758</v>
      </c>
      <c r="B1356" t="s">
        <v>496</v>
      </c>
      <c r="C1356">
        <v>43721</v>
      </c>
      <c r="D1356">
        <v>589145587</v>
      </c>
      <c r="E1356">
        <v>130464</v>
      </c>
      <c r="F1356">
        <v>71</v>
      </c>
      <c r="G1356">
        <v>235289339</v>
      </c>
      <c r="H1356">
        <v>3294641</v>
      </c>
      <c r="I1356">
        <v>569986027</v>
      </c>
      <c r="J1356">
        <v>38</v>
      </c>
      <c r="K1356">
        <v>19</v>
      </c>
      <c r="L1356">
        <v>0</v>
      </c>
      <c r="M1356" t="s">
        <v>6371</v>
      </c>
    </row>
    <row r="1357" spans="1:13">
      <c r="A1357" t="s">
        <v>3765</v>
      </c>
      <c r="B1357" t="s">
        <v>3647</v>
      </c>
      <c r="C1357">
        <v>43245</v>
      </c>
      <c r="D1357">
        <v>872518334</v>
      </c>
      <c r="E1357">
        <v>93636</v>
      </c>
      <c r="F1357">
        <v>64</v>
      </c>
      <c r="G1357">
        <v>681562909</v>
      </c>
      <c r="H1357">
        <v>4154352</v>
      </c>
      <c r="I1357">
        <v>36403946</v>
      </c>
      <c r="J1357">
        <v>98</v>
      </c>
      <c r="K1357">
        <v>16</v>
      </c>
      <c r="L1357">
        <v>0</v>
      </c>
      <c r="M1357" t="s">
        <v>6371</v>
      </c>
    </row>
    <row r="1358" spans="1:13">
      <c r="A1358" t="s">
        <v>3766</v>
      </c>
      <c r="B1358" t="s">
        <v>1002</v>
      </c>
      <c r="C1358">
        <v>40544</v>
      </c>
      <c r="D1358">
        <v>1442872605</v>
      </c>
      <c r="E1358">
        <v>204954</v>
      </c>
      <c r="F1358">
        <v>79</v>
      </c>
      <c r="G1358">
        <v>572303765</v>
      </c>
      <c r="H1358">
        <v>6181000</v>
      </c>
      <c r="I1358">
        <v>1549975311</v>
      </c>
      <c r="J1358">
        <v>115</v>
      </c>
      <c r="K1358">
        <v>224</v>
      </c>
      <c r="L1358">
        <v>0</v>
      </c>
      <c r="M1358" t="s">
        <v>6371</v>
      </c>
    </row>
    <row r="1359" spans="1:13">
      <c r="A1359">
        <v>0.33333333333333331</v>
      </c>
      <c r="B1359" t="s">
        <v>3357</v>
      </c>
      <c r="C1359">
        <v>45063</v>
      </c>
      <c r="D1359">
        <v>135465283</v>
      </c>
      <c r="E1359">
        <v>20671</v>
      </c>
      <c r="F1359">
        <v>63</v>
      </c>
      <c r="G1359">
        <v>106663098</v>
      </c>
      <c r="H1359">
        <v>736558</v>
      </c>
      <c r="I1359">
        <v>500108092</v>
      </c>
      <c r="J1359">
        <v>20</v>
      </c>
      <c r="K1359">
        <v>5</v>
      </c>
      <c r="L1359">
        <v>1</v>
      </c>
      <c r="M1359" t="s">
        <v>6370</v>
      </c>
    </row>
    <row r="1360" spans="1:13">
      <c r="A1360" t="s">
        <v>3769</v>
      </c>
      <c r="B1360" t="s">
        <v>127</v>
      </c>
      <c r="C1360">
        <v>45037</v>
      </c>
      <c r="D1360">
        <v>180940067</v>
      </c>
      <c r="E1360">
        <v>36631</v>
      </c>
      <c r="F1360">
        <v>66</v>
      </c>
      <c r="G1360">
        <v>51093878</v>
      </c>
      <c r="H1360">
        <v>753208</v>
      </c>
      <c r="I1360">
        <v>47997951</v>
      </c>
      <c r="J1360">
        <v>31</v>
      </c>
      <c r="K1360">
        <v>27</v>
      </c>
      <c r="L1360">
        <v>1</v>
      </c>
      <c r="M1360" t="s">
        <v>6370</v>
      </c>
    </row>
    <row r="1361" spans="1:13">
      <c r="A1361" t="s">
        <v>3770</v>
      </c>
      <c r="B1361" t="s">
        <v>3771</v>
      </c>
      <c r="C1361">
        <v>45350</v>
      </c>
      <c r="D1361">
        <v>9215777</v>
      </c>
      <c r="E1361">
        <v>2816</v>
      </c>
      <c r="F1361">
        <v>28</v>
      </c>
      <c r="G1361">
        <v>12076033</v>
      </c>
      <c r="H1361">
        <v>245565</v>
      </c>
      <c r="I1361">
        <v>40589924</v>
      </c>
      <c r="J1361">
        <v>13</v>
      </c>
      <c r="K1361">
        <v>41</v>
      </c>
      <c r="L1361">
        <v>1</v>
      </c>
      <c r="M1361" t="s">
        <v>6370</v>
      </c>
    </row>
    <row r="1362" spans="1:13">
      <c r="A1362" t="s">
        <v>3774</v>
      </c>
      <c r="B1362" t="s">
        <v>3775</v>
      </c>
      <c r="C1362">
        <v>44624</v>
      </c>
      <c r="D1362">
        <v>180186017</v>
      </c>
      <c r="E1362">
        <v>32769</v>
      </c>
      <c r="F1362">
        <v>66</v>
      </c>
      <c r="G1362">
        <v>36595510</v>
      </c>
      <c r="H1362">
        <v>280859</v>
      </c>
      <c r="I1362">
        <v>23448462</v>
      </c>
      <c r="J1362">
        <v>23</v>
      </c>
      <c r="K1362">
        <v>111</v>
      </c>
      <c r="L1362">
        <v>0</v>
      </c>
      <c r="M1362" t="s">
        <v>6370</v>
      </c>
    </row>
    <row r="1363" spans="1:13">
      <c r="A1363" t="s">
        <v>3780</v>
      </c>
      <c r="B1363" t="s">
        <v>141</v>
      </c>
      <c r="C1363">
        <v>43875</v>
      </c>
      <c r="D1363">
        <v>671572185</v>
      </c>
      <c r="E1363">
        <v>88857</v>
      </c>
      <c r="F1363">
        <v>62</v>
      </c>
      <c r="G1363">
        <v>417964046</v>
      </c>
      <c r="H1363">
        <v>2807917</v>
      </c>
      <c r="I1363">
        <v>26125487</v>
      </c>
      <c r="J1363">
        <v>70</v>
      </c>
      <c r="K1363">
        <v>66</v>
      </c>
      <c r="L1363">
        <v>1</v>
      </c>
      <c r="M1363" t="s">
        <v>6371</v>
      </c>
    </row>
    <row r="1364" spans="1:13">
      <c r="A1364" t="s">
        <v>3781</v>
      </c>
      <c r="B1364" t="s">
        <v>81</v>
      </c>
      <c r="C1364">
        <v>41640</v>
      </c>
      <c r="D1364">
        <v>899830382</v>
      </c>
      <c r="E1364">
        <v>96199</v>
      </c>
      <c r="F1364">
        <v>70</v>
      </c>
      <c r="G1364">
        <v>1288704058</v>
      </c>
      <c r="H1364">
        <v>6983846</v>
      </c>
      <c r="I1364">
        <v>371404445</v>
      </c>
      <c r="J1364">
        <v>123</v>
      </c>
      <c r="K1364">
        <v>204</v>
      </c>
      <c r="L1364">
        <v>0</v>
      </c>
      <c r="M1364" t="s">
        <v>6371</v>
      </c>
    </row>
    <row r="1365" spans="1:13">
      <c r="A1365" t="s">
        <v>3783</v>
      </c>
      <c r="B1365" t="s">
        <v>157</v>
      </c>
      <c r="C1365">
        <v>44162</v>
      </c>
      <c r="D1365">
        <v>286381494</v>
      </c>
      <c r="E1365">
        <v>54422</v>
      </c>
      <c r="F1365">
        <v>61</v>
      </c>
      <c r="G1365">
        <v>445932496</v>
      </c>
      <c r="H1365">
        <v>5316366</v>
      </c>
      <c r="I1365">
        <v>1257208158</v>
      </c>
      <c r="J1365">
        <v>37</v>
      </c>
      <c r="K1365">
        <v>52</v>
      </c>
      <c r="L1365">
        <v>0</v>
      </c>
      <c r="M1365" t="s">
        <v>6371</v>
      </c>
    </row>
    <row r="1366" spans="1:13">
      <c r="A1366" t="s">
        <v>3785</v>
      </c>
      <c r="B1366" t="s">
        <v>1011</v>
      </c>
      <c r="C1366">
        <v>44442</v>
      </c>
      <c r="D1366">
        <v>442260324</v>
      </c>
      <c r="E1366">
        <v>67318</v>
      </c>
      <c r="F1366">
        <v>65</v>
      </c>
      <c r="G1366">
        <v>83588626</v>
      </c>
      <c r="H1366">
        <v>799248</v>
      </c>
      <c r="I1366">
        <v>310298540</v>
      </c>
      <c r="J1366">
        <v>65</v>
      </c>
      <c r="K1366">
        <v>160</v>
      </c>
      <c r="L1366">
        <v>0</v>
      </c>
      <c r="M1366" t="s">
        <v>6370</v>
      </c>
    </row>
    <row r="1367" spans="1:13">
      <c r="A1367" t="s">
        <v>3786</v>
      </c>
      <c r="B1367" t="s">
        <v>32</v>
      </c>
      <c r="C1367">
        <v>44484</v>
      </c>
      <c r="D1367">
        <v>382177076</v>
      </c>
      <c r="E1367">
        <v>65369</v>
      </c>
      <c r="F1367">
        <v>66</v>
      </c>
      <c r="G1367">
        <v>78537068</v>
      </c>
      <c r="H1367">
        <v>806081</v>
      </c>
      <c r="I1367">
        <v>629205287</v>
      </c>
      <c r="J1367">
        <v>46</v>
      </c>
      <c r="K1367">
        <v>115</v>
      </c>
      <c r="L1367">
        <v>0</v>
      </c>
      <c r="M1367" t="s">
        <v>6370</v>
      </c>
    </row>
    <row r="1368" spans="1:13">
      <c r="A1368" t="s">
        <v>3789</v>
      </c>
      <c r="B1368" t="s">
        <v>1235</v>
      </c>
      <c r="C1368">
        <v>43623</v>
      </c>
      <c r="D1368">
        <v>508463163</v>
      </c>
      <c r="E1368">
        <v>58919</v>
      </c>
      <c r="F1368">
        <v>65</v>
      </c>
      <c r="G1368">
        <v>136979542</v>
      </c>
      <c r="H1368">
        <v>1457926</v>
      </c>
      <c r="I1368">
        <v>45970559</v>
      </c>
      <c r="J1368">
        <v>66</v>
      </c>
      <c r="K1368">
        <v>362</v>
      </c>
      <c r="L1368">
        <v>0</v>
      </c>
      <c r="M1368" t="s">
        <v>6371</v>
      </c>
    </row>
    <row r="1369" spans="1:13">
      <c r="A1369" t="s">
        <v>3797</v>
      </c>
      <c r="B1369" t="s">
        <v>631</v>
      </c>
      <c r="C1369">
        <v>42902</v>
      </c>
      <c r="D1369">
        <v>1120187276</v>
      </c>
      <c r="E1369">
        <v>153725</v>
      </c>
      <c r="F1369">
        <v>70</v>
      </c>
      <c r="G1369">
        <v>80920611</v>
      </c>
      <c r="H1369">
        <v>707090</v>
      </c>
      <c r="I1369">
        <v>2745676769</v>
      </c>
      <c r="J1369">
        <v>236</v>
      </c>
      <c r="K1369">
        <v>2</v>
      </c>
      <c r="L1369">
        <v>1</v>
      </c>
      <c r="M1369" t="s">
        <v>6371</v>
      </c>
    </row>
    <row r="1370" spans="1:13">
      <c r="A1370" t="s">
        <v>3804</v>
      </c>
      <c r="B1370" t="s">
        <v>1109</v>
      </c>
      <c r="C1370">
        <v>38616</v>
      </c>
      <c r="D1370">
        <v>2102223775</v>
      </c>
      <c r="E1370">
        <v>335772</v>
      </c>
      <c r="F1370">
        <v>80</v>
      </c>
      <c r="G1370">
        <v>1412127488</v>
      </c>
      <c r="H1370">
        <v>8707376</v>
      </c>
      <c r="I1370">
        <v>2264301241</v>
      </c>
      <c r="J1370">
        <v>93</v>
      </c>
      <c r="K1370">
        <v>208</v>
      </c>
      <c r="L1370">
        <v>0</v>
      </c>
      <c r="M1370" t="s">
        <v>6372</v>
      </c>
    </row>
    <row r="1371" spans="1:13">
      <c r="A1371" t="s">
        <v>3806</v>
      </c>
      <c r="B1371" t="s">
        <v>3807</v>
      </c>
      <c r="C1371">
        <v>43552</v>
      </c>
      <c r="D1371">
        <v>550967367</v>
      </c>
      <c r="E1371">
        <v>65928</v>
      </c>
      <c r="F1371">
        <v>64</v>
      </c>
      <c r="G1371">
        <v>728468384</v>
      </c>
      <c r="H1371">
        <v>3473098</v>
      </c>
      <c r="I1371">
        <v>20847094</v>
      </c>
      <c r="J1371">
        <v>35</v>
      </c>
      <c r="K1371">
        <v>17</v>
      </c>
      <c r="L1371">
        <v>0</v>
      </c>
      <c r="M1371" t="s">
        <v>6371</v>
      </c>
    </row>
    <row r="1372" spans="1:13">
      <c r="A1372" t="s">
        <v>3808</v>
      </c>
      <c r="B1372" t="s">
        <v>3809</v>
      </c>
      <c r="C1372">
        <v>42602</v>
      </c>
      <c r="D1372">
        <v>1299650856</v>
      </c>
      <c r="E1372">
        <v>228950</v>
      </c>
      <c r="F1372">
        <v>83</v>
      </c>
      <c r="G1372">
        <v>158016588</v>
      </c>
      <c r="H1372">
        <v>1286636</v>
      </c>
      <c r="I1372">
        <v>442090971</v>
      </c>
      <c r="J1372">
        <v>163</v>
      </c>
      <c r="K1372">
        <v>221</v>
      </c>
      <c r="L1372">
        <v>0</v>
      </c>
      <c r="M1372" t="s">
        <v>6371</v>
      </c>
    </row>
    <row r="1373" spans="1:13">
      <c r="A1373" t="s">
        <v>3810</v>
      </c>
      <c r="B1373" t="s">
        <v>260</v>
      </c>
      <c r="C1373">
        <v>44989</v>
      </c>
      <c r="D1373">
        <v>79738242</v>
      </c>
      <c r="E1373">
        <v>12390</v>
      </c>
      <c r="F1373">
        <v>57</v>
      </c>
      <c r="G1373">
        <v>51124809</v>
      </c>
      <c r="H1373">
        <v>845191</v>
      </c>
      <c r="I1373">
        <v>2678819017</v>
      </c>
      <c r="J1373">
        <v>15</v>
      </c>
      <c r="K1373">
        <v>1088</v>
      </c>
      <c r="L1373">
        <v>1</v>
      </c>
      <c r="M1373" t="s">
        <v>6370</v>
      </c>
    </row>
    <row r="1374" spans="1:13">
      <c r="A1374" t="s">
        <v>3813</v>
      </c>
      <c r="B1374" t="s">
        <v>3814</v>
      </c>
      <c r="C1374">
        <v>42237</v>
      </c>
      <c r="D1374">
        <v>1099069598</v>
      </c>
      <c r="E1374">
        <v>261122</v>
      </c>
      <c r="F1374">
        <v>73</v>
      </c>
      <c r="G1374">
        <v>127534602</v>
      </c>
      <c r="H1374">
        <v>1660824</v>
      </c>
      <c r="I1374">
        <v>2588157478</v>
      </c>
      <c r="J1374">
        <v>88</v>
      </c>
      <c r="K1374">
        <v>9</v>
      </c>
      <c r="L1374">
        <v>0</v>
      </c>
      <c r="M1374" t="s">
        <v>6371</v>
      </c>
    </row>
    <row r="1375" spans="1:13">
      <c r="A1375" t="s">
        <v>3819</v>
      </c>
      <c r="B1375" t="s">
        <v>3820</v>
      </c>
      <c r="C1375">
        <v>42370</v>
      </c>
      <c r="D1375">
        <v>843861768</v>
      </c>
      <c r="E1375">
        <v>155472</v>
      </c>
      <c r="F1375">
        <v>70</v>
      </c>
      <c r="G1375">
        <v>278120145</v>
      </c>
      <c r="H1375">
        <v>2625552</v>
      </c>
      <c r="I1375">
        <v>16756000</v>
      </c>
      <c r="J1375">
        <v>30</v>
      </c>
      <c r="K1375">
        <v>49</v>
      </c>
      <c r="L1375">
        <v>1</v>
      </c>
      <c r="M1375" t="s">
        <v>6371</v>
      </c>
    </row>
    <row r="1376" spans="1:13">
      <c r="A1376" t="s">
        <v>3821</v>
      </c>
      <c r="B1376" t="s">
        <v>631</v>
      </c>
      <c r="C1376">
        <v>42629</v>
      </c>
      <c r="D1376">
        <v>1014534913</v>
      </c>
      <c r="E1376">
        <v>132592</v>
      </c>
      <c r="F1376">
        <v>73</v>
      </c>
      <c r="G1376">
        <v>615907345</v>
      </c>
      <c r="H1376">
        <v>3461084</v>
      </c>
      <c r="I1376">
        <v>56011096</v>
      </c>
      <c r="J1376">
        <v>146</v>
      </c>
      <c r="K1376">
        <v>10</v>
      </c>
      <c r="L1376">
        <v>0</v>
      </c>
      <c r="M1376" t="s">
        <v>6371</v>
      </c>
    </row>
    <row r="1377" spans="1:13">
      <c r="A1377" t="s">
        <v>3826</v>
      </c>
      <c r="B1377" t="s">
        <v>28</v>
      </c>
      <c r="C1377">
        <v>37402</v>
      </c>
      <c r="D1377">
        <v>1958809069</v>
      </c>
      <c r="E1377">
        <v>282888</v>
      </c>
      <c r="F1377">
        <v>79</v>
      </c>
      <c r="G1377">
        <v>1463549979</v>
      </c>
      <c r="H1377">
        <v>10918289</v>
      </c>
      <c r="I1377">
        <v>54356279</v>
      </c>
      <c r="J1377">
        <v>83</v>
      </c>
      <c r="K1377">
        <v>25</v>
      </c>
      <c r="L1377">
        <v>1</v>
      </c>
      <c r="M1377" t="s">
        <v>6372</v>
      </c>
    </row>
    <row r="1378" spans="1:13">
      <c r="A1378" t="s">
        <v>3827</v>
      </c>
      <c r="B1378" t="s">
        <v>3828</v>
      </c>
      <c r="C1378">
        <v>40427</v>
      </c>
      <c r="D1378">
        <v>662257934</v>
      </c>
      <c r="E1378">
        <v>113043</v>
      </c>
      <c r="F1378">
        <v>71</v>
      </c>
      <c r="G1378">
        <v>464462597</v>
      </c>
      <c r="H1378">
        <v>3215886</v>
      </c>
      <c r="I1378">
        <v>1511650572</v>
      </c>
      <c r="J1378">
        <v>58</v>
      </c>
      <c r="K1378">
        <v>20</v>
      </c>
      <c r="L1378">
        <v>1</v>
      </c>
      <c r="M1378" t="s">
        <v>6371</v>
      </c>
    </row>
    <row r="1379" spans="1:13">
      <c r="A1379" t="s">
        <v>3831</v>
      </c>
      <c r="B1379" t="s">
        <v>1368</v>
      </c>
      <c r="C1379">
        <v>43630</v>
      </c>
      <c r="D1379">
        <v>346860422</v>
      </c>
      <c r="E1379">
        <v>29735</v>
      </c>
      <c r="F1379">
        <v>65</v>
      </c>
      <c r="G1379">
        <v>888138257</v>
      </c>
      <c r="H1379">
        <v>2432863</v>
      </c>
      <c r="I1379">
        <v>73588039</v>
      </c>
      <c r="J1379">
        <v>32</v>
      </c>
      <c r="K1379">
        <v>47</v>
      </c>
      <c r="L1379">
        <v>0</v>
      </c>
      <c r="M1379" t="s">
        <v>6371</v>
      </c>
    </row>
    <row r="1380" spans="1:13">
      <c r="A1380" t="s">
        <v>3833</v>
      </c>
      <c r="B1380" t="s">
        <v>637</v>
      </c>
      <c r="C1380">
        <v>45047</v>
      </c>
      <c r="D1380">
        <v>223652808</v>
      </c>
      <c r="E1380">
        <v>18262</v>
      </c>
      <c r="F1380">
        <v>70</v>
      </c>
      <c r="G1380">
        <v>129099788</v>
      </c>
      <c r="H1380">
        <v>2078161</v>
      </c>
      <c r="I1380">
        <v>705088821</v>
      </c>
      <c r="J1380">
        <v>29</v>
      </c>
      <c r="K1380">
        <v>32</v>
      </c>
      <c r="L1380">
        <v>0</v>
      </c>
      <c r="M1380" t="s">
        <v>6370</v>
      </c>
    </row>
    <row r="1381" spans="1:13">
      <c r="A1381" t="s">
        <v>3840</v>
      </c>
      <c r="B1381" t="s">
        <v>332</v>
      </c>
      <c r="C1381">
        <v>43812</v>
      </c>
      <c r="D1381">
        <v>396184710</v>
      </c>
      <c r="E1381">
        <v>62515</v>
      </c>
      <c r="F1381">
        <v>65</v>
      </c>
      <c r="G1381">
        <v>656159660</v>
      </c>
      <c r="H1381">
        <v>2808401</v>
      </c>
      <c r="I1381">
        <v>1796651</v>
      </c>
      <c r="J1381">
        <v>43</v>
      </c>
      <c r="K1381">
        <v>9</v>
      </c>
      <c r="L1381">
        <v>0</v>
      </c>
      <c r="M1381" t="s">
        <v>6371</v>
      </c>
    </row>
    <row r="1382" spans="1:13">
      <c r="A1382" t="s">
        <v>3841</v>
      </c>
      <c r="B1382" t="s">
        <v>99</v>
      </c>
      <c r="C1382">
        <v>44568</v>
      </c>
      <c r="D1382">
        <v>307122295</v>
      </c>
      <c r="E1382">
        <v>91786</v>
      </c>
      <c r="F1382">
        <v>69</v>
      </c>
      <c r="G1382">
        <v>31666337</v>
      </c>
      <c r="H1382">
        <v>395808</v>
      </c>
      <c r="I1382">
        <v>327835388</v>
      </c>
      <c r="J1382">
        <v>19</v>
      </c>
      <c r="K1382">
        <v>154</v>
      </c>
      <c r="L1382">
        <v>1</v>
      </c>
      <c r="M1382" t="s">
        <v>6370</v>
      </c>
    </row>
    <row r="1383" spans="1:13">
      <c r="A1383" t="s">
        <v>3842</v>
      </c>
      <c r="B1383" t="s">
        <v>61</v>
      </c>
      <c r="C1383">
        <v>45114</v>
      </c>
      <c r="D1383">
        <v>247056218</v>
      </c>
      <c r="E1383">
        <v>19231</v>
      </c>
      <c r="F1383">
        <v>69</v>
      </c>
      <c r="G1383">
        <v>41065721</v>
      </c>
      <c r="H1383">
        <v>1260603</v>
      </c>
      <c r="I1383">
        <v>386594049</v>
      </c>
      <c r="J1383">
        <v>30</v>
      </c>
      <c r="K1383">
        <v>3</v>
      </c>
      <c r="L1383">
        <v>0</v>
      </c>
      <c r="M1383" t="s">
        <v>6370</v>
      </c>
    </row>
    <row r="1384" spans="1:13">
      <c r="A1384" t="s">
        <v>3848</v>
      </c>
      <c r="B1384" t="s">
        <v>3849</v>
      </c>
      <c r="C1384">
        <v>41975</v>
      </c>
      <c r="D1384">
        <v>897794289</v>
      </c>
      <c r="E1384">
        <v>92326</v>
      </c>
      <c r="F1384">
        <v>69</v>
      </c>
      <c r="G1384">
        <v>101998780</v>
      </c>
      <c r="H1384">
        <v>1084274</v>
      </c>
      <c r="I1384">
        <v>1021462418</v>
      </c>
      <c r="J1384">
        <v>2</v>
      </c>
      <c r="K1384">
        <v>507</v>
      </c>
      <c r="L1384">
        <v>0</v>
      </c>
      <c r="M1384" t="s">
        <v>6371</v>
      </c>
    </row>
    <row r="1385" spans="1:13">
      <c r="A1385" t="s">
        <v>3850</v>
      </c>
      <c r="B1385" t="s">
        <v>123</v>
      </c>
      <c r="C1385">
        <v>43657</v>
      </c>
      <c r="D1385">
        <v>765374782</v>
      </c>
      <c r="E1385">
        <v>69032</v>
      </c>
      <c r="F1385">
        <v>67</v>
      </c>
      <c r="G1385">
        <v>419150011</v>
      </c>
      <c r="H1385">
        <v>3838603</v>
      </c>
      <c r="I1385">
        <v>43199667</v>
      </c>
      <c r="J1385">
        <v>109</v>
      </c>
      <c r="K1385">
        <v>43</v>
      </c>
      <c r="L1385">
        <v>0</v>
      </c>
      <c r="M1385" t="s">
        <v>6371</v>
      </c>
    </row>
    <row r="1386" spans="1:13">
      <c r="A1386" t="s">
        <v>3851</v>
      </c>
      <c r="B1386" t="s">
        <v>3325</v>
      </c>
      <c r="C1386">
        <v>43294</v>
      </c>
      <c r="D1386">
        <v>523954769</v>
      </c>
      <c r="E1386">
        <v>213614</v>
      </c>
      <c r="F1386">
        <v>67</v>
      </c>
      <c r="G1386">
        <v>96992359</v>
      </c>
      <c r="H1386">
        <v>915175</v>
      </c>
      <c r="I1386">
        <v>313069043</v>
      </c>
      <c r="J1386">
        <v>102</v>
      </c>
      <c r="K1386">
        <v>100</v>
      </c>
      <c r="L1386">
        <v>0</v>
      </c>
      <c r="M1386" t="s">
        <v>6371</v>
      </c>
    </row>
    <row r="1387" spans="1:13">
      <c r="A1387" t="s">
        <v>3852</v>
      </c>
      <c r="B1387" t="s">
        <v>932</v>
      </c>
      <c r="C1387">
        <v>45051</v>
      </c>
      <c r="D1387">
        <v>165642949</v>
      </c>
      <c r="E1387">
        <v>39238</v>
      </c>
      <c r="F1387">
        <v>62</v>
      </c>
      <c r="G1387">
        <v>13111498</v>
      </c>
      <c r="H1387">
        <v>338766</v>
      </c>
      <c r="I1387">
        <v>709390008</v>
      </c>
      <c r="J1387">
        <v>3</v>
      </c>
      <c r="K1387">
        <v>555</v>
      </c>
      <c r="L1387">
        <v>1</v>
      </c>
      <c r="M1387" t="s">
        <v>6370</v>
      </c>
    </row>
    <row r="1388" spans="1:13">
      <c r="A1388" t="s">
        <v>3853</v>
      </c>
      <c r="B1388" t="s">
        <v>1440</v>
      </c>
      <c r="C1388">
        <v>43455</v>
      </c>
      <c r="D1388">
        <v>815243082</v>
      </c>
      <c r="E1388">
        <v>140617</v>
      </c>
      <c r="F1388">
        <v>66</v>
      </c>
      <c r="G1388">
        <v>258514568</v>
      </c>
      <c r="H1388">
        <v>1970363</v>
      </c>
      <c r="I1388">
        <v>649866119</v>
      </c>
      <c r="J1388">
        <v>43</v>
      </c>
      <c r="K1388">
        <v>47</v>
      </c>
      <c r="L1388">
        <v>1</v>
      </c>
      <c r="M1388" t="s">
        <v>6371</v>
      </c>
    </row>
    <row r="1389" spans="1:13">
      <c r="A1389" t="s">
        <v>3857</v>
      </c>
      <c r="B1389" t="s">
        <v>723</v>
      </c>
      <c r="C1389">
        <v>41275</v>
      </c>
      <c r="D1389">
        <v>1007623089</v>
      </c>
      <c r="E1389">
        <v>168666</v>
      </c>
      <c r="F1389">
        <v>72</v>
      </c>
      <c r="G1389">
        <v>936816983</v>
      </c>
      <c r="H1389">
        <v>7135806</v>
      </c>
      <c r="I1389">
        <v>160676196</v>
      </c>
      <c r="J1389">
        <v>57</v>
      </c>
      <c r="K1389">
        <v>28</v>
      </c>
      <c r="L1389">
        <v>0</v>
      </c>
      <c r="M1389" t="s">
        <v>6371</v>
      </c>
    </row>
    <row r="1390" spans="1:13">
      <c r="A1390" t="s">
        <v>3858</v>
      </c>
      <c r="B1390" t="s">
        <v>1368</v>
      </c>
      <c r="C1390">
        <v>44511</v>
      </c>
      <c r="D1390">
        <v>238849559</v>
      </c>
      <c r="E1390">
        <v>26517</v>
      </c>
      <c r="F1390">
        <v>64</v>
      </c>
      <c r="G1390">
        <v>401770615</v>
      </c>
      <c r="H1390">
        <v>1536208</v>
      </c>
      <c r="I1390">
        <v>16815994</v>
      </c>
      <c r="J1390">
        <v>12</v>
      </c>
      <c r="K1390">
        <v>211</v>
      </c>
      <c r="L1390">
        <v>0</v>
      </c>
      <c r="M1390" t="s">
        <v>6370</v>
      </c>
    </row>
    <row r="1391" spans="1:13">
      <c r="A1391" t="s">
        <v>3859</v>
      </c>
      <c r="B1391" t="s">
        <v>252</v>
      </c>
      <c r="C1391">
        <v>44722</v>
      </c>
      <c r="D1391">
        <v>344744597</v>
      </c>
      <c r="E1391">
        <v>16095</v>
      </c>
      <c r="F1391">
        <v>64</v>
      </c>
      <c r="G1391">
        <v>264915434</v>
      </c>
      <c r="H1391">
        <v>15060408</v>
      </c>
      <c r="I1391">
        <v>973086190</v>
      </c>
      <c r="J1391">
        <v>28</v>
      </c>
      <c r="K1391">
        <v>77</v>
      </c>
      <c r="L1391">
        <v>0</v>
      </c>
      <c r="M1391" t="s">
        <v>6370</v>
      </c>
    </row>
    <row r="1392" spans="1:13">
      <c r="A1392" t="s">
        <v>3860</v>
      </c>
      <c r="B1392" t="s">
        <v>3734</v>
      </c>
      <c r="C1392">
        <v>44559</v>
      </c>
      <c r="D1392">
        <v>279996207</v>
      </c>
      <c r="E1392">
        <v>36648</v>
      </c>
      <c r="F1392">
        <v>64</v>
      </c>
      <c r="G1392">
        <v>42705657</v>
      </c>
      <c r="H1392">
        <v>691402</v>
      </c>
      <c r="I1392">
        <v>19367991</v>
      </c>
      <c r="J1392">
        <v>71</v>
      </c>
      <c r="K1392">
        <v>901</v>
      </c>
      <c r="L1392">
        <v>0</v>
      </c>
      <c r="M1392" t="s">
        <v>6370</v>
      </c>
    </row>
    <row r="1393" spans="1:13">
      <c r="A1393" t="s">
        <v>3861</v>
      </c>
      <c r="B1393" t="s">
        <v>2258</v>
      </c>
      <c r="C1393">
        <v>44729</v>
      </c>
      <c r="D1393">
        <v>56670689</v>
      </c>
      <c r="E1393">
        <v>18344</v>
      </c>
      <c r="F1393">
        <v>16</v>
      </c>
      <c r="G1393">
        <v>126849797</v>
      </c>
      <c r="H1393">
        <v>654337</v>
      </c>
      <c r="I1393">
        <v>344920965</v>
      </c>
      <c r="J1393">
        <v>31</v>
      </c>
      <c r="K1393">
        <v>1</v>
      </c>
      <c r="L1393">
        <v>1</v>
      </c>
      <c r="M1393" t="s">
        <v>6370</v>
      </c>
    </row>
    <row r="1394" spans="1:13">
      <c r="A1394" t="s">
        <v>3863</v>
      </c>
      <c r="B1394" t="s">
        <v>2291</v>
      </c>
      <c r="C1394">
        <v>45023</v>
      </c>
      <c r="D1394">
        <v>281707091</v>
      </c>
      <c r="E1394">
        <v>40049</v>
      </c>
      <c r="F1394">
        <v>74</v>
      </c>
      <c r="G1394">
        <v>23447030</v>
      </c>
      <c r="H1394">
        <v>216253</v>
      </c>
      <c r="I1394">
        <v>236748049</v>
      </c>
      <c r="J1394">
        <v>13</v>
      </c>
      <c r="K1394">
        <v>26</v>
      </c>
      <c r="L1394">
        <v>1</v>
      </c>
      <c r="M1394" t="s">
        <v>6370</v>
      </c>
    </row>
    <row r="1395" spans="1:13">
      <c r="A1395" t="s">
        <v>3866</v>
      </c>
      <c r="B1395" t="s">
        <v>3867</v>
      </c>
      <c r="C1395">
        <v>44125</v>
      </c>
      <c r="D1395">
        <v>108241832</v>
      </c>
      <c r="E1395">
        <v>24791</v>
      </c>
      <c r="F1395">
        <v>53</v>
      </c>
      <c r="G1395">
        <v>206773555</v>
      </c>
      <c r="H1395">
        <v>1296813</v>
      </c>
      <c r="I1395">
        <v>122657966</v>
      </c>
      <c r="J1395">
        <v>82</v>
      </c>
      <c r="K1395">
        <v>378</v>
      </c>
      <c r="L1395">
        <v>0</v>
      </c>
      <c r="M1395" t="s">
        <v>6371</v>
      </c>
    </row>
    <row r="1396" spans="1:13">
      <c r="A1396" t="s">
        <v>3868</v>
      </c>
      <c r="B1396" t="s">
        <v>1534</v>
      </c>
      <c r="C1396">
        <v>44050</v>
      </c>
      <c r="D1396">
        <v>227802182</v>
      </c>
      <c r="E1396">
        <v>65190</v>
      </c>
      <c r="F1396">
        <v>61</v>
      </c>
      <c r="G1396">
        <v>69718488</v>
      </c>
      <c r="H1396">
        <v>722875</v>
      </c>
      <c r="I1396">
        <v>749906169</v>
      </c>
      <c r="J1396">
        <v>14</v>
      </c>
      <c r="K1396">
        <v>101</v>
      </c>
      <c r="L1396">
        <v>1</v>
      </c>
      <c r="M1396" t="s">
        <v>6371</v>
      </c>
    </row>
    <row r="1397" spans="1:13">
      <c r="A1397" t="s">
        <v>3869</v>
      </c>
      <c r="B1397" t="s">
        <v>51</v>
      </c>
      <c r="C1397">
        <v>42790</v>
      </c>
      <c r="D1397">
        <v>965899534</v>
      </c>
      <c r="E1397">
        <v>101445</v>
      </c>
      <c r="F1397">
        <v>73</v>
      </c>
      <c r="G1397">
        <v>834705559</v>
      </c>
      <c r="H1397">
        <v>10523313</v>
      </c>
      <c r="I1397">
        <v>287094813</v>
      </c>
      <c r="J1397">
        <v>76</v>
      </c>
      <c r="K1397">
        <v>61</v>
      </c>
      <c r="L1397">
        <v>0</v>
      </c>
      <c r="M1397" t="s">
        <v>6371</v>
      </c>
    </row>
    <row r="1398" spans="1:13">
      <c r="A1398" t="s">
        <v>3870</v>
      </c>
      <c r="B1398" t="s">
        <v>3871</v>
      </c>
      <c r="C1398">
        <v>44379</v>
      </c>
      <c r="D1398">
        <v>154010050</v>
      </c>
      <c r="E1398">
        <v>66808</v>
      </c>
      <c r="F1398">
        <v>63</v>
      </c>
      <c r="G1398">
        <v>234249323</v>
      </c>
      <c r="H1398">
        <v>1315242</v>
      </c>
      <c r="I1398">
        <v>729439284</v>
      </c>
      <c r="J1398">
        <v>38</v>
      </c>
      <c r="K1398">
        <v>129</v>
      </c>
      <c r="L1398">
        <v>0</v>
      </c>
      <c r="M1398" t="s">
        <v>6370</v>
      </c>
    </row>
    <row r="1399" spans="1:13">
      <c r="A1399" t="s">
        <v>3878</v>
      </c>
      <c r="B1399" t="s">
        <v>3879</v>
      </c>
      <c r="C1399">
        <v>44715</v>
      </c>
      <c r="D1399">
        <v>370988405</v>
      </c>
      <c r="E1399">
        <v>33800</v>
      </c>
      <c r="F1399">
        <v>68</v>
      </c>
      <c r="G1399">
        <v>69184223</v>
      </c>
      <c r="H1399">
        <v>532555</v>
      </c>
      <c r="I1399">
        <v>1614554007</v>
      </c>
      <c r="J1399">
        <v>23</v>
      </c>
      <c r="K1399">
        <v>392</v>
      </c>
      <c r="L1399">
        <v>0</v>
      </c>
      <c r="M1399" t="s">
        <v>6370</v>
      </c>
    </row>
    <row r="1400" spans="1:13">
      <c r="A1400">
        <v>512</v>
      </c>
      <c r="B1400" t="s">
        <v>1641</v>
      </c>
      <c r="C1400">
        <v>44232</v>
      </c>
      <c r="D1400">
        <v>475820416</v>
      </c>
      <c r="E1400">
        <v>85784</v>
      </c>
      <c r="F1400">
        <v>70</v>
      </c>
      <c r="G1400">
        <v>270122797</v>
      </c>
      <c r="H1400">
        <v>1714650</v>
      </c>
      <c r="I1400">
        <v>369308687</v>
      </c>
      <c r="J1400">
        <v>30</v>
      </c>
      <c r="K1400">
        <v>76</v>
      </c>
      <c r="L1400">
        <v>1</v>
      </c>
      <c r="M1400" t="s">
        <v>6370</v>
      </c>
    </row>
    <row r="1401" spans="1:13">
      <c r="A1401" t="s">
        <v>3889</v>
      </c>
      <c r="B1401" t="s">
        <v>576</v>
      </c>
      <c r="C1401">
        <v>44995</v>
      </c>
      <c r="D1401">
        <v>161172707</v>
      </c>
      <c r="E1401">
        <v>23604</v>
      </c>
      <c r="F1401">
        <v>66</v>
      </c>
      <c r="G1401">
        <v>52352229</v>
      </c>
      <c r="H1401">
        <v>353891</v>
      </c>
      <c r="I1401">
        <v>140240096</v>
      </c>
      <c r="J1401">
        <v>48</v>
      </c>
      <c r="K1401">
        <v>534</v>
      </c>
      <c r="L1401">
        <v>0</v>
      </c>
      <c r="M1401" t="s">
        <v>6370</v>
      </c>
    </row>
    <row r="1402" spans="1:13">
      <c r="A1402" t="s">
        <v>3894</v>
      </c>
      <c r="B1402" t="s">
        <v>747</v>
      </c>
      <c r="C1402">
        <v>44813</v>
      </c>
      <c r="D1402">
        <v>233573513</v>
      </c>
      <c r="E1402">
        <v>67981</v>
      </c>
      <c r="F1402">
        <v>69</v>
      </c>
      <c r="G1402">
        <v>39331190</v>
      </c>
      <c r="H1402">
        <v>479798</v>
      </c>
      <c r="I1402">
        <v>122612542</v>
      </c>
      <c r="J1402">
        <v>12</v>
      </c>
      <c r="K1402">
        <v>72</v>
      </c>
      <c r="L1402">
        <v>1</v>
      </c>
      <c r="M1402" t="s">
        <v>6370</v>
      </c>
    </row>
    <row r="1403" spans="1:13">
      <c r="A1403" t="s">
        <v>3898</v>
      </c>
      <c r="B1403" t="s">
        <v>1913</v>
      </c>
      <c r="C1403">
        <v>42736</v>
      </c>
      <c r="D1403">
        <v>1257029279</v>
      </c>
      <c r="E1403">
        <v>122763</v>
      </c>
      <c r="F1403">
        <v>67</v>
      </c>
      <c r="G1403">
        <v>77475141</v>
      </c>
      <c r="H1403">
        <v>982093</v>
      </c>
      <c r="I1403">
        <v>134170742</v>
      </c>
      <c r="J1403">
        <v>143</v>
      </c>
      <c r="K1403">
        <v>28</v>
      </c>
      <c r="L1403">
        <v>1</v>
      </c>
      <c r="M1403" t="s">
        <v>6371</v>
      </c>
    </row>
    <row r="1404" spans="1:13">
      <c r="A1404" t="s">
        <v>3900</v>
      </c>
      <c r="B1404" t="s">
        <v>391</v>
      </c>
      <c r="C1404">
        <v>44820</v>
      </c>
      <c r="D1404">
        <v>357054107</v>
      </c>
      <c r="E1404">
        <v>20864</v>
      </c>
      <c r="F1404">
        <v>66</v>
      </c>
      <c r="G1404">
        <v>199710937</v>
      </c>
      <c r="H1404">
        <v>2549362</v>
      </c>
      <c r="I1404">
        <v>790229870</v>
      </c>
      <c r="J1404">
        <v>5</v>
      </c>
      <c r="K1404">
        <v>14</v>
      </c>
      <c r="L1404">
        <v>1</v>
      </c>
      <c r="M1404" t="s">
        <v>6370</v>
      </c>
    </row>
    <row r="1405" spans="1:13">
      <c r="A1405" t="s">
        <v>3904</v>
      </c>
      <c r="B1405" t="s">
        <v>24</v>
      </c>
      <c r="C1405">
        <v>39814</v>
      </c>
      <c r="D1405">
        <v>1587114096</v>
      </c>
      <c r="E1405">
        <v>210519</v>
      </c>
      <c r="F1405">
        <v>76</v>
      </c>
      <c r="G1405">
        <v>993529828</v>
      </c>
      <c r="H1405">
        <v>4526606</v>
      </c>
      <c r="I1405">
        <v>338781002</v>
      </c>
      <c r="J1405">
        <v>185</v>
      </c>
      <c r="K1405">
        <v>578</v>
      </c>
      <c r="L1405">
        <v>0</v>
      </c>
      <c r="M1405" t="s">
        <v>6372</v>
      </c>
    </row>
    <row r="1406" spans="1:13">
      <c r="A1406" t="s">
        <v>3905</v>
      </c>
      <c r="B1406" t="s">
        <v>1326</v>
      </c>
      <c r="C1406">
        <v>41982</v>
      </c>
      <c r="D1406">
        <v>1244864869</v>
      </c>
      <c r="E1406">
        <v>247570</v>
      </c>
      <c r="F1406">
        <v>76</v>
      </c>
      <c r="G1406">
        <v>280151086</v>
      </c>
      <c r="H1406">
        <v>2326991</v>
      </c>
      <c r="I1406">
        <v>49460597</v>
      </c>
      <c r="J1406">
        <v>18</v>
      </c>
      <c r="K1406">
        <v>29</v>
      </c>
      <c r="L1406">
        <v>1</v>
      </c>
      <c r="M1406" t="s">
        <v>6371</v>
      </c>
    </row>
    <row r="1407" spans="1:13">
      <c r="A1407" t="s">
        <v>3907</v>
      </c>
      <c r="B1407" t="s">
        <v>139</v>
      </c>
      <c r="C1407">
        <v>44333</v>
      </c>
      <c r="D1407">
        <v>245384123</v>
      </c>
      <c r="E1407">
        <v>26925</v>
      </c>
      <c r="F1407">
        <v>68</v>
      </c>
      <c r="G1407">
        <v>514192282</v>
      </c>
      <c r="H1407">
        <v>6129641</v>
      </c>
      <c r="I1407">
        <v>693149332</v>
      </c>
      <c r="J1407">
        <v>41</v>
      </c>
      <c r="K1407">
        <v>43</v>
      </c>
      <c r="L1407">
        <v>0</v>
      </c>
      <c r="M1407" t="s">
        <v>6370</v>
      </c>
    </row>
    <row r="1408" spans="1:13">
      <c r="A1408" t="s">
        <v>3908</v>
      </c>
      <c r="B1408" t="s">
        <v>301</v>
      </c>
      <c r="C1408">
        <v>42580</v>
      </c>
      <c r="D1408">
        <v>806728296</v>
      </c>
      <c r="E1408">
        <v>86002</v>
      </c>
      <c r="F1408">
        <v>75</v>
      </c>
      <c r="G1408">
        <v>429423484</v>
      </c>
      <c r="H1408">
        <v>1944017</v>
      </c>
      <c r="I1408">
        <v>74890093</v>
      </c>
      <c r="J1408">
        <v>39</v>
      </c>
      <c r="K1408">
        <v>8</v>
      </c>
      <c r="L1408">
        <v>0</v>
      </c>
      <c r="M1408" t="s">
        <v>6371</v>
      </c>
    </row>
    <row r="1409" spans="1:13">
      <c r="A1409" t="s">
        <v>3916</v>
      </c>
      <c r="B1409" t="s">
        <v>602</v>
      </c>
      <c r="C1409">
        <v>43823</v>
      </c>
      <c r="D1409">
        <v>413743535</v>
      </c>
      <c r="E1409">
        <v>39980</v>
      </c>
      <c r="F1409">
        <v>73</v>
      </c>
      <c r="G1409">
        <v>420669522</v>
      </c>
      <c r="H1409">
        <v>2712590</v>
      </c>
      <c r="I1409">
        <v>152431204</v>
      </c>
      <c r="J1409">
        <v>19</v>
      </c>
      <c r="K1409">
        <v>42</v>
      </c>
      <c r="L1409">
        <v>0</v>
      </c>
      <c r="M1409" t="s">
        <v>6371</v>
      </c>
    </row>
    <row r="1410" spans="1:13">
      <c r="A1410" t="s">
        <v>3917</v>
      </c>
      <c r="B1410" t="s">
        <v>3918</v>
      </c>
      <c r="C1410">
        <v>44804</v>
      </c>
      <c r="D1410">
        <v>155399041</v>
      </c>
      <c r="E1410">
        <v>62013</v>
      </c>
      <c r="F1410">
        <v>60</v>
      </c>
      <c r="G1410">
        <v>32481842</v>
      </c>
      <c r="H1410">
        <v>684033</v>
      </c>
      <c r="I1410">
        <v>135832597</v>
      </c>
      <c r="J1410">
        <v>26</v>
      </c>
      <c r="K1410">
        <v>44</v>
      </c>
      <c r="L1410">
        <v>1</v>
      </c>
      <c r="M1410" t="s">
        <v>6370</v>
      </c>
    </row>
    <row r="1411" spans="1:13">
      <c r="A1411" t="s">
        <v>3922</v>
      </c>
      <c r="B1411" t="s">
        <v>459</v>
      </c>
      <c r="C1411">
        <v>45184</v>
      </c>
      <c r="D1411">
        <v>38622215</v>
      </c>
      <c r="E1411">
        <v>13808</v>
      </c>
      <c r="F1411">
        <v>4</v>
      </c>
      <c r="G1411">
        <v>16445144</v>
      </c>
      <c r="H1411">
        <v>247700</v>
      </c>
      <c r="I1411">
        <v>59118842</v>
      </c>
      <c r="J1411">
        <v>29</v>
      </c>
      <c r="K1411">
        <v>685</v>
      </c>
      <c r="L1411">
        <v>1</v>
      </c>
      <c r="M1411" t="s">
        <v>6370</v>
      </c>
    </row>
    <row r="1412" spans="1:13">
      <c r="A1412" t="s">
        <v>3923</v>
      </c>
      <c r="B1412" t="s">
        <v>3924</v>
      </c>
      <c r="C1412">
        <v>43140</v>
      </c>
      <c r="D1412">
        <v>982424606</v>
      </c>
      <c r="E1412">
        <v>140455</v>
      </c>
      <c r="F1412">
        <v>63</v>
      </c>
      <c r="G1412">
        <v>123104265</v>
      </c>
      <c r="H1412">
        <v>916112</v>
      </c>
      <c r="I1412">
        <v>172191863</v>
      </c>
      <c r="J1412">
        <v>24</v>
      </c>
      <c r="K1412">
        <v>421</v>
      </c>
      <c r="L1412">
        <v>1</v>
      </c>
      <c r="M1412" t="s">
        <v>6371</v>
      </c>
    </row>
    <row r="1413" spans="1:13">
      <c r="A1413" t="s">
        <v>3926</v>
      </c>
      <c r="B1413" t="s">
        <v>61</v>
      </c>
      <c r="C1413">
        <v>44855</v>
      </c>
      <c r="D1413">
        <v>658208129</v>
      </c>
      <c r="E1413">
        <v>36730</v>
      </c>
      <c r="F1413">
        <v>72</v>
      </c>
      <c r="G1413">
        <v>83795730</v>
      </c>
      <c r="H1413">
        <v>757210</v>
      </c>
      <c r="I1413">
        <v>256300464</v>
      </c>
      <c r="J1413">
        <v>26</v>
      </c>
      <c r="K1413">
        <v>9</v>
      </c>
      <c r="L1413">
        <v>0</v>
      </c>
      <c r="M1413" t="s">
        <v>6370</v>
      </c>
    </row>
    <row r="1414" spans="1:13">
      <c r="A1414" t="s">
        <v>3932</v>
      </c>
      <c r="B1414" t="s">
        <v>3933</v>
      </c>
      <c r="C1414">
        <v>45058</v>
      </c>
      <c r="D1414">
        <v>42332727</v>
      </c>
      <c r="E1414">
        <v>7018</v>
      </c>
      <c r="F1414">
        <v>65</v>
      </c>
      <c r="G1414">
        <v>23741737</v>
      </c>
      <c r="H1414">
        <v>116972</v>
      </c>
      <c r="I1414">
        <v>14014956</v>
      </c>
      <c r="J1414">
        <v>22</v>
      </c>
      <c r="K1414">
        <v>5</v>
      </c>
      <c r="L1414">
        <v>0</v>
      </c>
      <c r="M1414" t="s">
        <v>6370</v>
      </c>
    </row>
    <row r="1415" spans="1:13">
      <c r="A1415" t="s">
        <v>3936</v>
      </c>
      <c r="B1415" t="s">
        <v>3937</v>
      </c>
      <c r="C1415">
        <v>44057</v>
      </c>
      <c r="D1415">
        <v>55312275</v>
      </c>
      <c r="E1415">
        <v>16559</v>
      </c>
      <c r="F1415">
        <v>45</v>
      </c>
      <c r="G1415">
        <v>39808873</v>
      </c>
      <c r="H1415">
        <v>574179</v>
      </c>
      <c r="I1415">
        <v>2188871458</v>
      </c>
      <c r="J1415">
        <v>19</v>
      </c>
      <c r="K1415">
        <v>186</v>
      </c>
      <c r="L1415">
        <v>1</v>
      </c>
      <c r="M1415" t="s">
        <v>6371</v>
      </c>
    </row>
    <row r="1416" spans="1:13">
      <c r="A1416" t="s">
        <v>2241</v>
      </c>
      <c r="B1416" t="s">
        <v>1857</v>
      </c>
      <c r="C1416">
        <v>39448</v>
      </c>
      <c r="D1416">
        <v>1315577954</v>
      </c>
      <c r="E1416">
        <v>261770</v>
      </c>
      <c r="F1416">
        <v>79</v>
      </c>
      <c r="G1416">
        <v>366241783</v>
      </c>
      <c r="H1416">
        <v>2719377</v>
      </c>
      <c r="I1416">
        <v>250337316</v>
      </c>
      <c r="J1416">
        <v>96</v>
      </c>
      <c r="K1416">
        <v>67</v>
      </c>
      <c r="L1416">
        <v>0</v>
      </c>
      <c r="M1416" t="s">
        <v>6372</v>
      </c>
    </row>
    <row r="1417" spans="1:13">
      <c r="A1417" t="s">
        <v>3940</v>
      </c>
      <c r="B1417" t="s">
        <v>305</v>
      </c>
      <c r="C1417">
        <v>44407</v>
      </c>
      <c r="D1417">
        <v>248947222</v>
      </c>
      <c r="E1417">
        <v>70726</v>
      </c>
      <c r="F1417">
        <v>63</v>
      </c>
      <c r="G1417">
        <v>129102965</v>
      </c>
      <c r="H1417">
        <v>1676120</v>
      </c>
      <c r="I1417">
        <v>5258682</v>
      </c>
      <c r="J1417">
        <v>95</v>
      </c>
      <c r="K1417">
        <v>20</v>
      </c>
      <c r="L1417">
        <v>0</v>
      </c>
      <c r="M1417" t="s">
        <v>6370</v>
      </c>
    </row>
    <row r="1418" spans="1:13">
      <c r="A1418" t="s">
        <v>3941</v>
      </c>
      <c r="B1418" t="s">
        <v>311</v>
      </c>
      <c r="C1418">
        <v>42600</v>
      </c>
      <c r="D1418">
        <v>1351515181</v>
      </c>
      <c r="E1418">
        <v>114379</v>
      </c>
      <c r="F1418">
        <v>74</v>
      </c>
      <c r="G1418">
        <v>602907962</v>
      </c>
      <c r="H1418">
        <v>5996722</v>
      </c>
      <c r="I1418">
        <v>169125285</v>
      </c>
      <c r="J1418">
        <v>14</v>
      </c>
      <c r="K1418">
        <v>245</v>
      </c>
      <c r="L1418">
        <v>0</v>
      </c>
      <c r="M1418" t="s">
        <v>6371</v>
      </c>
    </row>
    <row r="1419" spans="1:13">
      <c r="A1419" t="s">
        <v>3942</v>
      </c>
      <c r="B1419" t="s">
        <v>509</v>
      </c>
      <c r="C1419">
        <v>43205</v>
      </c>
      <c r="D1419">
        <v>47325533</v>
      </c>
      <c r="E1419">
        <v>11423</v>
      </c>
      <c r="F1419">
        <v>54</v>
      </c>
      <c r="G1419">
        <v>585319992</v>
      </c>
      <c r="H1419">
        <v>2136542</v>
      </c>
      <c r="I1419">
        <v>6695334604</v>
      </c>
      <c r="J1419">
        <v>3</v>
      </c>
      <c r="K1419">
        <v>13</v>
      </c>
      <c r="L1419">
        <v>0</v>
      </c>
      <c r="M1419" t="s">
        <v>6371</v>
      </c>
    </row>
    <row r="1420" spans="1:13">
      <c r="A1420" t="s">
        <v>3946</v>
      </c>
      <c r="B1420" t="s">
        <v>1949</v>
      </c>
      <c r="C1420">
        <v>43637</v>
      </c>
      <c r="D1420">
        <v>612159812</v>
      </c>
      <c r="E1420">
        <v>128472</v>
      </c>
      <c r="F1420">
        <v>72</v>
      </c>
      <c r="G1420">
        <v>218832200</v>
      </c>
      <c r="H1420">
        <v>3089060</v>
      </c>
      <c r="I1420">
        <v>3490816416</v>
      </c>
      <c r="J1420">
        <v>32</v>
      </c>
      <c r="K1420">
        <v>301</v>
      </c>
      <c r="L1420">
        <v>1</v>
      </c>
      <c r="M1420" t="s">
        <v>6371</v>
      </c>
    </row>
    <row r="1421" spans="1:13">
      <c r="A1421" t="s">
        <v>3947</v>
      </c>
      <c r="B1421" t="s">
        <v>2331</v>
      </c>
      <c r="C1421">
        <v>45163</v>
      </c>
      <c r="D1421">
        <v>63748913</v>
      </c>
      <c r="E1421">
        <v>11841</v>
      </c>
      <c r="F1421">
        <v>60</v>
      </c>
      <c r="G1421">
        <v>109386782</v>
      </c>
      <c r="H1421">
        <v>532629</v>
      </c>
      <c r="I1421">
        <v>4695060</v>
      </c>
      <c r="J1421">
        <v>4</v>
      </c>
      <c r="K1421">
        <v>113</v>
      </c>
      <c r="L1421">
        <v>1</v>
      </c>
      <c r="M1421" t="s">
        <v>6370</v>
      </c>
    </row>
    <row r="1422" spans="1:13">
      <c r="A1422" t="s">
        <v>3954</v>
      </c>
      <c r="B1422" t="s">
        <v>301</v>
      </c>
      <c r="C1422">
        <v>43938</v>
      </c>
      <c r="D1422">
        <v>503296417</v>
      </c>
      <c r="E1422">
        <v>55067</v>
      </c>
      <c r="F1422">
        <v>74</v>
      </c>
      <c r="G1422">
        <v>198319407</v>
      </c>
      <c r="H1422">
        <v>665110</v>
      </c>
      <c r="I1422">
        <v>124574139</v>
      </c>
      <c r="J1422">
        <v>27</v>
      </c>
      <c r="K1422">
        <v>31</v>
      </c>
      <c r="L1422">
        <v>0</v>
      </c>
      <c r="M1422" t="s">
        <v>6371</v>
      </c>
    </row>
    <row r="1423" spans="1:13">
      <c r="A1423" t="s">
        <v>3955</v>
      </c>
      <c r="B1423" t="s">
        <v>1326</v>
      </c>
      <c r="C1423">
        <v>40728</v>
      </c>
      <c r="D1423">
        <v>955547971</v>
      </c>
      <c r="E1423">
        <v>199078</v>
      </c>
      <c r="F1423">
        <v>76</v>
      </c>
      <c r="G1423">
        <v>310902280</v>
      </c>
      <c r="H1423">
        <v>2357811</v>
      </c>
      <c r="I1423">
        <v>130023976</v>
      </c>
      <c r="J1423">
        <v>42</v>
      </c>
      <c r="K1423">
        <v>92</v>
      </c>
      <c r="L1423">
        <v>1</v>
      </c>
      <c r="M1423" t="s">
        <v>6371</v>
      </c>
    </row>
    <row r="1424" spans="1:13">
      <c r="A1424" t="s">
        <v>3958</v>
      </c>
      <c r="B1424" t="s">
        <v>3959</v>
      </c>
      <c r="C1424">
        <v>44694</v>
      </c>
      <c r="D1424">
        <v>250626750</v>
      </c>
      <c r="E1424">
        <v>28158</v>
      </c>
      <c r="F1424">
        <v>66</v>
      </c>
      <c r="G1424">
        <v>42387613</v>
      </c>
      <c r="H1424">
        <v>401947</v>
      </c>
      <c r="I1424">
        <v>1888735985</v>
      </c>
      <c r="J1424">
        <v>17</v>
      </c>
      <c r="K1424">
        <v>7</v>
      </c>
      <c r="L1424">
        <v>0</v>
      </c>
      <c r="M1424" t="s">
        <v>6370</v>
      </c>
    </row>
    <row r="1425" spans="1:13">
      <c r="A1425" t="s">
        <v>3961</v>
      </c>
      <c r="B1425" t="s">
        <v>3962</v>
      </c>
      <c r="C1425">
        <v>42951</v>
      </c>
      <c r="D1425">
        <v>733772721</v>
      </c>
      <c r="E1425">
        <v>146447</v>
      </c>
      <c r="F1425">
        <v>65</v>
      </c>
      <c r="G1425">
        <v>251008598</v>
      </c>
      <c r="H1425">
        <v>3281866</v>
      </c>
      <c r="I1425">
        <v>707393379</v>
      </c>
      <c r="J1425">
        <v>104</v>
      </c>
      <c r="K1425">
        <v>28</v>
      </c>
      <c r="L1425">
        <v>1</v>
      </c>
      <c r="M1425" t="s">
        <v>6371</v>
      </c>
    </row>
    <row r="1426" spans="1:13">
      <c r="A1426" t="s">
        <v>3963</v>
      </c>
      <c r="B1426" t="s">
        <v>1480</v>
      </c>
      <c r="C1426">
        <v>43662</v>
      </c>
      <c r="D1426">
        <v>676690653</v>
      </c>
      <c r="E1426">
        <v>183862</v>
      </c>
      <c r="F1426">
        <v>73</v>
      </c>
      <c r="G1426">
        <v>69181584</v>
      </c>
      <c r="H1426">
        <v>992247</v>
      </c>
      <c r="I1426">
        <v>203414980</v>
      </c>
      <c r="J1426">
        <v>34</v>
      </c>
      <c r="K1426">
        <v>3</v>
      </c>
      <c r="L1426">
        <v>1</v>
      </c>
      <c r="M1426" t="s">
        <v>6371</v>
      </c>
    </row>
    <row r="1427" spans="1:13">
      <c r="A1427" t="s">
        <v>3964</v>
      </c>
      <c r="B1427" t="s">
        <v>3965</v>
      </c>
      <c r="C1427">
        <v>44275</v>
      </c>
      <c r="D1427">
        <v>21634137</v>
      </c>
      <c r="E1427">
        <v>6881</v>
      </c>
      <c r="F1427">
        <v>40</v>
      </c>
      <c r="G1427">
        <v>1198045</v>
      </c>
      <c r="H1427">
        <v>19492</v>
      </c>
      <c r="I1427">
        <v>1553141547</v>
      </c>
      <c r="J1427">
        <v>10</v>
      </c>
      <c r="K1427">
        <v>11</v>
      </c>
      <c r="L1427">
        <v>1</v>
      </c>
      <c r="M1427" t="s">
        <v>6370</v>
      </c>
    </row>
    <row r="1428" spans="1:13">
      <c r="A1428" t="s">
        <v>3966</v>
      </c>
      <c r="B1428" t="s">
        <v>288</v>
      </c>
      <c r="C1428">
        <v>43945</v>
      </c>
      <c r="D1428">
        <v>553627198</v>
      </c>
      <c r="E1428">
        <v>108088</v>
      </c>
      <c r="F1428">
        <v>64</v>
      </c>
      <c r="G1428">
        <v>293505196</v>
      </c>
      <c r="H1428">
        <v>3213599</v>
      </c>
      <c r="I1428">
        <v>43552260</v>
      </c>
      <c r="J1428">
        <v>32</v>
      </c>
      <c r="K1428">
        <v>31</v>
      </c>
      <c r="L1428">
        <v>1</v>
      </c>
      <c r="M1428" t="s">
        <v>6371</v>
      </c>
    </row>
    <row r="1429" spans="1:13">
      <c r="A1429" t="s">
        <v>863</v>
      </c>
      <c r="B1429" t="s">
        <v>619</v>
      </c>
      <c r="C1429">
        <v>42972</v>
      </c>
      <c r="D1429">
        <v>500508660</v>
      </c>
      <c r="E1429">
        <v>31360</v>
      </c>
      <c r="F1429">
        <v>68</v>
      </c>
      <c r="G1429">
        <v>978838486</v>
      </c>
      <c r="H1429">
        <v>4506721</v>
      </c>
      <c r="I1429">
        <v>136354987</v>
      </c>
      <c r="J1429">
        <v>12</v>
      </c>
      <c r="K1429">
        <v>65</v>
      </c>
      <c r="L1429">
        <v>0</v>
      </c>
      <c r="M1429" t="s">
        <v>6371</v>
      </c>
    </row>
    <row r="1430" spans="1:13">
      <c r="A1430" t="s">
        <v>3972</v>
      </c>
      <c r="B1430" t="s">
        <v>3973</v>
      </c>
      <c r="C1430">
        <v>43356</v>
      </c>
      <c r="D1430">
        <v>492873992</v>
      </c>
      <c r="E1430">
        <v>86600</v>
      </c>
      <c r="F1430">
        <v>58</v>
      </c>
      <c r="G1430">
        <v>319720084</v>
      </c>
      <c r="H1430">
        <v>2660740</v>
      </c>
      <c r="I1430">
        <v>1010801789</v>
      </c>
      <c r="J1430">
        <v>23</v>
      </c>
      <c r="K1430">
        <v>106</v>
      </c>
      <c r="L1430">
        <v>1</v>
      </c>
      <c r="M1430" t="s">
        <v>6371</v>
      </c>
    </row>
    <row r="1431" spans="1:13">
      <c r="A1431" t="s">
        <v>3981</v>
      </c>
      <c r="B1431" t="s">
        <v>3982</v>
      </c>
      <c r="C1431">
        <v>44875</v>
      </c>
      <c r="D1431">
        <v>185042019</v>
      </c>
      <c r="E1431">
        <v>41058</v>
      </c>
      <c r="F1431">
        <v>62</v>
      </c>
      <c r="G1431">
        <v>35977202</v>
      </c>
      <c r="H1431">
        <v>482490</v>
      </c>
      <c r="I1431">
        <v>68670799</v>
      </c>
      <c r="J1431">
        <v>35</v>
      </c>
      <c r="K1431">
        <v>189</v>
      </c>
      <c r="L1431">
        <v>0</v>
      </c>
      <c r="M1431" t="s">
        <v>6370</v>
      </c>
    </row>
    <row r="1432" spans="1:13">
      <c r="A1432" t="s">
        <v>3986</v>
      </c>
      <c r="B1432" t="s">
        <v>200</v>
      </c>
      <c r="C1432">
        <v>44596</v>
      </c>
      <c r="D1432">
        <v>254275891</v>
      </c>
      <c r="E1432">
        <v>27949</v>
      </c>
      <c r="F1432">
        <v>64</v>
      </c>
      <c r="G1432">
        <v>326775934</v>
      </c>
      <c r="H1432">
        <v>1525536</v>
      </c>
      <c r="I1432">
        <v>217432850</v>
      </c>
      <c r="J1432">
        <v>10</v>
      </c>
      <c r="K1432">
        <v>1</v>
      </c>
      <c r="L1432">
        <v>1</v>
      </c>
      <c r="M1432" t="s">
        <v>6370</v>
      </c>
    </row>
    <row r="1433" spans="1:13">
      <c r="A1433" t="s">
        <v>3991</v>
      </c>
      <c r="B1433" t="s">
        <v>520</v>
      </c>
      <c r="C1433">
        <v>43637</v>
      </c>
      <c r="D1433">
        <v>545011148</v>
      </c>
      <c r="E1433">
        <v>69335</v>
      </c>
      <c r="F1433">
        <v>65</v>
      </c>
      <c r="G1433">
        <v>312775703</v>
      </c>
      <c r="H1433">
        <v>3080420</v>
      </c>
      <c r="I1433">
        <v>170167441</v>
      </c>
      <c r="J1433">
        <v>75</v>
      </c>
      <c r="K1433">
        <v>56</v>
      </c>
      <c r="L1433">
        <v>0</v>
      </c>
      <c r="M1433" t="s">
        <v>6371</v>
      </c>
    </row>
    <row r="1434" spans="1:13">
      <c r="A1434" t="s">
        <v>3992</v>
      </c>
      <c r="B1434" t="s">
        <v>61</v>
      </c>
      <c r="C1434">
        <v>41640</v>
      </c>
      <c r="D1434">
        <v>964058806</v>
      </c>
      <c r="E1434">
        <v>102916</v>
      </c>
      <c r="F1434">
        <v>70</v>
      </c>
      <c r="G1434">
        <v>930982185</v>
      </c>
      <c r="H1434">
        <v>5528129</v>
      </c>
      <c r="I1434">
        <v>1025978293</v>
      </c>
      <c r="J1434">
        <v>76</v>
      </c>
      <c r="K1434">
        <v>150</v>
      </c>
      <c r="L1434">
        <v>0</v>
      </c>
      <c r="M1434" t="s">
        <v>6371</v>
      </c>
    </row>
    <row r="1435" spans="1:13">
      <c r="A1435" t="s">
        <v>3994</v>
      </c>
      <c r="B1435" t="s">
        <v>849</v>
      </c>
      <c r="C1435">
        <v>42957</v>
      </c>
      <c r="D1435">
        <v>788403596</v>
      </c>
      <c r="E1435">
        <v>79260</v>
      </c>
      <c r="F1435">
        <v>70</v>
      </c>
      <c r="G1435">
        <v>508358793</v>
      </c>
      <c r="H1435">
        <v>3107893</v>
      </c>
      <c r="I1435">
        <v>215488504</v>
      </c>
      <c r="J1435">
        <v>117</v>
      </c>
      <c r="K1435">
        <v>51</v>
      </c>
      <c r="L1435">
        <v>0</v>
      </c>
      <c r="M1435" t="s">
        <v>6371</v>
      </c>
    </row>
    <row r="1436" spans="1:13">
      <c r="A1436" t="s">
        <v>3995</v>
      </c>
      <c r="B1436" t="s">
        <v>3723</v>
      </c>
      <c r="C1436">
        <v>40544</v>
      </c>
      <c r="D1436">
        <v>456241170</v>
      </c>
      <c r="E1436">
        <v>89265</v>
      </c>
      <c r="F1436">
        <v>69</v>
      </c>
      <c r="G1436">
        <v>2333347395</v>
      </c>
      <c r="H1436">
        <v>9971513</v>
      </c>
      <c r="I1436">
        <v>1446146402</v>
      </c>
      <c r="J1436">
        <v>70</v>
      </c>
      <c r="K1436">
        <v>48</v>
      </c>
      <c r="L1436">
        <v>0</v>
      </c>
      <c r="M1436" t="s">
        <v>6371</v>
      </c>
    </row>
    <row r="1437" spans="1:13">
      <c r="A1437" t="s">
        <v>3999</v>
      </c>
      <c r="B1437" t="s">
        <v>860</v>
      </c>
      <c r="C1437">
        <v>43896</v>
      </c>
      <c r="D1437">
        <v>199063354</v>
      </c>
      <c r="E1437">
        <v>27343</v>
      </c>
      <c r="F1437">
        <v>59</v>
      </c>
      <c r="G1437">
        <v>140058306</v>
      </c>
      <c r="H1437">
        <v>1231359</v>
      </c>
      <c r="I1437">
        <v>1039448470</v>
      </c>
      <c r="J1437">
        <v>30</v>
      </c>
      <c r="K1437">
        <v>50</v>
      </c>
      <c r="L1437">
        <v>1</v>
      </c>
      <c r="M1437" t="s">
        <v>6371</v>
      </c>
    </row>
    <row r="1438" spans="1:13">
      <c r="A1438" t="s">
        <v>4005</v>
      </c>
      <c r="B1438" t="s">
        <v>3672</v>
      </c>
      <c r="C1438">
        <v>44230</v>
      </c>
      <c r="D1438">
        <v>191071471</v>
      </c>
      <c r="E1438">
        <v>61218</v>
      </c>
      <c r="F1438">
        <v>65</v>
      </c>
      <c r="G1438">
        <v>109977159</v>
      </c>
      <c r="H1438">
        <v>1028822</v>
      </c>
      <c r="I1438">
        <v>67883730</v>
      </c>
      <c r="J1438">
        <v>53</v>
      </c>
      <c r="K1438">
        <v>676</v>
      </c>
      <c r="L1438">
        <v>1</v>
      </c>
      <c r="M1438" t="s">
        <v>6370</v>
      </c>
    </row>
    <row r="1439" spans="1:13">
      <c r="A1439" t="s">
        <v>4006</v>
      </c>
      <c r="B1439" t="s">
        <v>256</v>
      </c>
      <c r="C1439">
        <v>43588</v>
      </c>
      <c r="D1439">
        <v>793528511</v>
      </c>
      <c r="E1439">
        <v>99106</v>
      </c>
      <c r="F1439">
        <v>70</v>
      </c>
      <c r="G1439">
        <v>318332999</v>
      </c>
      <c r="H1439">
        <v>2522360</v>
      </c>
      <c r="I1439">
        <v>140058016</v>
      </c>
      <c r="J1439">
        <v>46</v>
      </c>
      <c r="K1439">
        <v>98</v>
      </c>
      <c r="L1439">
        <v>0</v>
      </c>
      <c r="M1439" t="s">
        <v>6371</v>
      </c>
    </row>
    <row r="1440" spans="1:13">
      <c r="A1440" t="s">
        <v>4007</v>
      </c>
      <c r="B1440" t="s">
        <v>4008</v>
      </c>
      <c r="C1440">
        <v>44827</v>
      </c>
      <c r="D1440">
        <v>120785398</v>
      </c>
      <c r="E1440">
        <v>45503</v>
      </c>
      <c r="F1440">
        <v>59</v>
      </c>
      <c r="G1440">
        <v>25495861</v>
      </c>
      <c r="H1440">
        <v>202181</v>
      </c>
      <c r="I1440">
        <v>64940140</v>
      </c>
      <c r="J1440">
        <v>34</v>
      </c>
      <c r="K1440">
        <v>231</v>
      </c>
      <c r="L1440">
        <v>0</v>
      </c>
      <c r="M1440" t="s">
        <v>6370</v>
      </c>
    </row>
    <row r="1441" spans="1:13">
      <c r="A1441" t="s">
        <v>4016</v>
      </c>
      <c r="B1441" t="s">
        <v>4017</v>
      </c>
      <c r="C1441">
        <v>44582</v>
      </c>
      <c r="D1441">
        <v>103232015</v>
      </c>
      <c r="E1441">
        <v>33577</v>
      </c>
      <c r="F1441">
        <v>60</v>
      </c>
      <c r="G1441">
        <v>9695261</v>
      </c>
      <c r="H1441">
        <v>155015</v>
      </c>
      <c r="I1441">
        <v>2866098547</v>
      </c>
      <c r="J1441">
        <v>13</v>
      </c>
      <c r="K1441">
        <v>73</v>
      </c>
      <c r="L1441">
        <v>0</v>
      </c>
      <c r="M1441" t="s">
        <v>6370</v>
      </c>
    </row>
    <row r="1442" spans="1:13">
      <c r="A1442" t="s">
        <v>4020</v>
      </c>
      <c r="B1442" t="s">
        <v>2362</v>
      </c>
      <c r="C1442">
        <v>44022</v>
      </c>
      <c r="D1442">
        <v>423313161</v>
      </c>
      <c r="E1442">
        <v>33148</v>
      </c>
      <c r="F1442">
        <v>66</v>
      </c>
      <c r="G1442">
        <v>597262135</v>
      </c>
      <c r="H1442">
        <v>2506019</v>
      </c>
      <c r="I1442">
        <v>35488227</v>
      </c>
      <c r="J1442">
        <v>17</v>
      </c>
      <c r="K1442">
        <v>341</v>
      </c>
      <c r="L1442">
        <v>0</v>
      </c>
      <c r="M1442" t="s">
        <v>6371</v>
      </c>
    </row>
    <row r="1443" spans="1:13">
      <c r="A1443" t="s">
        <v>2753</v>
      </c>
      <c r="B1443" t="s">
        <v>4021</v>
      </c>
      <c r="C1443">
        <v>40448</v>
      </c>
      <c r="D1443">
        <v>814272136</v>
      </c>
      <c r="E1443">
        <v>180832</v>
      </c>
      <c r="F1443">
        <v>72</v>
      </c>
      <c r="G1443">
        <v>731556941</v>
      </c>
      <c r="H1443">
        <v>4447478</v>
      </c>
      <c r="I1443">
        <v>257784004</v>
      </c>
      <c r="J1443">
        <v>35</v>
      </c>
      <c r="K1443">
        <v>35</v>
      </c>
      <c r="L1443">
        <v>0</v>
      </c>
      <c r="M1443" t="s">
        <v>6371</v>
      </c>
    </row>
    <row r="1444" spans="1:13">
      <c r="A1444" t="s">
        <v>4027</v>
      </c>
      <c r="B1444" t="s">
        <v>4028</v>
      </c>
      <c r="C1444">
        <v>43173</v>
      </c>
      <c r="D1444">
        <v>651863663</v>
      </c>
      <c r="E1444">
        <v>122266</v>
      </c>
      <c r="F1444">
        <v>62</v>
      </c>
      <c r="G1444">
        <v>364860562</v>
      </c>
      <c r="H1444">
        <v>3465425</v>
      </c>
      <c r="I1444">
        <v>318020837</v>
      </c>
      <c r="J1444">
        <v>38</v>
      </c>
      <c r="K1444">
        <v>223</v>
      </c>
      <c r="L1444">
        <v>1</v>
      </c>
      <c r="M1444" t="s">
        <v>6371</v>
      </c>
    </row>
    <row r="1445" spans="1:13">
      <c r="A1445" t="s">
        <v>4031</v>
      </c>
      <c r="B1445" t="s">
        <v>471</v>
      </c>
      <c r="C1445">
        <v>44652</v>
      </c>
      <c r="D1445">
        <v>237061046</v>
      </c>
      <c r="E1445">
        <v>82335</v>
      </c>
      <c r="F1445">
        <v>63</v>
      </c>
      <c r="G1445">
        <v>47378172</v>
      </c>
      <c r="H1445">
        <v>923407</v>
      </c>
      <c r="I1445">
        <v>3442700</v>
      </c>
      <c r="J1445">
        <v>13</v>
      </c>
      <c r="K1445">
        <v>652</v>
      </c>
      <c r="L1445">
        <v>1</v>
      </c>
      <c r="M1445" t="s">
        <v>6370</v>
      </c>
    </row>
    <row r="1446" spans="1:13">
      <c r="A1446" t="s">
        <v>4032</v>
      </c>
      <c r="B1446" t="s">
        <v>2063</v>
      </c>
      <c r="C1446">
        <v>44643</v>
      </c>
      <c r="D1446">
        <v>275416061</v>
      </c>
      <c r="E1446">
        <v>45154</v>
      </c>
      <c r="F1446">
        <v>58</v>
      </c>
      <c r="G1446">
        <v>237452601</v>
      </c>
      <c r="H1446">
        <v>5966974</v>
      </c>
      <c r="I1446">
        <v>356327284</v>
      </c>
      <c r="J1446">
        <v>17</v>
      </c>
      <c r="K1446">
        <v>66</v>
      </c>
      <c r="L1446">
        <v>0</v>
      </c>
      <c r="M1446" t="s">
        <v>6370</v>
      </c>
    </row>
    <row r="1447" spans="1:13">
      <c r="A1447" t="s">
        <v>4035</v>
      </c>
      <c r="B1447" t="s">
        <v>4036</v>
      </c>
      <c r="C1447">
        <v>42391</v>
      </c>
      <c r="D1447">
        <v>547304707</v>
      </c>
      <c r="E1447">
        <v>93449</v>
      </c>
      <c r="F1447">
        <v>68</v>
      </c>
      <c r="G1447">
        <v>566895107</v>
      </c>
      <c r="H1447">
        <v>8058632</v>
      </c>
      <c r="I1447">
        <v>4144883692</v>
      </c>
      <c r="J1447">
        <v>48</v>
      </c>
      <c r="K1447">
        <v>23</v>
      </c>
      <c r="L1447">
        <v>0</v>
      </c>
      <c r="M1447" t="s">
        <v>6371</v>
      </c>
    </row>
    <row r="1448" spans="1:13">
      <c r="A1448" t="s">
        <v>4039</v>
      </c>
      <c r="B1448" t="s">
        <v>4040</v>
      </c>
      <c r="C1448">
        <v>44204</v>
      </c>
      <c r="D1448">
        <v>389164529</v>
      </c>
      <c r="E1448">
        <v>60436</v>
      </c>
      <c r="F1448">
        <v>62</v>
      </c>
      <c r="G1448">
        <v>96711789</v>
      </c>
      <c r="H1448">
        <v>597354</v>
      </c>
      <c r="I1448">
        <v>82984646</v>
      </c>
      <c r="J1448">
        <v>75</v>
      </c>
      <c r="K1448">
        <v>56</v>
      </c>
      <c r="L1448">
        <v>0</v>
      </c>
      <c r="M1448" t="s">
        <v>6370</v>
      </c>
    </row>
    <row r="1449" spans="1:13">
      <c r="A1449" t="s">
        <v>4041</v>
      </c>
      <c r="B1449" t="s">
        <v>61</v>
      </c>
      <c r="C1449">
        <v>40909</v>
      </c>
      <c r="D1449">
        <v>839642356</v>
      </c>
      <c r="E1449">
        <v>110606</v>
      </c>
      <c r="F1449">
        <v>72</v>
      </c>
      <c r="G1449">
        <v>545463966</v>
      </c>
      <c r="H1449">
        <v>4002306</v>
      </c>
      <c r="I1449">
        <v>48882930</v>
      </c>
      <c r="J1449">
        <v>62</v>
      </c>
      <c r="K1449">
        <v>42</v>
      </c>
      <c r="L1449">
        <v>0</v>
      </c>
      <c r="M1449" t="s">
        <v>6371</v>
      </c>
    </row>
    <row r="1450" spans="1:13">
      <c r="A1450" t="s">
        <v>4043</v>
      </c>
      <c r="B1450" t="s">
        <v>28</v>
      </c>
      <c r="C1450">
        <v>36526</v>
      </c>
      <c r="D1450">
        <v>1798020679</v>
      </c>
      <c r="E1450">
        <v>352947</v>
      </c>
      <c r="F1450">
        <v>81</v>
      </c>
      <c r="G1450">
        <v>961666231</v>
      </c>
      <c r="H1450">
        <v>7927293</v>
      </c>
      <c r="I1450">
        <v>771015965</v>
      </c>
      <c r="J1450">
        <v>93</v>
      </c>
      <c r="K1450">
        <v>82</v>
      </c>
      <c r="L1450">
        <v>1</v>
      </c>
      <c r="M1450" t="s">
        <v>6372</v>
      </c>
    </row>
    <row r="1451" spans="1:13">
      <c r="A1451" t="s">
        <v>4046</v>
      </c>
      <c r="B1451" t="s">
        <v>867</v>
      </c>
      <c r="C1451">
        <v>44007</v>
      </c>
      <c r="D1451">
        <v>143528699</v>
      </c>
      <c r="E1451">
        <v>26295</v>
      </c>
      <c r="F1451">
        <v>65</v>
      </c>
      <c r="G1451">
        <v>395691039</v>
      </c>
      <c r="H1451">
        <v>3870422</v>
      </c>
      <c r="I1451">
        <v>184322890</v>
      </c>
      <c r="J1451">
        <v>2</v>
      </c>
      <c r="K1451">
        <v>8</v>
      </c>
      <c r="L1451">
        <v>0</v>
      </c>
      <c r="M1451" t="s">
        <v>6371</v>
      </c>
    </row>
    <row r="1452" spans="1:13">
      <c r="A1452" t="s">
        <v>4050</v>
      </c>
      <c r="B1452" t="s">
        <v>506</v>
      </c>
      <c r="C1452">
        <v>45065</v>
      </c>
      <c r="D1452">
        <v>168963270</v>
      </c>
      <c r="E1452">
        <v>9329</v>
      </c>
      <c r="F1452">
        <v>52</v>
      </c>
      <c r="G1452">
        <v>138646834</v>
      </c>
      <c r="H1452">
        <v>561807</v>
      </c>
      <c r="I1452">
        <v>90780465</v>
      </c>
      <c r="J1452">
        <v>7</v>
      </c>
      <c r="K1452">
        <v>7</v>
      </c>
      <c r="L1452">
        <v>0</v>
      </c>
      <c r="M1452" t="s">
        <v>6370</v>
      </c>
    </row>
    <row r="1453" spans="1:13">
      <c r="A1453" t="s">
        <v>4052</v>
      </c>
      <c r="B1453" t="s">
        <v>1025</v>
      </c>
      <c r="C1453">
        <v>42005</v>
      </c>
      <c r="D1453">
        <v>1254883107</v>
      </c>
      <c r="E1453">
        <v>131909</v>
      </c>
      <c r="F1453">
        <v>73</v>
      </c>
      <c r="G1453">
        <v>995579933</v>
      </c>
      <c r="H1453">
        <v>7131931</v>
      </c>
      <c r="I1453">
        <v>113741661</v>
      </c>
      <c r="J1453">
        <v>133</v>
      </c>
      <c r="K1453">
        <v>43</v>
      </c>
      <c r="L1453">
        <v>0</v>
      </c>
      <c r="M1453" t="s">
        <v>6371</v>
      </c>
    </row>
    <row r="1454" spans="1:13">
      <c r="A1454" t="s">
        <v>4053</v>
      </c>
      <c r="B1454" t="s">
        <v>938</v>
      </c>
      <c r="C1454">
        <v>43483</v>
      </c>
      <c r="D1454">
        <v>573290850</v>
      </c>
      <c r="E1454">
        <v>44972</v>
      </c>
      <c r="F1454">
        <v>67</v>
      </c>
      <c r="G1454">
        <v>830580317</v>
      </c>
      <c r="H1454">
        <v>5534299</v>
      </c>
      <c r="I1454">
        <v>164663552</v>
      </c>
      <c r="J1454">
        <v>45</v>
      </c>
      <c r="K1454">
        <v>248</v>
      </c>
      <c r="L1454">
        <v>0</v>
      </c>
      <c r="M1454" t="s">
        <v>6371</v>
      </c>
    </row>
    <row r="1455" spans="1:13">
      <c r="A1455">
        <v>21</v>
      </c>
      <c r="B1455" t="s">
        <v>781</v>
      </c>
      <c r="C1455">
        <v>43966</v>
      </c>
      <c r="D1455">
        <v>500766243</v>
      </c>
      <c r="E1455">
        <v>134529</v>
      </c>
      <c r="F1455">
        <v>67</v>
      </c>
      <c r="G1455">
        <v>161831915</v>
      </c>
      <c r="H1455">
        <v>1890192</v>
      </c>
      <c r="I1455">
        <v>22513039</v>
      </c>
      <c r="J1455">
        <v>21</v>
      </c>
      <c r="K1455">
        <v>72</v>
      </c>
      <c r="L1455">
        <v>1</v>
      </c>
      <c r="M1455" t="s">
        <v>6371</v>
      </c>
    </row>
    <row r="1456" spans="1:13">
      <c r="A1456" t="s">
        <v>4054</v>
      </c>
      <c r="B1456" t="s">
        <v>1062</v>
      </c>
      <c r="C1456">
        <v>39814</v>
      </c>
      <c r="D1456">
        <v>1423655688</v>
      </c>
      <c r="E1456">
        <v>306620</v>
      </c>
      <c r="F1456">
        <v>76</v>
      </c>
      <c r="G1456">
        <v>190741649</v>
      </c>
      <c r="H1456">
        <v>1734831</v>
      </c>
      <c r="I1456">
        <v>680999560</v>
      </c>
      <c r="J1456">
        <v>281</v>
      </c>
      <c r="K1456">
        <v>434</v>
      </c>
      <c r="L1456">
        <v>0</v>
      </c>
      <c r="M1456" t="s">
        <v>6372</v>
      </c>
    </row>
    <row r="1457" spans="1:13">
      <c r="A1457" t="s">
        <v>4055</v>
      </c>
      <c r="B1457" t="s">
        <v>4056</v>
      </c>
      <c r="C1457">
        <v>44785</v>
      </c>
      <c r="D1457">
        <v>100973437</v>
      </c>
      <c r="E1457">
        <v>55772</v>
      </c>
      <c r="F1457">
        <v>63</v>
      </c>
      <c r="G1457">
        <v>14289584</v>
      </c>
      <c r="H1457">
        <v>264058</v>
      </c>
      <c r="I1457">
        <v>552255188</v>
      </c>
      <c r="J1457">
        <v>8</v>
      </c>
      <c r="K1457">
        <v>34</v>
      </c>
      <c r="L1457">
        <v>1</v>
      </c>
      <c r="M1457" t="s">
        <v>6370</v>
      </c>
    </row>
    <row r="1458" spans="1:13">
      <c r="A1458" t="s">
        <v>4062</v>
      </c>
      <c r="B1458" t="s">
        <v>459</v>
      </c>
      <c r="C1458">
        <v>43231</v>
      </c>
      <c r="D1458">
        <v>580941059</v>
      </c>
      <c r="E1458">
        <v>55176</v>
      </c>
      <c r="F1458">
        <v>64</v>
      </c>
      <c r="G1458">
        <v>965441155</v>
      </c>
      <c r="H1458">
        <v>3017656</v>
      </c>
      <c r="I1458">
        <v>19928111</v>
      </c>
      <c r="J1458">
        <v>43</v>
      </c>
      <c r="K1458">
        <v>28</v>
      </c>
      <c r="L1458">
        <v>0</v>
      </c>
      <c r="M1458" t="s">
        <v>6371</v>
      </c>
    </row>
    <row r="1459" spans="1:13">
      <c r="A1459" t="s">
        <v>4066</v>
      </c>
      <c r="B1459" t="s">
        <v>4067</v>
      </c>
      <c r="C1459">
        <v>43899</v>
      </c>
      <c r="D1459">
        <v>365845397</v>
      </c>
      <c r="E1459">
        <v>29751</v>
      </c>
      <c r="F1459">
        <v>66</v>
      </c>
      <c r="G1459">
        <v>731488947</v>
      </c>
      <c r="H1459">
        <v>8414274</v>
      </c>
      <c r="I1459">
        <v>362463277</v>
      </c>
      <c r="J1459">
        <v>23</v>
      </c>
      <c r="K1459">
        <v>29</v>
      </c>
      <c r="L1459">
        <v>0</v>
      </c>
      <c r="M1459" t="s">
        <v>6371</v>
      </c>
    </row>
    <row r="1460" spans="1:13">
      <c r="A1460" t="s">
        <v>4070</v>
      </c>
      <c r="B1460" t="s">
        <v>295</v>
      </c>
      <c r="C1460">
        <v>44442</v>
      </c>
      <c r="D1460">
        <v>308396120</v>
      </c>
      <c r="E1460">
        <v>99705</v>
      </c>
      <c r="F1460">
        <v>66</v>
      </c>
      <c r="G1460">
        <v>63664549</v>
      </c>
      <c r="H1460">
        <v>669096</v>
      </c>
      <c r="I1460">
        <v>1204022719</v>
      </c>
      <c r="J1460">
        <v>16</v>
      </c>
      <c r="K1460">
        <v>12</v>
      </c>
      <c r="L1460">
        <v>1</v>
      </c>
      <c r="M1460" t="s">
        <v>6370</v>
      </c>
    </row>
    <row r="1461" spans="1:13">
      <c r="A1461" t="s">
        <v>4071</v>
      </c>
      <c r="B1461" t="s">
        <v>2307</v>
      </c>
      <c r="C1461">
        <v>42909</v>
      </c>
      <c r="D1461">
        <v>503904686</v>
      </c>
      <c r="E1461">
        <v>47427</v>
      </c>
      <c r="F1461">
        <v>73</v>
      </c>
      <c r="G1461">
        <v>1009029328</v>
      </c>
      <c r="H1461">
        <v>4103220</v>
      </c>
      <c r="I1461">
        <v>979585978</v>
      </c>
      <c r="J1461">
        <v>26</v>
      </c>
      <c r="K1461">
        <v>7</v>
      </c>
      <c r="L1461">
        <v>0</v>
      </c>
      <c r="M1461" t="s">
        <v>6371</v>
      </c>
    </row>
    <row r="1462" spans="1:13">
      <c r="A1462" t="s">
        <v>4074</v>
      </c>
      <c r="B1462" t="s">
        <v>546</v>
      </c>
      <c r="C1462">
        <v>43056</v>
      </c>
      <c r="D1462">
        <v>1006734157</v>
      </c>
      <c r="E1462">
        <v>224587</v>
      </c>
      <c r="F1462">
        <v>77</v>
      </c>
      <c r="G1462">
        <v>106339744</v>
      </c>
      <c r="H1462">
        <v>850717</v>
      </c>
      <c r="I1462">
        <v>144628943</v>
      </c>
      <c r="J1462">
        <v>19</v>
      </c>
      <c r="K1462">
        <v>4</v>
      </c>
      <c r="L1462">
        <v>1</v>
      </c>
      <c r="M1462" t="s">
        <v>6371</v>
      </c>
    </row>
    <row r="1463" spans="1:13">
      <c r="A1463" t="s">
        <v>4077</v>
      </c>
      <c r="B1463" t="s">
        <v>938</v>
      </c>
      <c r="C1463">
        <v>43322</v>
      </c>
      <c r="D1463">
        <v>431529832</v>
      </c>
      <c r="E1463">
        <v>32115</v>
      </c>
      <c r="F1463">
        <v>63</v>
      </c>
      <c r="G1463">
        <v>1077954732</v>
      </c>
      <c r="H1463">
        <v>4083486</v>
      </c>
      <c r="I1463">
        <v>43241693</v>
      </c>
      <c r="J1463">
        <v>31</v>
      </c>
      <c r="K1463">
        <v>85</v>
      </c>
      <c r="L1463">
        <v>0</v>
      </c>
      <c r="M1463" t="s">
        <v>6371</v>
      </c>
    </row>
    <row r="1464" spans="1:13">
      <c r="A1464" t="s">
        <v>4078</v>
      </c>
      <c r="B1464" t="s">
        <v>51</v>
      </c>
      <c r="C1464">
        <v>44315</v>
      </c>
      <c r="D1464">
        <v>423439672</v>
      </c>
      <c r="E1464">
        <v>79149</v>
      </c>
      <c r="F1464">
        <v>68</v>
      </c>
      <c r="G1464">
        <v>170437339</v>
      </c>
      <c r="H1464">
        <v>4244477</v>
      </c>
      <c r="I1464">
        <v>347631092</v>
      </c>
      <c r="J1464">
        <v>130</v>
      </c>
      <c r="K1464">
        <v>33</v>
      </c>
      <c r="L1464">
        <v>0</v>
      </c>
      <c r="M1464" t="s">
        <v>6370</v>
      </c>
    </row>
    <row r="1465" spans="1:13">
      <c r="A1465" t="s">
        <v>4080</v>
      </c>
      <c r="B1465" t="s">
        <v>170</v>
      </c>
      <c r="C1465">
        <v>44980</v>
      </c>
      <c r="D1465">
        <v>212911684</v>
      </c>
      <c r="E1465">
        <v>22815</v>
      </c>
      <c r="F1465">
        <v>71</v>
      </c>
      <c r="G1465">
        <v>106041009</v>
      </c>
      <c r="H1465">
        <v>588756</v>
      </c>
      <c r="I1465">
        <v>131834580</v>
      </c>
      <c r="J1465">
        <v>9</v>
      </c>
      <c r="K1465">
        <v>125</v>
      </c>
      <c r="L1465">
        <v>1</v>
      </c>
      <c r="M1465" t="s">
        <v>6370</v>
      </c>
    </row>
    <row r="1466" spans="1:13">
      <c r="A1466" t="s">
        <v>3030</v>
      </c>
      <c r="B1466" t="s">
        <v>860</v>
      </c>
      <c r="C1466">
        <v>44155</v>
      </c>
      <c r="D1466">
        <v>327693363</v>
      </c>
      <c r="E1466">
        <v>59033</v>
      </c>
      <c r="F1466">
        <v>63</v>
      </c>
      <c r="G1466">
        <v>215966337</v>
      </c>
      <c r="H1466">
        <v>3070939</v>
      </c>
      <c r="I1466">
        <v>2873316705</v>
      </c>
      <c r="J1466">
        <v>19</v>
      </c>
      <c r="K1466">
        <v>401</v>
      </c>
      <c r="L1466">
        <v>1</v>
      </c>
      <c r="M1466" t="s">
        <v>6371</v>
      </c>
    </row>
    <row r="1467" spans="1:13">
      <c r="A1467" t="s">
        <v>4082</v>
      </c>
      <c r="B1467" t="s">
        <v>2841</v>
      </c>
      <c r="C1467">
        <v>44988</v>
      </c>
      <c r="D1467">
        <v>123058600</v>
      </c>
      <c r="E1467">
        <v>41625</v>
      </c>
      <c r="F1467">
        <v>71</v>
      </c>
      <c r="G1467">
        <v>15090329</v>
      </c>
      <c r="H1467">
        <v>160292</v>
      </c>
      <c r="I1467">
        <v>30233661</v>
      </c>
      <c r="J1467">
        <v>40</v>
      </c>
      <c r="K1467">
        <v>16</v>
      </c>
      <c r="L1467">
        <v>0</v>
      </c>
      <c r="M1467" t="s">
        <v>6370</v>
      </c>
    </row>
    <row r="1468" spans="1:13">
      <c r="A1468" t="s">
        <v>4083</v>
      </c>
      <c r="B1468" t="s">
        <v>4084</v>
      </c>
      <c r="C1468">
        <v>41233</v>
      </c>
      <c r="D1468">
        <v>767661283</v>
      </c>
      <c r="E1468">
        <v>177756</v>
      </c>
      <c r="F1468">
        <v>72</v>
      </c>
      <c r="G1468">
        <v>1211548500</v>
      </c>
      <c r="H1468">
        <v>6168792</v>
      </c>
      <c r="I1468">
        <v>838554125</v>
      </c>
      <c r="J1468">
        <v>61</v>
      </c>
      <c r="K1468">
        <v>32</v>
      </c>
      <c r="L1468">
        <v>1</v>
      </c>
      <c r="M1468" t="s">
        <v>6371</v>
      </c>
    </row>
    <row r="1469" spans="1:13">
      <c r="A1469" t="s">
        <v>4085</v>
      </c>
      <c r="B1469" t="s">
        <v>747</v>
      </c>
      <c r="C1469">
        <v>45148</v>
      </c>
      <c r="D1469">
        <v>48790265</v>
      </c>
      <c r="E1469">
        <v>26044</v>
      </c>
      <c r="F1469">
        <v>59</v>
      </c>
      <c r="G1469">
        <v>11963045</v>
      </c>
      <c r="H1469">
        <v>259674</v>
      </c>
      <c r="I1469">
        <v>2309009</v>
      </c>
      <c r="J1469">
        <v>6</v>
      </c>
      <c r="K1469">
        <v>56</v>
      </c>
      <c r="L1469">
        <v>1</v>
      </c>
      <c r="M1469" t="s">
        <v>6370</v>
      </c>
    </row>
    <row r="1470" spans="1:13">
      <c r="A1470" t="s">
        <v>4089</v>
      </c>
      <c r="B1470" t="s">
        <v>459</v>
      </c>
      <c r="C1470">
        <v>43644</v>
      </c>
      <c r="D1470">
        <v>806817589</v>
      </c>
      <c r="E1470">
        <v>85661</v>
      </c>
      <c r="F1470">
        <v>71</v>
      </c>
      <c r="G1470">
        <v>489443301</v>
      </c>
      <c r="H1470">
        <v>2894907</v>
      </c>
      <c r="I1470">
        <v>131482347</v>
      </c>
      <c r="J1470">
        <v>116</v>
      </c>
      <c r="K1470">
        <v>36</v>
      </c>
      <c r="L1470">
        <v>0</v>
      </c>
      <c r="M1470" t="s">
        <v>6371</v>
      </c>
    </row>
    <row r="1471" spans="1:13">
      <c r="A1471" t="s">
        <v>4090</v>
      </c>
      <c r="B1471" t="s">
        <v>4061</v>
      </c>
      <c r="C1471">
        <v>43995</v>
      </c>
      <c r="D1471">
        <v>68033539</v>
      </c>
      <c r="E1471">
        <v>13060</v>
      </c>
      <c r="F1471">
        <v>60</v>
      </c>
      <c r="G1471">
        <v>88796716</v>
      </c>
      <c r="H1471">
        <v>1038952</v>
      </c>
      <c r="I1471">
        <v>2164370742</v>
      </c>
      <c r="J1471">
        <v>2</v>
      </c>
      <c r="K1471">
        <v>38</v>
      </c>
      <c r="L1471">
        <v>0</v>
      </c>
      <c r="M1471" t="s">
        <v>6371</v>
      </c>
    </row>
    <row r="1472" spans="1:13">
      <c r="A1472" t="s">
        <v>4095</v>
      </c>
      <c r="B1472" t="s">
        <v>619</v>
      </c>
      <c r="C1472">
        <v>43470</v>
      </c>
      <c r="D1472">
        <v>563326343</v>
      </c>
      <c r="E1472">
        <v>71108</v>
      </c>
      <c r="F1472">
        <v>64</v>
      </c>
      <c r="G1472">
        <v>619678799</v>
      </c>
      <c r="H1472">
        <v>3452638</v>
      </c>
      <c r="I1472">
        <v>13221298</v>
      </c>
      <c r="J1472">
        <v>39</v>
      </c>
      <c r="K1472">
        <v>456</v>
      </c>
      <c r="L1472">
        <v>0</v>
      </c>
      <c r="M1472" t="s">
        <v>6371</v>
      </c>
    </row>
    <row r="1473" spans="1:13">
      <c r="A1473" t="s">
        <v>1049</v>
      </c>
      <c r="B1473" t="s">
        <v>4101</v>
      </c>
      <c r="C1473">
        <v>43822</v>
      </c>
      <c r="D1473">
        <v>471042668</v>
      </c>
      <c r="E1473">
        <v>37370</v>
      </c>
      <c r="F1473">
        <v>66</v>
      </c>
      <c r="G1473">
        <v>716847469</v>
      </c>
      <c r="H1473">
        <v>9852754</v>
      </c>
      <c r="I1473">
        <v>222663523</v>
      </c>
      <c r="J1473">
        <v>21</v>
      </c>
      <c r="K1473">
        <v>5</v>
      </c>
      <c r="L1473">
        <v>0</v>
      </c>
      <c r="M1473" t="s">
        <v>6371</v>
      </c>
    </row>
    <row r="1474" spans="1:13">
      <c r="A1474" t="s">
        <v>4102</v>
      </c>
      <c r="B1474" t="s">
        <v>4103</v>
      </c>
      <c r="C1474">
        <v>44981</v>
      </c>
      <c r="D1474">
        <v>116992202</v>
      </c>
      <c r="E1474">
        <v>44035</v>
      </c>
      <c r="F1474">
        <v>65</v>
      </c>
      <c r="G1474">
        <v>7745796</v>
      </c>
      <c r="H1474">
        <v>95181</v>
      </c>
      <c r="I1474">
        <v>92238960</v>
      </c>
      <c r="J1474">
        <v>50</v>
      </c>
      <c r="K1474">
        <v>281</v>
      </c>
      <c r="L1474">
        <v>0</v>
      </c>
      <c r="M1474" t="s">
        <v>6370</v>
      </c>
    </row>
    <row r="1475" spans="1:13">
      <c r="A1475" t="s">
        <v>4110</v>
      </c>
      <c r="B1475" t="s">
        <v>2377</v>
      </c>
      <c r="C1475">
        <v>44666</v>
      </c>
      <c r="D1475">
        <v>346862697</v>
      </c>
      <c r="E1475">
        <v>72540</v>
      </c>
      <c r="F1475">
        <v>67</v>
      </c>
      <c r="G1475">
        <v>28725574</v>
      </c>
      <c r="H1475">
        <v>481537</v>
      </c>
      <c r="I1475">
        <v>186623555</v>
      </c>
      <c r="J1475">
        <v>8</v>
      </c>
      <c r="K1475">
        <v>35</v>
      </c>
      <c r="L1475">
        <v>1</v>
      </c>
      <c r="M1475" t="s">
        <v>6370</v>
      </c>
    </row>
    <row r="1476" spans="1:13">
      <c r="A1476" t="s">
        <v>4113</v>
      </c>
      <c r="B1476" t="s">
        <v>4114</v>
      </c>
      <c r="C1476">
        <v>40909</v>
      </c>
      <c r="D1476">
        <v>1623436416</v>
      </c>
      <c r="E1476">
        <v>181003</v>
      </c>
      <c r="F1476">
        <v>76</v>
      </c>
      <c r="G1476">
        <v>205204907</v>
      </c>
      <c r="H1476">
        <v>2069073</v>
      </c>
      <c r="I1476">
        <v>345185931</v>
      </c>
      <c r="J1476">
        <v>228</v>
      </c>
      <c r="K1476">
        <v>323</v>
      </c>
      <c r="L1476">
        <v>1</v>
      </c>
      <c r="M1476" t="s">
        <v>6371</v>
      </c>
    </row>
    <row r="1477" spans="1:13">
      <c r="A1477" t="s">
        <v>4115</v>
      </c>
      <c r="B1477" t="s">
        <v>362</v>
      </c>
      <c r="C1477">
        <v>42279</v>
      </c>
      <c r="D1477">
        <v>989672356</v>
      </c>
      <c r="E1477">
        <v>135409</v>
      </c>
      <c r="F1477">
        <v>76</v>
      </c>
      <c r="G1477">
        <v>713521813</v>
      </c>
      <c r="H1477">
        <v>4429142</v>
      </c>
      <c r="I1477">
        <v>71925380</v>
      </c>
      <c r="J1477">
        <v>122</v>
      </c>
      <c r="K1477">
        <v>15</v>
      </c>
      <c r="L1477">
        <v>1</v>
      </c>
      <c r="M1477" t="s">
        <v>6371</v>
      </c>
    </row>
    <row r="1478" spans="1:13">
      <c r="A1478" t="s">
        <v>4117</v>
      </c>
      <c r="B1478" t="s">
        <v>221</v>
      </c>
      <c r="C1478">
        <v>43252</v>
      </c>
      <c r="D1478">
        <v>572628080</v>
      </c>
      <c r="E1478">
        <v>58161</v>
      </c>
      <c r="F1478">
        <v>79</v>
      </c>
      <c r="G1478">
        <v>358325972</v>
      </c>
      <c r="H1478">
        <v>1376330</v>
      </c>
      <c r="I1478">
        <v>45145253</v>
      </c>
      <c r="J1478">
        <v>28</v>
      </c>
      <c r="K1478">
        <v>19</v>
      </c>
      <c r="L1478">
        <v>0</v>
      </c>
      <c r="M1478" t="s">
        <v>6371</v>
      </c>
    </row>
    <row r="1479" spans="1:13">
      <c r="A1479" t="s">
        <v>4118</v>
      </c>
      <c r="B1479" t="s">
        <v>4119</v>
      </c>
      <c r="C1479">
        <v>44519</v>
      </c>
      <c r="D1479">
        <v>110244949</v>
      </c>
      <c r="E1479">
        <v>10233</v>
      </c>
      <c r="F1479">
        <v>39</v>
      </c>
      <c r="G1479">
        <v>442934526</v>
      </c>
      <c r="H1479">
        <v>1510804</v>
      </c>
      <c r="I1479">
        <v>12667235</v>
      </c>
      <c r="J1479">
        <v>1</v>
      </c>
      <c r="K1479">
        <v>200</v>
      </c>
      <c r="L1479">
        <v>0</v>
      </c>
      <c r="M1479" t="s">
        <v>6370</v>
      </c>
    </row>
    <row r="1480" spans="1:13">
      <c r="A1480" t="s">
        <v>1517</v>
      </c>
      <c r="B1480" t="s">
        <v>2920</v>
      </c>
      <c r="C1480">
        <v>43980</v>
      </c>
      <c r="D1480">
        <v>143421888</v>
      </c>
      <c r="E1480">
        <v>46095</v>
      </c>
      <c r="F1480">
        <v>54</v>
      </c>
      <c r="G1480">
        <v>23355896</v>
      </c>
      <c r="H1480">
        <v>429911</v>
      </c>
      <c r="I1480">
        <v>6940732133</v>
      </c>
      <c r="J1480">
        <v>26</v>
      </c>
      <c r="K1480">
        <v>150</v>
      </c>
      <c r="L1480">
        <v>1</v>
      </c>
      <c r="M1480" t="s">
        <v>6371</v>
      </c>
    </row>
    <row r="1481" spans="1:13">
      <c r="A1481" t="s">
        <v>4122</v>
      </c>
      <c r="B1481" t="s">
        <v>167</v>
      </c>
      <c r="C1481">
        <v>45081</v>
      </c>
      <c r="D1481">
        <v>107742416</v>
      </c>
      <c r="E1481">
        <v>42998</v>
      </c>
      <c r="F1481">
        <v>67</v>
      </c>
      <c r="G1481">
        <v>11323598</v>
      </c>
      <c r="H1481">
        <v>134265</v>
      </c>
      <c r="I1481">
        <v>921</v>
      </c>
      <c r="J1481">
        <v>32</v>
      </c>
      <c r="K1481">
        <v>39</v>
      </c>
      <c r="L1481">
        <v>1</v>
      </c>
      <c r="M1481" t="s">
        <v>6370</v>
      </c>
    </row>
    <row r="1482" spans="1:13">
      <c r="A1482" t="s">
        <v>4125</v>
      </c>
      <c r="B1482" t="s">
        <v>170</v>
      </c>
      <c r="C1482">
        <v>43231</v>
      </c>
      <c r="D1482">
        <v>224367887</v>
      </c>
      <c r="E1482">
        <v>21036</v>
      </c>
      <c r="F1482">
        <v>57</v>
      </c>
      <c r="G1482">
        <v>1159610485</v>
      </c>
      <c r="H1482">
        <v>6061105</v>
      </c>
      <c r="I1482">
        <v>99044675</v>
      </c>
      <c r="J1482">
        <v>31</v>
      </c>
      <c r="K1482">
        <v>219</v>
      </c>
      <c r="L1482">
        <v>0</v>
      </c>
      <c r="M1482" t="s">
        <v>6371</v>
      </c>
    </row>
    <row r="1483" spans="1:13">
      <c r="A1483" t="s">
        <v>4128</v>
      </c>
      <c r="B1483" t="s">
        <v>1857</v>
      </c>
      <c r="C1483">
        <v>44708</v>
      </c>
      <c r="D1483">
        <v>269363579</v>
      </c>
      <c r="E1483">
        <v>84173</v>
      </c>
      <c r="F1483">
        <v>70</v>
      </c>
      <c r="G1483">
        <v>3464827</v>
      </c>
      <c r="H1483">
        <v>61192</v>
      </c>
      <c r="I1483">
        <v>139748</v>
      </c>
      <c r="J1483">
        <v>14</v>
      </c>
      <c r="K1483">
        <v>300</v>
      </c>
      <c r="L1483">
        <v>0</v>
      </c>
      <c r="M1483" t="s">
        <v>6370</v>
      </c>
    </row>
    <row r="1484" spans="1:13">
      <c r="A1484" t="s">
        <v>4129</v>
      </c>
      <c r="B1484" t="s">
        <v>1186</v>
      </c>
      <c r="C1484">
        <v>44686</v>
      </c>
      <c r="D1484">
        <v>265244748</v>
      </c>
      <c r="E1484">
        <v>27965</v>
      </c>
      <c r="F1484">
        <v>58</v>
      </c>
      <c r="G1484">
        <v>219911011</v>
      </c>
      <c r="H1484">
        <v>1029281</v>
      </c>
      <c r="I1484">
        <v>837142924</v>
      </c>
      <c r="J1484">
        <v>29</v>
      </c>
      <c r="K1484">
        <v>424</v>
      </c>
      <c r="L1484">
        <v>0</v>
      </c>
      <c r="M1484" t="s">
        <v>6370</v>
      </c>
    </row>
    <row r="1485" spans="1:13">
      <c r="A1485" t="s">
        <v>4132</v>
      </c>
      <c r="B1485" t="s">
        <v>1109</v>
      </c>
      <c r="C1485">
        <v>40835</v>
      </c>
      <c r="D1485">
        <v>1291954163</v>
      </c>
      <c r="E1485">
        <v>205567</v>
      </c>
      <c r="F1485">
        <v>77</v>
      </c>
      <c r="G1485">
        <v>325509002</v>
      </c>
      <c r="H1485">
        <v>2163945</v>
      </c>
      <c r="I1485">
        <v>1016743063</v>
      </c>
      <c r="J1485">
        <v>109</v>
      </c>
      <c r="K1485">
        <v>109</v>
      </c>
      <c r="L1485">
        <v>0</v>
      </c>
      <c r="M1485" t="s">
        <v>6371</v>
      </c>
    </row>
    <row r="1486" spans="1:13">
      <c r="A1486" t="s">
        <v>4133</v>
      </c>
      <c r="B1486" t="s">
        <v>1226</v>
      </c>
      <c r="C1486">
        <v>44666</v>
      </c>
      <c r="D1486">
        <v>203417763</v>
      </c>
      <c r="E1486">
        <v>41522</v>
      </c>
      <c r="F1486">
        <v>66</v>
      </c>
      <c r="G1486">
        <v>69712050</v>
      </c>
      <c r="H1486">
        <v>939096</v>
      </c>
      <c r="I1486">
        <v>686244417</v>
      </c>
      <c r="J1486">
        <v>12</v>
      </c>
      <c r="K1486">
        <v>111</v>
      </c>
      <c r="L1486">
        <v>0</v>
      </c>
      <c r="M1486" t="s">
        <v>6370</v>
      </c>
    </row>
    <row r="1487" spans="1:13">
      <c r="A1487" t="s">
        <v>4136</v>
      </c>
      <c r="B1487" t="s">
        <v>4137</v>
      </c>
      <c r="C1487">
        <v>43831</v>
      </c>
      <c r="D1487">
        <v>316588910</v>
      </c>
      <c r="E1487">
        <v>82524</v>
      </c>
      <c r="F1487">
        <v>62</v>
      </c>
      <c r="G1487">
        <v>276127028</v>
      </c>
      <c r="H1487">
        <v>1891292</v>
      </c>
      <c r="I1487">
        <v>291943987</v>
      </c>
      <c r="J1487">
        <v>62</v>
      </c>
      <c r="K1487">
        <v>1457</v>
      </c>
      <c r="L1487">
        <v>1</v>
      </c>
      <c r="M1487" t="s">
        <v>6371</v>
      </c>
    </row>
    <row r="1488" spans="1:13">
      <c r="A1488" t="s">
        <v>4140</v>
      </c>
      <c r="B1488" t="s">
        <v>4141</v>
      </c>
      <c r="C1488">
        <v>44617</v>
      </c>
      <c r="D1488">
        <v>209635991</v>
      </c>
      <c r="E1488">
        <v>54470</v>
      </c>
      <c r="F1488">
        <v>71</v>
      </c>
      <c r="G1488">
        <v>26381437</v>
      </c>
      <c r="H1488">
        <v>281014</v>
      </c>
      <c r="I1488">
        <v>231239811</v>
      </c>
      <c r="J1488">
        <v>18</v>
      </c>
      <c r="K1488">
        <v>102</v>
      </c>
      <c r="L1488">
        <v>0</v>
      </c>
      <c r="M1488" t="s">
        <v>6370</v>
      </c>
    </row>
    <row r="1489" spans="1:13">
      <c r="A1489" t="s">
        <v>4145</v>
      </c>
      <c r="B1489" t="s">
        <v>4146</v>
      </c>
      <c r="C1489">
        <v>42901</v>
      </c>
      <c r="D1489">
        <v>899431434</v>
      </c>
      <c r="E1489">
        <v>111427</v>
      </c>
      <c r="F1489">
        <v>72</v>
      </c>
      <c r="G1489">
        <v>345265852</v>
      </c>
      <c r="H1489">
        <v>3361539</v>
      </c>
      <c r="I1489">
        <v>813589191</v>
      </c>
      <c r="J1489">
        <v>58</v>
      </c>
      <c r="K1489">
        <v>26</v>
      </c>
      <c r="L1489">
        <v>1</v>
      </c>
      <c r="M1489" t="s">
        <v>6371</v>
      </c>
    </row>
    <row r="1490" spans="1:13">
      <c r="A1490" t="s">
        <v>1236</v>
      </c>
      <c r="B1490" t="s">
        <v>590</v>
      </c>
      <c r="C1490">
        <v>44869</v>
      </c>
      <c r="D1490">
        <v>139783785</v>
      </c>
      <c r="E1490">
        <v>44303</v>
      </c>
      <c r="F1490">
        <v>63</v>
      </c>
      <c r="G1490">
        <v>37874489</v>
      </c>
      <c r="H1490">
        <v>402994</v>
      </c>
      <c r="I1490">
        <v>129948415</v>
      </c>
      <c r="J1490">
        <v>25</v>
      </c>
      <c r="K1490">
        <v>1</v>
      </c>
      <c r="L1490">
        <v>0</v>
      </c>
      <c r="M1490" t="s">
        <v>6370</v>
      </c>
    </row>
    <row r="1491" spans="1:13">
      <c r="A1491" t="s">
        <v>4147</v>
      </c>
      <c r="B1491" t="s">
        <v>61</v>
      </c>
      <c r="C1491">
        <v>43049</v>
      </c>
      <c r="D1491">
        <v>987770768</v>
      </c>
      <c r="E1491">
        <v>58856</v>
      </c>
      <c r="F1491">
        <v>75</v>
      </c>
      <c r="G1491">
        <v>593364271</v>
      </c>
      <c r="H1491">
        <v>4837607</v>
      </c>
      <c r="I1491">
        <v>130537420</v>
      </c>
      <c r="J1491">
        <v>81</v>
      </c>
      <c r="K1491">
        <v>30</v>
      </c>
      <c r="L1491">
        <v>0</v>
      </c>
      <c r="M1491" t="s">
        <v>6371</v>
      </c>
    </row>
    <row r="1492" spans="1:13">
      <c r="A1492" t="s">
        <v>4151</v>
      </c>
      <c r="B1492" t="s">
        <v>83</v>
      </c>
      <c r="C1492">
        <v>40544</v>
      </c>
      <c r="D1492">
        <v>1436087930</v>
      </c>
      <c r="E1492">
        <v>296520</v>
      </c>
      <c r="F1492">
        <v>76</v>
      </c>
      <c r="G1492">
        <v>444307904</v>
      </c>
      <c r="H1492">
        <v>3150622</v>
      </c>
      <c r="I1492">
        <v>199117216</v>
      </c>
      <c r="J1492">
        <v>159</v>
      </c>
      <c r="K1492">
        <v>3</v>
      </c>
      <c r="L1492">
        <v>1</v>
      </c>
      <c r="M1492" t="s">
        <v>6371</v>
      </c>
    </row>
    <row r="1493" spans="1:13">
      <c r="A1493" t="s">
        <v>4156</v>
      </c>
      <c r="B1493" t="s">
        <v>295</v>
      </c>
      <c r="C1493">
        <v>45133</v>
      </c>
      <c r="D1493">
        <v>86155124</v>
      </c>
      <c r="E1493">
        <v>34804</v>
      </c>
      <c r="F1493">
        <v>62</v>
      </c>
      <c r="G1493">
        <v>17603372</v>
      </c>
      <c r="H1493">
        <v>566251</v>
      </c>
      <c r="I1493">
        <v>21751158</v>
      </c>
      <c r="J1493">
        <v>22</v>
      </c>
      <c r="K1493">
        <v>1</v>
      </c>
      <c r="L1493">
        <v>1</v>
      </c>
      <c r="M1493" t="s">
        <v>6370</v>
      </c>
    </row>
    <row r="1494" spans="1:13">
      <c r="A1494" t="s">
        <v>4157</v>
      </c>
      <c r="B1494" t="s">
        <v>449</v>
      </c>
      <c r="C1494">
        <v>44848</v>
      </c>
      <c r="D1494">
        <v>101717995</v>
      </c>
      <c r="E1494">
        <v>43236</v>
      </c>
      <c r="F1494">
        <v>61</v>
      </c>
      <c r="G1494">
        <v>28422099</v>
      </c>
      <c r="H1494">
        <v>327967</v>
      </c>
      <c r="I1494">
        <v>15743</v>
      </c>
      <c r="J1494">
        <v>18</v>
      </c>
      <c r="K1494">
        <v>932</v>
      </c>
      <c r="L1494">
        <v>1</v>
      </c>
      <c r="M1494" t="s">
        <v>6370</v>
      </c>
    </row>
    <row r="1495" spans="1:13">
      <c r="A1495" t="s">
        <v>4158</v>
      </c>
      <c r="B1495" t="s">
        <v>4159</v>
      </c>
      <c r="C1495">
        <v>41640</v>
      </c>
      <c r="D1495">
        <v>1336196012</v>
      </c>
      <c r="E1495">
        <v>120161</v>
      </c>
      <c r="F1495">
        <v>72</v>
      </c>
      <c r="G1495">
        <v>321959140</v>
      </c>
      <c r="H1495">
        <v>3114933</v>
      </c>
      <c r="I1495">
        <v>243157936</v>
      </c>
      <c r="J1495">
        <v>164</v>
      </c>
      <c r="K1495">
        <v>140</v>
      </c>
      <c r="L1495">
        <v>0</v>
      </c>
      <c r="M1495" t="s">
        <v>6371</v>
      </c>
    </row>
    <row r="1496" spans="1:13">
      <c r="A1496" t="s">
        <v>4160</v>
      </c>
      <c r="B1496" t="s">
        <v>127</v>
      </c>
      <c r="C1496">
        <v>42699</v>
      </c>
      <c r="D1496">
        <v>1015965940</v>
      </c>
      <c r="E1496">
        <v>125348</v>
      </c>
      <c r="F1496">
        <v>77</v>
      </c>
      <c r="G1496">
        <v>530807213</v>
      </c>
      <c r="H1496">
        <v>3439489</v>
      </c>
      <c r="I1496">
        <v>445032303</v>
      </c>
      <c r="J1496">
        <v>56</v>
      </c>
      <c r="K1496">
        <v>68</v>
      </c>
      <c r="L1496">
        <v>1</v>
      </c>
      <c r="M1496" t="s">
        <v>6371</v>
      </c>
    </row>
    <row r="1497" spans="1:13">
      <c r="A1497" t="s">
        <v>4170</v>
      </c>
      <c r="B1497" t="s">
        <v>1645</v>
      </c>
      <c r="C1497">
        <v>45135</v>
      </c>
      <c r="D1497">
        <v>58058696</v>
      </c>
      <c r="E1497">
        <v>20289</v>
      </c>
      <c r="F1497">
        <v>56</v>
      </c>
      <c r="G1497">
        <v>31124272</v>
      </c>
      <c r="H1497">
        <v>674922</v>
      </c>
      <c r="I1497">
        <v>62820921</v>
      </c>
      <c r="J1497">
        <v>18</v>
      </c>
      <c r="K1497">
        <v>359</v>
      </c>
      <c r="L1497">
        <v>1</v>
      </c>
      <c r="M1497" t="s">
        <v>6370</v>
      </c>
    </row>
    <row r="1498" spans="1:13">
      <c r="A1498" t="s">
        <v>4171</v>
      </c>
      <c r="B1498" t="s">
        <v>167</v>
      </c>
      <c r="C1498">
        <v>44385</v>
      </c>
      <c r="D1498">
        <v>237619076</v>
      </c>
      <c r="E1498">
        <v>109634</v>
      </c>
      <c r="F1498">
        <v>61</v>
      </c>
      <c r="G1498">
        <v>83880421</v>
      </c>
      <c r="H1498">
        <v>827499</v>
      </c>
      <c r="I1498">
        <v>121310762</v>
      </c>
      <c r="J1498">
        <v>68</v>
      </c>
      <c r="K1498">
        <v>6</v>
      </c>
      <c r="L1498">
        <v>1</v>
      </c>
      <c r="M1498" t="s">
        <v>6370</v>
      </c>
    </row>
    <row r="1499" spans="1:13">
      <c r="A1499" t="s">
        <v>4176</v>
      </c>
      <c r="B1499" t="s">
        <v>4177</v>
      </c>
      <c r="C1499">
        <v>45041</v>
      </c>
      <c r="D1499">
        <v>156994096</v>
      </c>
      <c r="E1499">
        <v>14231</v>
      </c>
      <c r="F1499">
        <v>61</v>
      </c>
      <c r="G1499">
        <v>147699486</v>
      </c>
      <c r="H1499">
        <v>22687</v>
      </c>
      <c r="I1499">
        <v>180459570</v>
      </c>
      <c r="J1499">
        <v>17</v>
      </c>
      <c r="K1499">
        <v>18</v>
      </c>
      <c r="L1499">
        <v>0</v>
      </c>
      <c r="M1499" t="s">
        <v>6370</v>
      </c>
    </row>
    <row r="1500" spans="1:13">
      <c r="A1500" t="s">
        <v>4181</v>
      </c>
      <c r="B1500" t="s">
        <v>3165</v>
      </c>
      <c r="C1500">
        <v>43389</v>
      </c>
      <c r="D1500">
        <v>987061577</v>
      </c>
      <c r="E1500">
        <v>170786</v>
      </c>
      <c r="F1500">
        <v>73</v>
      </c>
      <c r="G1500">
        <v>118458946</v>
      </c>
      <c r="H1500">
        <v>1182389</v>
      </c>
      <c r="I1500">
        <v>219224269</v>
      </c>
      <c r="J1500">
        <v>164</v>
      </c>
      <c r="K1500">
        <v>178</v>
      </c>
      <c r="L1500">
        <v>0</v>
      </c>
      <c r="M1500" t="s">
        <v>6371</v>
      </c>
    </row>
    <row r="1501" spans="1:13">
      <c r="A1501" t="s">
        <v>4182</v>
      </c>
      <c r="B1501" t="s">
        <v>4183</v>
      </c>
      <c r="C1501">
        <v>45128</v>
      </c>
      <c r="D1501">
        <v>48581084</v>
      </c>
      <c r="E1501">
        <v>11373</v>
      </c>
      <c r="F1501">
        <v>65</v>
      </c>
      <c r="G1501">
        <v>35448614</v>
      </c>
      <c r="H1501">
        <v>206819</v>
      </c>
      <c r="I1501">
        <v>270727164</v>
      </c>
      <c r="J1501">
        <v>38</v>
      </c>
      <c r="K1501">
        <v>9</v>
      </c>
      <c r="L1501">
        <v>0</v>
      </c>
      <c r="M1501" t="s">
        <v>6370</v>
      </c>
    </row>
    <row r="1502" spans="1:13">
      <c r="A1502" t="s">
        <v>4188</v>
      </c>
      <c r="B1502" t="s">
        <v>4189</v>
      </c>
      <c r="C1502">
        <v>43677</v>
      </c>
      <c r="D1502">
        <v>977870118</v>
      </c>
      <c r="E1502">
        <v>115565</v>
      </c>
      <c r="F1502">
        <v>80</v>
      </c>
      <c r="G1502">
        <v>122949402</v>
      </c>
      <c r="H1502">
        <v>1540598</v>
      </c>
      <c r="I1502">
        <v>348624319</v>
      </c>
      <c r="J1502">
        <v>64</v>
      </c>
      <c r="K1502">
        <v>257</v>
      </c>
      <c r="L1502">
        <v>0</v>
      </c>
      <c r="M1502" t="s">
        <v>6371</v>
      </c>
    </row>
    <row r="1503" spans="1:13">
      <c r="A1503" t="s">
        <v>4190</v>
      </c>
      <c r="B1503" t="s">
        <v>258</v>
      </c>
      <c r="C1503">
        <v>42881</v>
      </c>
      <c r="D1503">
        <v>433482670</v>
      </c>
      <c r="E1503">
        <v>36243</v>
      </c>
      <c r="F1503">
        <v>62</v>
      </c>
      <c r="G1503">
        <v>1080335262</v>
      </c>
      <c r="H1503">
        <v>3910533</v>
      </c>
      <c r="I1503">
        <v>415634670</v>
      </c>
      <c r="J1503">
        <v>49</v>
      </c>
      <c r="K1503">
        <v>59</v>
      </c>
      <c r="L1503">
        <v>0</v>
      </c>
      <c r="M1503" t="s">
        <v>6371</v>
      </c>
    </row>
    <row r="1504" spans="1:13">
      <c r="A1504" t="s">
        <v>4193</v>
      </c>
      <c r="B1504" t="s">
        <v>2267</v>
      </c>
      <c r="C1504">
        <v>42216</v>
      </c>
      <c r="D1504">
        <v>1125333823</v>
      </c>
      <c r="E1504">
        <v>110189</v>
      </c>
      <c r="F1504">
        <v>76</v>
      </c>
      <c r="G1504">
        <v>1124359897</v>
      </c>
      <c r="H1504">
        <v>10115690</v>
      </c>
      <c r="I1504">
        <v>175883717</v>
      </c>
      <c r="J1504">
        <v>88</v>
      </c>
      <c r="K1504">
        <v>89</v>
      </c>
      <c r="L1504">
        <v>0</v>
      </c>
      <c r="M1504" t="s">
        <v>6371</v>
      </c>
    </row>
    <row r="1505" spans="1:13">
      <c r="A1505" t="s">
        <v>4197</v>
      </c>
      <c r="B1505" t="s">
        <v>4198</v>
      </c>
      <c r="C1505">
        <v>43903</v>
      </c>
      <c r="D1505">
        <v>609716786</v>
      </c>
      <c r="E1505">
        <v>136864</v>
      </c>
      <c r="F1505">
        <v>69</v>
      </c>
      <c r="G1505">
        <v>280056</v>
      </c>
      <c r="H1505">
        <v>4102</v>
      </c>
      <c r="I1505">
        <v>1195714328</v>
      </c>
      <c r="J1505">
        <v>57</v>
      </c>
      <c r="K1505">
        <v>1626</v>
      </c>
      <c r="L1505">
        <v>1</v>
      </c>
      <c r="M1505" t="s">
        <v>6371</v>
      </c>
    </row>
    <row r="1506" spans="1:13">
      <c r="A1506" t="s">
        <v>4199</v>
      </c>
      <c r="B1506" t="s">
        <v>4200</v>
      </c>
      <c r="C1506">
        <v>45079</v>
      </c>
      <c r="D1506">
        <v>8470479</v>
      </c>
      <c r="E1506">
        <v>2776</v>
      </c>
      <c r="F1506">
        <v>43</v>
      </c>
      <c r="G1506">
        <v>8291412</v>
      </c>
      <c r="H1506">
        <v>112395</v>
      </c>
      <c r="I1506">
        <v>503891783</v>
      </c>
      <c r="J1506">
        <v>2</v>
      </c>
      <c r="K1506">
        <v>11</v>
      </c>
      <c r="L1506">
        <v>1</v>
      </c>
      <c r="M1506" t="s">
        <v>6370</v>
      </c>
    </row>
    <row r="1507" spans="1:13">
      <c r="A1507" t="s">
        <v>4201</v>
      </c>
      <c r="B1507" t="s">
        <v>311</v>
      </c>
      <c r="C1507">
        <v>44531</v>
      </c>
      <c r="D1507">
        <v>344658498</v>
      </c>
      <c r="E1507">
        <v>61117</v>
      </c>
      <c r="F1507">
        <v>65</v>
      </c>
      <c r="G1507">
        <v>114495950</v>
      </c>
      <c r="H1507">
        <v>2357556</v>
      </c>
      <c r="I1507">
        <v>1514925086</v>
      </c>
      <c r="J1507">
        <v>58</v>
      </c>
      <c r="K1507">
        <v>97</v>
      </c>
      <c r="L1507">
        <v>0</v>
      </c>
      <c r="M1507" t="s">
        <v>6370</v>
      </c>
    </row>
    <row r="1508" spans="1:13">
      <c r="A1508" t="s">
        <v>4204</v>
      </c>
      <c r="B1508" t="s">
        <v>4205</v>
      </c>
      <c r="C1508">
        <v>40544</v>
      </c>
      <c r="D1508">
        <v>1318596835</v>
      </c>
      <c r="E1508">
        <v>240081</v>
      </c>
      <c r="F1508">
        <v>74</v>
      </c>
      <c r="G1508">
        <v>1141964928</v>
      </c>
      <c r="H1508">
        <v>11343690</v>
      </c>
      <c r="I1508">
        <v>1056131649</v>
      </c>
      <c r="J1508">
        <v>43</v>
      </c>
      <c r="K1508">
        <v>42</v>
      </c>
      <c r="L1508">
        <v>0</v>
      </c>
      <c r="M1508" t="s">
        <v>6371</v>
      </c>
    </row>
    <row r="1509" spans="1:13">
      <c r="A1509" t="s">
        <v>4215</v>
      </c>
      <c r="B1509" t="s">
        <v>4216</v>
      </c>
      <c r="C1509">
        <v>42216</v>
      </c>
      <c r="D1509">
        <v>497826683</v>
      </c>
      <c r="E1509">
        <v>86867</v>
      </c>
      <c r="F1509">
        <v>64</v>
      </c>
      <c r="G1509">
        <v>83526342</v>
      </c>
      <c r="H1509">
        <v>699022</v>
      </c>
      <c r="I1509">
        <v>178226220</v>
      </c>
      <c r="J1509">
        <v>4</v>
      </c>
      <c r="K1509">
        <v>8</v>
      </c>
      <c r="L1509">
        <v>1</v>
      </c>
      <c r="M1509" t="s">
        <v>6371</v>
      </c>
    </row>
    <row r="1510" spans="1:13">
      <c r="A1510" t="s">
        <v>4217</v>
      </c>
      <c r="B1510" t="s">
        <v>1199</v>
      </c>
      <c r="C1510">
        <v>44385</v>
      </c>
      <c r="D1510">
        <v>472107491</v>
      </c>
      <c r="E1510">
        <v>65462</v>
      </c>
      <c r="F1510">
        <v>63</v>
      </c>
      <c r="G1510">
        <v>221630313</v>
      </c>
      <c r="H1510">
        <v>1721936</v>
      </c>
      <c r="I1510">
        <v>295962547</v>
      </c>
      <c r="J1510">
        <v>25</v>
      </c>
      <c r="K1510">
        <v>31</v>
      </c>
      <c r="L1510">
        <v>0</v>
      </c>
      <c r="M1510" t="s">
        <v>6370</v>
      </c>
    </row>
    <row r="1511" spans="1:13">
      <c r="A1511" t="s">
        <v>4218</v>
      </c>
      <c r="B1511" t="s">
        <v>28</v>
      </c>
      <c r="C1511">
        <v>43343</v>
      </c>
      <c r="D1511">
        <v>709560621</v>
      </c>
      <c r="E1511">
        <v>98164</v>
      </c>
      <c r="F1511">
        <v>68</v>
      </c>
      <c r="G1511">
        <v>478624672</v>
      </c>
      <c r="H1511">
        <v>5771617</v>
      </c>
      <c r="I1511">
        <v>19887287</v>
      </c>
      <c r="J1511">
        <v>48</v>
      </c>
      <c r="K1511">
        <v>15</v>
      </c>
      <c r="L1511">
        <v>1</v>
      </c>
      <c r="M1511" t="s">
        <v>6371</v>
      </c>
    </row>
    <row r="1512" spans="1:13">
      <c r="A1512" t="s">
        <v>4220</v>
      </c>
      <c r="B1512" t="s">
        <v>4137</v>
      </c>
      <c r="C1512">
        <v>44755</v>
      </c>
      <c r="D1512">
        <v>118971684</v>
      </c>
      <c r="E1512">
        <v>31855</v>
      </c>
      <c r="F1512">
        <v>63</v>
      </c>
      <c r="G1512">
        <v>14545093</v>
      </c>
      <c r="H1512">
        <v>88499</v>
      </c>
      <c r="I1512">
        <v>169166011</v>
      </c>
      <c r="J1512">
        <v>53</v>
      </c>
      <c r="K1512">
        <v>6</v>
      </c>
      <c r="L1512">
        <v>1</v>
      </c>
      <c r="M1512" t="s">
        <v>6370</v>
      </c>
    </row>
    <row r="1513" spans="1:13">
      <c r="A1513" t="s">
        <v>4221</v>
      </c>
      <c r="B1513" t="s">
        <v>4222</v>
      </c>
      <c r="C1513">
        <v>44757</v>
      </c>
      <c r="D1513">
        <v>230129740</v>
      </c>
      <c r="E1513">
        <v>56091</v>
      </c>
      <c r="F1513">
        <v>72</v>
      </c>
      <c r="G1513">
        <v>34590747</v>
      </c>
      <c r="H1513">
        <v>614842</v>
      </c>
      <c r="I1513">
        <v>369833975</v>
      </c>
      <c r="J1513">
        <v>13</v>
      </c>
      <c r="K1513">
        <v>131</v>
      </c>
      <c r="L1513">
        <v>0</v>
      </c>
      <c r="M1513" t="s">
        <v>6370</v>
      </c>
    </row>
    <row r="1514" spans="1:13">
      <c r="A1514" t="s">
        <v>4223</v>
      </c>
      <c r="B1514" t="s">
        <v>4224</v>
      </c>
      <c r="C1514">
        <v>44684</v>
      </c>
      <c r="D1514">
        <v>68460285</v>
      </c>
      <c r="E1514">
        <v>16340</v>
      </c>
      <c r="F1514">
        <v>54</v>
      </c>
      <c r="G1514">
        <v>107349472</v>
      </c>
      <c r="H1514">
        <v>1053855</v>
      </c>
      <c r="I1514">
        <v>301331608</v>
      </c>
      <c r="J1514">
        <v>21</v>
      </c>
      <c r="K1514">
        <v>976</v>
      </c>
      <c r="L1514">
        <v>1</v>
      </c>
      <c r="M1514" t="s">
        <v>6370</v>
      </c>
    </row>
    <row r="1515" spans="1:13">
      <c r="A1515" t="s">
        <v>4226</v>
      </c>
      <c r="B1515" t="s">
        <v>3399</v>
      </c>
      <c r="C1515">
        <v>43672</v>
      </c>
      <c r="D1515">
        <v>728920951</v>
      </c>
      <c r="E1515">
        <v>143829</v>
      </c>
      <c r="F1515">
        <v>74</v>
      </c>
      <c r="G1515">
        <v>168855750</v>
      </c>
      <c r="H1515">
        <v>2336018</v>
      </c>
      <c r="I1515">
        <v>313505897</v>
      </c>
      <c r="J1515">
        <v>75</v>
      </c>
      <c r="K1515">
        <v>179</v>
      </c>
      <c r="L1515">
        <v>0</v>
      </c>
      <c r="M1515" t="s">
        <v>6371</v>
      </c>
    </row>
    <row r="1516" spans="1:13">
      <c r="A1516" t="s">
        <v>4229</v>
      </c>
      <c r="B1516" t="s">
        <v>1949</v>
      </c>
      <c r="C1516">
        <v>43742</v>
      </c>
      <c r="D1516">
        <v>321892912</v>
      </c>
      <c r="E1516">
        <v>74664</v>
      </c>
      <c r="F1516">
        <v>62</v>
      </c>
      <c r="G1516">
        <v>71926168</v>
      </c>
      <c r="H1516">
        <v>1129180</v>
      </c>
      <c r="I1516">
        <v>11338513351</v>
      </c>
      <c r="J1516">
        <v>16</v>
      </c>
      <c r="K1516">
        <v>162</v>
      </c>
      <c r="L1516">
        <v>0</v>
      </c>
      <c r="M1516" t="s">
        <v>6371</v>
      </c>
    </row>
    <row r="1517" spans="1:13">
      <c r="A1517" t="s">
        <v>4233</v>
      </c>
      <c r="B1517" t="s">
        <v>19</v>
      </c>
      <c r="C1517">
        <v>44694</v>
      </c>
      <c r="D1517">
        <v>151507054</v>
      </c>
      <c r="E1517">
        <v>63279</v>
      </c>
      <c r="F1517">
        <v>63</v>
      </c>
      <c r="G1517">
        <v>46312741</v>
      </c>
      <c r="H1517">
        <v>658950</v>
      </c>
      <c r="I1517">
        <v>19198685</v>
      </c>
      <c r="J1517">
        <v>24</v>
      </c>
      <c r="K1517">
        <v>663</v>
      </c>
      <c r="L1517">
        <v>1</v>
      </c>
      <c r="M1517" t="s">
        <v>6370</v>
      </c>
    </row>
    <row r="1518" spans="1:13">
      <c r="A1518" t="s">
        <v>1222</v>
      </c>
      <c r="B1518" t="s">
        <v>411</v>
      </c>
      <c r="C1518">
        <v>44774</v>
      </c>
      <c r="D1518">
        <v>384965888</v>
      </c>
      <c r="E1518">
        <v>32389</v>
      </c>
      <c r="F1518">
        <v>72</v>
      </c>
      <c r="G1518">
        <v>174618135</v>
      </c>
      <c r="H1518">
        <v>3601820</v>
      </c>
      <c r="I1518">
        <v>745435770</v>
      </c>
      <c r="J1518">
        <v>18</v>
      </c>
      <c r="K1518">
        <v>16</v>
      </c>
      <c r="L1518">
        <v>0</v>
      </c>
      <c r="M1518" t="s">
        <v>6370</v>
      </c>
    </row>
    <row r="1519" spans="1:13">
      <c r="A1519" t="s">
        <v>4249</v>
      </c>
      <c r="B1519" t="s">
        <v>459</v>
      </c>
      <c r="C1519">
        <v>43888</v>
      </c>
      <c r="D1519">
        <v>606603985</v>
      </c>
      <c r="E1519">
        <v>69772</v>
      </c>
      <c r="F1519">
        <v>68</v>
      </c>
      <c r="G1519">
        <v>411037239</v>
      </c>
      <c r="H1519">
        <v>3771065</v>
      </c>
      <c r="I1519">
        <v>118448922</v>
      </c>
      <c r="J1519">
        <v>117</v>
      </c>
      <c r="K1519">
        <v>470</v>
      </c>
      <c r="L1519">
        <v>0</v>
      </c>
      <c r="M1519" t="s">
        <v>6371</v>
      </c>
    </row>
    <row r="1520" spans="1:13">
      <c r="A1520" t="s">
        <v>4250</v>
      </c>
      <c r="B1520" t="s">
        <v>311</v>
      </c>
      <c r="C1520">
        <v>44106</v>
      </c>
      <c r="D1520">
        <v>595220757</v>
      </c>
      <c r="E1520">
        <v>70162</v>
      </c>
      <c r="F1520">
        <v>63</v>
      </c>
      <c r="G1520">
        <v>147218521</v>
      </c>
      <c r="H1520">
        <v>3004385</v>
      </c>
      <c r="I1520">
        <v>783096025</v>
      </c>
      <c r="J1520">
        <v>123</v>
      </c>
      <c r="K1520">
        <v>207</v>
      </c>
      <c r="L1520">
        <v>0</v>
      </c>
      <c r="M1520" t="s">
        <v>6371</v>
      </c>
    </row>
    <row r="1521" spans="1:13">
      <c r="A1521" t="s">
        <v>4253</v>
      </c>
      <c r="B1521" t="s">
        <v>484</v>
      </c>
      <c r="C1521">
        <v>45142</v>
      </c>
      <c r="D1521">
        <v>96105220</v>
      </c>
      <c r="E1521">
        <v>17341</v>
      </c>
      <c r="F1521">
        <v>60</v>
      </c>
      <c r="G1521">
        <v>40245884</v>
      </c>
      <c r="H1521">
        <v>594327</v>
      </c>
      <c r="I1521">
        <v>531122265</v>
      </c>
      <c r="J1521">
        <v>16</v>
      </c>
      <c r="K1521">
        <v>69</v>
      </c>
      <c r="L1521">
        <v>1</v>
      </c>
      <c r="M1521" t="s">
        <v>6370</v>
      </c>
    </row>
    <row r="1522" spans="1:13">
      <c r="A1522" t="s">
        <v>4254</v>
      </c>
      <c r="B1522" t="s">
        <v>4255</v>
      </c>
      <c r="C1522">
        <v>40544</v>
      </c>
      <c r="D1522">
        <v>1081517243</v>
      </c>
      <c r="E1522">
        <v>260318</v>
      </c>
      <c r="F1522">
        <v>72</v>
      </c>
      <c r="G1522">
        <v>82397805</v>
      </c>
      <c r="H1522">
        <v>1125466</v>
      </c>
      <c r="I1522">
        <v>1010922723</v>
      </c>
      <c r="J1522">
        <v>171</v>
      </c>
      <c r="K1522">
        <v>154</v>
      </c>
      <c r="L1522">
        <v>0</v>
      </c>
      <c r="M1522" t="s">
        <v>6371</v>
      </c>
    </row>
    <row r="1523" spans="1:13">
      <c r="A1523" t="s">
        <v>4256</v>
      </c>
      <c r="B1523" t="s">
        <v>221</v>
      </c>
      <c r="C1523">
        <v>43777</v>
      </c>
      <c r="D1523">
        <v>356603747</v>
      </c>
      <c r="E1523">
        <v>49050</v>
      </c>
      <c r="F1523">
        <v>69</v>
      </c>
      <c r="G1523">
        <v>177522757</v>
      </c>
      <c r="H1523">
        <v>963031</v>
      </c>
      <c r="I1523">
        <v>290236180</v>
      </c>
      <c r="J1523">
        <v>22</v>
      </c>
      <c r="K1523">
        <v>30</v>
      </c>
      <c r="L1523">
        <v>0</v>
      </c>
      <c r="M1523" t="s">
        <v>6371</v>
      </c>
    </row>
    <row r="1524" spans="1:13">
      <c r="A1524" t="s">
        <v>4257</v>
      </c>
      <c r="B1524" t="s">
        <v>1296</v>
      </c>
      <c r="C1524">
        <v>44301</v>
      </c>
      <c r="D1524">
        <v>266525796</v>
      </c>
      <c r="E1524">
        <v>49242</v>
      </c>
      <c r="F1524">
        <v>57</v>
      </c>
      <c r="G1524">
        <v>195376978</v>
      </c>
      <c r="H1524">
        <v>1221210</v>
      </c>
      <c r="I1524">
        <v>1268200579</v>
      </c>
      <c r="J1524">
        <v>37</v>
      </c>
      <c r="K1524">
        <v>23</v>
      </c>
      <c r="L1524">
        <v>0</v>
      </c>
      <c r="M1524" t="s">
        <v>6370</v>
      </c>
    </row>
    <row r="1525" spans="1:13">
      <c r="A1525" t="s">
        <v>4259</v>
      </c>
      <c r="B1525" t="s">
        <v>4260</v>
      </c>
      <c r="C1525">
        <v>44953</v>
      </c>
      <c r="D1525">
        <v>238841927</v>
      </c>
      <c r="E1525">
        <v>21346</v>
      </c>
      <c r="F1525">
        <v>81</v>
      </c>
      <c r="G1525">
        <v>116840454</v>
      </c>
      <c r="H1525">
        <v>948904</v>
      </c>
      <c r="I1525">
        <v>75170850</v>
      </c>
      <c r="J1525">
        <v>25</v>
      </c>
      <c r="K1525">
        <v>3</v>
      </c>
      <c r="L1525">
        <v>0</v>
      </c>
      <c r="M1525" t="s">
        <v>6370</v>
      </c>
    </row>
    <row r="1526" spans="1:13">
      <c r="A1526" t="s">
        <v>4262</v>
      </c>
      <c r="B1526" t="s">
        <v>459</v>
      </c>
      <c r="C1526">
        <v>42178</v>
      </c>
      <c r="D1526">
        <v>521328627</v>
      </c>
      <c r="E1526">
        <v>64734</v>
      </c>
      <c r="F1526">
        <v>70</v>
      </c>
      <c r="G1526">
        <v>1067816466</v>
      </c>
      <c r="H1526">
        <v>5198462</v>
      </c>
      <c r="I1526">
        <v>122727381</v>
      </c>
      <c r="J1526">
        <v>125</v>
      </c>
      <c r="K1526">
        <v>519</v>
      </c>
      <c r="L1526">
        <v>0</v>
      </c>
      <c r="M1526" t="s">
        <v>6371</v>
      </c>
    </row>
    <row r="1527" spans="1:13">
      <c r="A1527" t="s">
        <v>4264</v>
      </c>
      <c r="B1527" t="s">
        <v>1013</v>
      </c>
      <c r="C1527">
        <v>44371</v>
      </c>
      <c r="D1527">
        <v>571325612</v>
      </c>
      <c r="E1527">
        <v>91249</v>
      </c>
      <c r="F1527">
        <v>66</v>
      </c>
      <c r="G1527">
        <v>71477120</v>
      </c>
      <c r="H1527">
        <v>340270</v>
      </c>
      <c r="I1527">
        <v>20390</v>
      </c>
      <c r="J1527">
        <v>89</v>
      </c>
      <c r="K1527">
        <v>11</v>
      </c>
      <c r="L1527">
        <v>1</v>
      </c>
      <c r="M1527" t="s">
        <v>6370</v>
      </c>
    </row>
    <row r="1528" spans="1:13">
      <c r="A1528" t="s">
        <v>4270</v>
      </c>
      <c r="B1528" t="s">
        <v>295</v>
      </c>
      <c r="C1528">
        <v>42267</v>
      </c>
      <c r="D1528">
        <v>820380309</v>
      </c>
      <c r="E1528">
        <v>115960</v>
      </c>
      <c r="F1528">
        <v>64</v>
      </c>
      <c r="G1528">
        <v>148373482</v>
      </c>
      <c r="H1528">
        <v>954330</v>
      </c>
      <c r="I1528">
        <v>33118908</v>
      </c>
      <c r="J1528">
        <v>187</v>
      </c>
      <c r="K1528">
        <v>16</v>
      </c>
      <c r="L1528">
        <v>1</v>
      </c>
      <c r="M1528" t="s">
        <v>6371</v>
      </c>
    </row>
    <row r="1529" spans="1:13">
      <c r="A1529" t="s">
        <v>4274</v>
      </c>
      <c r="B1529" t="s">
        <v>216</v>
      </c>
      <c r="C1529">
        <v>44351</v>
      </c>
      <c r="D1529">
        <v>257661585</v>
      </c>
      <c r="E1529">
        <v>97161</v>
      </c>
      <c r="F1529">
        <v>56</v>
      </c>
      <c r="G1529">
        <v>23225337</v>
      </c>
      <c r="H1529">
        <v>276490</v>
      </c>
      <c r="I1529">
        <v>187075625</v>
      </c>
      <c r="J1529">
        <v>102</v>
      </c>
      <c r="K1529">
        <v>559</v>
      </c>
      <c r="L1529">
        <v>1</v>
      </c>
      <c r="M1529" t="s">
        <v>6370</v>
      </c>
    </row>
    <row r="1530" spans="1:13">
      <c r="A1530" t="s">
        <v>4276</v>
      </c>
      <c r="B1530" t="s">
        <v>4277</v>
      </c>
      <c r="C1530">
        <v>44130</v>
      </c>
      <c r="D1530">
        <v>335188091</v>
      </c>
      <c r="E1530">
        <v>86549</v>
      </c>
      <c r="F1530">
        <v>61</v>
      </c>
      <c r="G1530">
        <v>122687107</v>
      </c>
      <c r="H1530">
        <v>2529521</v>
      </c>
      <c r="I1530">
        <v>3434097182</v>
      </c>
      <c r="J1530">
        <v>54</v>
      </c>
      <c r="K1530">
        <v>119</v>
      </c>
      <c r="L1530">
        <v>1</v>
      </c>
      <c r="M1530" t="s">
        <v>6371</v>
      </c>
    </row>
    <row r="1531" spans="1:13">
      <c r="A1531" t="s">
        <v>4278</v>
      </c>
      <c r="B1531" t="s">
        <v>4021</v>
      </c>
      <c r="C1531">
        <v>40544</v>
      </c>
      <c r="D1531">
        <v>886640358</v>
      </c>
      <c r="E1531">
        <v>144242</v>
      </c>
      <c r="F1531">
        <v>76</v>
      </c>
      <c r="G1531">
        <v>692934603</v>
      </c>
      <c r="H1531">
        <v>2793210</v>
      </c>
      <c r="I1531">
        <v>42235895</v>
      </c>
      <c r="J1531">
        <v>86</v>
      </c>
      <c r="K1531">
        <v>42</v>
      </c>
      <c r="L1531">
        <v>0</v>
      </c>
      <c r="M1531" t="s">
        <v>6371</v>
      </c>
    </row>
    <row r="1532" spans="1:13">
      <c r="A1532" t="s">
        <v>4279</v>
      </c>
      <c r="B1532" t="s">
        <v>4280</v>
      </c>
      <c r="C1532">
        <v>43693</v>
      </c>
      <c r="D1532">
        <v>548333714</v>
      </c>
      <c r="E1532">
        <v>58410</v>
      </c>
      <c r="F1532">
        <v>77</v>
      </c>
      <c r="G1532">
        <v>191331224</v>
      </c>
      <c r="H1532">
        <v>1256178</v>
      </c>
      <c r="I1532">
        <v>256819834</v>
      </c>
      <c r="J1532">
        <v>35</v>
      </c>
      <c r="K1532">
        <v>26</v>
      </c>
      <c r="L1532">
        <v>1</v>
      </c>
      <c r="M1532" t="s">
        <v>6371</v>
      </c>
    </row>
    <row r="1533" spans="1:13">
      <c r="A1533" t="s">
        <v>4281</v>
      </c>
      <c r="B1533" t="s">
        <v>4067</v>
      </c>
      <c r="C1533">
        <v>45138</v>
      </c>
      <c r="D1533">
        <v>73213687</v>
      </c>
      <c r="E1533">
        <v>7423</v>
      </c>
      <c r="F1533">
        <v>62</v>
      </c>
      <c r="G1533">
        <v>132379481</v>
      </c>
      <c r="H1533">
        <v>1601412</v>
      </c>
      <c r="I1533">
        <v>348717938</v>
      </c>
      <c r="J1533">
        <v>8</v>
      </c>
      <c r="K1533">
        <v>11</v>
      </c>
      <c r="L1533">
        <v>0</v>
      </c>
      <c r="M1533" t="s">
        <v>6370</v>
      </c>
    </row>
    <row r="1534" spans="1:13">
      <c r="A1534" t="s">
        <v>4282</v>
      </c>
      <c r="B1534" t="s">
        <v>4283</v>
      </c>
      <c r="C1534">
        <v>44519</v>
      </c>
      <c r="D1534">
        <v>257984057</v>
      </c>
      <c r="E1534">
        <v>57742</v>
      </c>
      <c r="F1534">
        <v>62</v>
      </c>
      <c r="G1534">
        <v>23407759</v>
      </c>
      <c r="H1534">
        <v>341367</v>
      </c>
      <c r="I1534">
        <v>2037905390</v>
      </c>
      <c r="J1534">
        <v>28</v>
      </c>
      <c r="K1534">
        <v>455</v>
      </c>
      <c r="L1534">
        <v>1</v>
      </c>
      <c r="M1534" t="s">
        <v>6370</v>
      </c>
    </row>
    <row r="1535" spans="1:13">
      <c r="A1535" t="s">
        <v>4285</v>
      </c>
      <c r="B1535" t="s">
        <v>4286</v>
      </c>
      <c r="C1535">
        <v>44659</v>
      </c>
      <c r="D1535">
        <v>331332225</v>
      </c>
      <c r="E1535">
        <v>63568</v>
      </c>
      <c r="F1535">
        <v>71</v>
      </c>
      <c r="G1535">
        <v>48857418</v>
      </c>
      <c r="H1535">
        <v>519822</v>
      </c>
      <c r="I1535">
        <v>1181420700</v>
      </c>
      <c r="J1535">
        <v>60</v>
      </c>
      <c r="K1535">
        <v>192</v>
      </c>
      <c r="L1535">
        <v>0</v>
      </c>
      <c r="M1535" t="s">
        <v>6370</v>
      </c>
    </row>
    <row r="1536" spans="1:13">
      <c r="A1536" t="s">
        <v>4287</v>
      </c>
      <c r="B1536" t="s">
        <v>4288</v>
      </c>
      <c r="C1536">
        <v>43069</v>
      </c>
      <c r="D1536">
        <v>314089265</v>
      </c>
      <c r="E1536">
        <v>33163</v>
      </c>
      <c r="F1536">
        <v>58</v>
      </c>
      <c r="G1536">
        <v>355189118</v>
      </c>
      <c r="H1536">
        <v>4288854</v>
      </c>
      <c r="I1536">
        <v>940593293</v>
      </c>
      <c r="J1536">
        <v>18</v>
      </c>
      <c r="K1536">
        <v>1</v>
      </c>
      <c r="L1536">
        <v>0</v>
      </c>
      <c r="M1536" t="s">
        <v>6371</v>
      </c>
    </row>
    <row r="1537" spans="1:13">
      <c r="A1537" t="s">
        <v>4289</v>
      </c>
      <c r="B1537" t="s">
        <v>1030</v>
      </c>
      <c r="C1537">
        <v>44855</v>
      </c>
      <c r="D1537">
        <v>110545738</v>
      </c>
      <c r="E1537">
        <v>19914</v>
      </c>
      <c r="F1537">
        <v>62</v>
      </c>
      <c r="G1537">
        <v>23040928</v>
      </c>
      <c r="H1537">
        <v>130379</v>
      </c>
      <c r="I1537">
        <v>6584480</v>
      </c>
      <c r="J1537">
        <v>55</v>
      </c>
      <c r="K1537">
        <v>40</v>
      </c>
      <c r="L1537">
        <v>0</v>
      </c>
      <c r="M1537" t="s">
        <v>6370</v>
      </c>
    </row>
    <row r="1538" spans="1:13">
      <c r="A1538" t="s">
        <v>4290</v>
      </c>
      <c r="B1538" t="s">
        <v>4291</v>
      </c>
      <c r="C1538">
        <v>42709</v>
      </c>
      <c r="D1538">
        <v>968235402</v>
      </c>
      <c r="E1538">
        <v>159175</v>
      </c>
      <c r="F1538">
        <v>72</v>
      </c>
      <c r="G1538">
        <v>180977641</v>
      </c>
      <c r="H1538">
        <v>1207787</v>
      </c>
      <c r="I1538">
        <v>5826772</v>
      </c>
      <c r="J1538">
        <v>114</v>
      </c>
      <c r="K1538">
        <v>55</v>
      </c>
      <c r="L1538">
        <v>0</v>
      </c>
      <c r="M1538" t="s">
        <v>6371</v>
      </c>
    </row>
    <row r="1539" spans="1:13">
      <c r="A1539" t="s">
        <v>4295</v>
      </c>
      <c r="B1539" t="s">
        <v>2653</v>
      </c>
      <c r="C1539">
        <v>42859</v>
      </c>
      <c r="D1539">
        <v>946043494</v>
      </c>
      <c r="E1539">
        <v>75100</v>
      </c>
      <c r="F1539">
        <v>70</v>
      </c>
      <c r="G1539">
        <v>304206080</v>
      </c>
      <c r="H1539">
        <v>3528279</v>
      </c>
      <c r="I1539">
        <v>93693477</v>
      </c>
      <c r="J1539">
        <v>111</v>
      </c>
      <c r="K1539">
        <v>334</v>
      </c>
      <c r="L1539">
        <v>0</v>
      </c>
      <c r="M1539" t="s">
        <v>6371</v>
      </c>
    </row>
    <row r="1540" spans="1:13">
      <c r="A1540" t="s">
        <v>4296</v>
      </c>
      <c r="B1540" t="s">
        <v>301</v>
      </c>
      <c r="C1540">
        <v>44957</v>
      </c>
      <c r="D1540">
        <v>140137839</v>
      </c>
      <c r="E1540">
        <v>23619</v>
      </c>
      <c r="F1540">
        <v>64</v>
      </c>
      <c r="G1540">
        <v>22406782</v>
      </c>
      <c r="H1540">
        <v>129416</v>
      </c>
      <c r="I1540">
        <v>47494771</v>
      </c>
      <c r="J1540">
        <v>19</v>
      </c>
      <c r="K1540">
        <v>39</v>
      </c>
      <c r="L1540">
        <v>0</v>
      </c>
      <c r="M1540" t="s">
        <v>6370</v>
      </c>
    </row>
    <row r="1541" spans="1:13">
      <c r="A1541" t="s">
        <v>4297</v>
      </c>
      <c r="B1541" t="s">
        <v>590</v>
      </c>
      <c r="C1541">
        <v>44743</v>
      </c>
      <c r="D1541">
        <v>134909945</v>
      </c>
      <c r="E1541">
        <v>52025</v>
      </c>
      <c r="F1541">
        <v>62</v>
      </c>
      <c r="G1541">
        <v>84020549</v>
      </c>
      <c r="H1541">
        <v>655144</v>
      </c>
      <c r="I1541">
        <v>282521651</v>
      </c>
      <c r="J1541">
        <v>62</v>
      </c>
      <c r="K1541">
        <v>6</v>
      </c>
      <c r="L1541">
        <v>1</v>
      </c>
      <c r="M1541" t="s">
        <v>6370</v>
      </c>
    </row>
    <row r="1542" spans="1:13">
      <c r="A1542" t="s">
        <v>4299</v>
      </c>
      <c r="B1542" t="s">
        <v>1781</v>
      </c>
      <c r="C1542">
        <v>42839</v>
      </c>
      <c r="D1542">
        <v>834795353</v>
      </c>
      <c r="E1542">
        <v>187620</v>
      </c>
      <c r="F1542">
        <v>73</v>
      </c>
      <c r="G1542">
        <v>282798008</v>
      </c>
      <c r="H1542">
        <v>3373020</v>
      </c>
      <c r="I1542">
        <v>111426969</v>
      </c>
      <c r="J1542">
        <v>160</v>
      </c>
      <c r="K1542">
        <v>71</v>
      </c>
      <c r="L1542">
        <v>1</v>
      </c>
      <c r="M1542" t="s">
        <v>6371</v>
      </c>
    </row>
    <row r="1543" spans="1:13">
      <c r="A1543" t="s">
        <v>4302</v>
      </c>
      <c r="B1543" t="s">
        <v>479</v>
      </c>
      <c r="C1543">
        <v>39448</v>
      </c>
      <c r="D1543">
        <v>886077008</v>
      </c>
      <c r="E1543">
        <v>154757</v>
      </c>
      <c r="F1543">
        <v>69</v>
      </c>
      <c r="G1543">
        <v>1332106664</v>
      </c>
      <c r="H1543">
        <v>6819005</v>
      </c>
      <c r="I1543">
        <v>2238389974</v>
      </c>
      <c r="J1543">
        <v>80</v>
      </c>
      <c r="K1543">
        <v>248</v>
      </c>
      <c r="L1543">
        <v>0</v>
      </c>
      <c r="M1543" t="s">
        <v>6372</v>
      </c>
    </row>
    <row r="1544" spans="1:13">
      <c r="A1544" t="s">
        <v>4303</v>
      </c>
      <c r="B1544" t="s">
        <v>66</v>
      </c>
      <c r="C1544">
        <v>44701</v>
      </c>
      <c r="D1544">
        <v>502585349</v>
      </c>
      <c r="E1544">
        <v>64618</v>
      </c>
      <c r="F1544">
        <v>72</v>
      </c>
      <c r="G1544">
        <v>50100652</v>
      </c>
      <c r="H1544">
        <v>768251</v>
      </c>
      <c r="I1544">
        <v>395014106</v>
      </c>
      <c r="J1544">
        <v>33</v>
      </c>
      <c r="K1544">
        <v>80</v>
      </c>
      <c r="L1544">
        <v>0</v>
      </c>
      <c r="M1544" t="s">
        <v>6370</v>
      </c>
    </row>
    <row r="1545" spans="1:13">
      <c r="A1545" t="s">
        <v>4304</v>
      </c>
      <c r="B1545" t="s">
        <v>2728</v>
      </c>
      <c r="C1545">
        <v>41275</v>
      </c>
      <c r="D1545">
        <v>1687828519</v>
      </c>
      <c r="E1545">
        <v>272010</v>
      </c>
      <c r="F1545">
        <v>80</v>
      </c>
      <c r="G1545">
        <v>527397003</v>
      </c>
      <c r="H1545">
        <v>5344645</v>
      </c>
      <c r="I1545">
        <v>45596295</v>
      </c>
      <c r="J1545">
        <v>69</v>
      </c>
      <c r="K1545">
        <v>349</v>
      </c>
      <c r="L1545">
        <v>0</v>
      </c>
      <c r="M1545" t="s">
        <v>6371</v>
      </c>
    </row>
    <row r="1546" spans="1:13">
      <c r="A1546" t="s">
        <v>4305</v>
      </c>
      <c r="B1546" t="s">
        <v>285</v>
      </c>
      <c r="C1546">
        <v>40909</v>
      </c>
      <c r="D1546">
        <v>827079737</v>
      </c>
      <c r="E1546">
        <v>123017</v>
      </c>
      <c r="F1546">
        <v>74</v>
      </c>
      <c r="G1546">
        <v>1187480897</v>
      </c>
      <c r="H1546">
        <v>7482380</v>
      </c>
      <c r="I1546">
        <v>401762489</v>
      </c>
      <c r="J1546">
        <v>47</v>
      </c>
      <c r="K1546">
        <v>176</v>
      </c>
      <c r="L1546">
        <v>0</v>
      </c>
      <c r="M1546" t="s">
        <v>6371</v>
      </c>
    </row>
    <row r="1547" spans="1:13">
      <c r="A1547" t="s">
        <v>4313</v>
      </c>
      <c r="B1547" t="s">
        <v>330</v>
      </c>
      <c r="C1547">
        <v>43086</v>
      </c>
      <c r="D1547">
        <v>862685616</v>
      </c>
      <c r="E1547">
        <v>66559</v>
      </c>
      <c r="F1547">
        <v>71</v>
      </c>
      <c r="G1547">
        <v>508394938</v>
      </c>
      <c r="H1547">
        <v>5627488</v>
      </c>
      <c r="I1547">
        <v>665573579</v>
      </c>
      <c r="J1547">
        <v>97</v>
      </c>
      <c r="K1547">
        <v>147</v>
      </c>
      <c r="L1547">
        <v>0</v>
      </c>
      <c r="M1547" t="s">
        <v>6371</v>
      </c>
    </row>
    <row r="1548" spans="1:13">
      <c r="A1548" t="s">
        <v>4314</v>
      </c>
      <c r="B1548" t="s">
        <v>311</v>
      </c>
      <c r="C1548">
        <v>43245</v>
      </c>
      <c r="D1548">
        <v>1015502663</v>
      </c>
      <c r="E1548">
        <v>82046</v>
      </c>
      <c r="F1548">
        <v>67</v>
      </c>
      <c r="G1548">
        <v>290850550</v>
      </c>
      <c r="H1548">
        <v>4987421</v>
      </c>
      <c r="I1548">
        <v>102264948</v>
      </c>
      <c r="J1548">
        <v>111</v>
      </c>
      <c r="K1548">
        <v>404</v>
      </c>
      <c r="L1548">
        <v>0</v>
      </c>
      <c r="M1548" t="s">
        <v>6371</v>
      </c>
    </row>
    <row r="1549" spans="1:13">
      <c r="A1549" t="s">
        <v>4315</v>
      </c>
      <c r="B1549" t="s">
        <v>938</v>
      </c>
      <c r="C1549">
        <v>44120</v>
      </c>
      <c r="D1549">
        <v>494889776</v>
      </c>
      <c r="E1549">
        <v>54042</v>
      </c>
      <c r="F1549">
        <v>63</v>
      </c>
      <c r="G1549">
        <v>369062658</v>
      </c>
      <c r="H1549">
        <v>2399193</v>
      </c>
      <c r="I1549">
        <v>308973919</v>
      </c>
      <c r="J1549">
        <v>72</v>
      </c>
      <c r="K1549">
        <v>204</v>
      </c>
      <c r="L1549">
        <v>0</v>
      </c>
      <c r="M1549" t="s">
        <v>6371</v>
      </c>
    </row>
    <row r="1550" spans="1:13">
      <c r="A1550" t="s">
        <v>4316</v>
      </c>
      <c r="B1550" t="s">
        <v>61</v>
      </c>
      <c r="C1550">
        <v>44036</v>
      </c>
      <c r="D1550">
        <v>1101296591</v>
      </c>
      <c r="E1550">
        <v>84267</v>
      </c>
      <c r="F1550">
        <v>79</v>
      </c>
      <c r="G1550">
        <v>143962401</v>
      </c>
      <c r="H1550">
        <v>1331866</v>
      </c>
      <c r="I1550">
        <v>779402493</v>
      </c>
      <c r="J1550">
        <v>50</v>
      </c>
      <c r="K1550">
        <v>9</v>
      </c>
      <c r="L1550">
        <v>0</v>
      </c>
      <c r="M1550" t="s">
        <v>6371</v>
      </c>
    </row>
    <row r="1551" spans="1:13">
      <c r="A1551" t="s">
        <v>4319</v>
      </c>
      <c r="B1551" t="s">
        <v>2047</v>
      </c>
      <c r="C1551">
        <v>43577</v>
      </c>
      <c r="D1551">
        <v>475639302</v>
      </c>
      <c r="E1551">
        <v>35569</v>
      </c>
      <c r="F1551">
        <v>67</v>
      </c>
      <c r="G1551">
        <v>816491835</v>
      </c>
      <c r="H1551">
        <v>8286772</v>
      </c>
      <c r="I1551">
        <v>423648556</v>
      </c>
      <c r="J1551">
        <v>21</v>
      </c>
      <c r="K1551">
        <v>11</v>
      </c>
      <c r="L1551">
        <v>0</v>
      </c>
      <c r="M1551" t="s">
        <v>6371</v>
      </c>
    </row>
    <row r="1552" spans="1:13">
      <c r="A1552" t="s">
        <v>4330</v>
      </c>
      <c r="B1552" t="s">
        <v>494</v>
      </c>
      <c r="C1552">
        <v>45093</v>
      </c>
      <c r="D1552">
        <v>95981326</v>
      </c>
      <c r="E1552">
        <v>10042</v>
      </c>
      <c r="F1552">
        <v>66</v>
      </c>
      <c r="G1552">
        <v>143134654</v>
      </c>
      <c r="H1552">
        <v>1478912</v>
      </c>
      <c r="I1552">
        <v>69044436</v>
      </c>
      <c r="J1552">
        <v>9</v>
      </c>
      <c r="K1552">
        <v>29</v>
      </c>
      <c r="L1552">
        <v>0</v>
      </c>
      <c r="M1552" t="s">
        <v>6370</v>
      </c>
    </row>
    <row r="1553" spans="1:13">
      <c r="A1553" t="s">
        <v>4333</v>
      </c>
      <c r="B1553" t="s">
        <v>1008</v>
      </c>
      <c r="C1553">
        <v>43553</v>
      </c>
      <c r="D1553">
        <v>390907316</v>
      </c>
      <c r="E1553">
        <v>59994</v>
      </c>
      <c r="F1553">
        <v>67</v>
      </c>
      <c r="G1553">
        <v>302144296</v>
      </c>
      <c r="H1553">
        <v>3625031</v>
      </c>
      <c r="I1553">
        <v>2849728835</v>
      </c>
      <c r="J1553">
        <v>50</v>
      </c>
      <c r="K1553">
        <v>868</v>
      </c>
      <c r="L1553">
        <v>1</v>
      </c>
      <c r="M1553" t="s">
        <v>6371</v>
      </c>
    </row>
    <row r="1554" spans="1:13">
      <c r="A1554" t="s">
        <v>4338</v>
      </c>
      <c r="B1554" t="s">
        <v>4339</v>
      </c>
      <c r="C1554">
        <v>44386</v>
      </c>
      <c r="D1554">
        <v>120964748</v>
      </c>
      <c r="E1554">
        <v>18114</v>
      </c>
      <c r="F1554">
        <v>61</v>
      </c>
      <c r="G1554">
        <v>13919928</v>
      </c>
      <c r="H1554">
        <v>116035</v>
      </c>
      <c r="I1554">
        <v>43546200</v>
      </c>
      <c r="J1554">
        <v>6</v>
      </c>
      <c r="K1554">
        <v>428</v>
      </c>
      <c r="L1554">
        <v>0</v>
      </c>
      <c r="M1554" t="s">
        <v>6370</v>
      </c>
    </row>
    <row r="1555" spans="1:13">
      <c r="A1555" t="s">
        <v>4341</v>
      </c>
      <c r="B1555" t="s">
        <v>4021</v>
      </c>
      <c r="C1555">
        <v>40544</v>
      </c>
      <c r="D1555">
        <v>662305046</v>
      </c>
      <c r="E1555">
        <v>156823</v>
      </c>
      <c r="F1555">
        <v>72</v>
      </c>
      <c r="G1555">
        <v>722325299</v>
      </c>
      <c r="H1555">
        <v>3784855</v>
      </c>
      <c r="I1555">
        <v>139200114</v>
      </c>
      <c r="J1555">
        <v>117</v>
      </c>
      <c r="K1555">
        <v>73</v>
      </c>
      <c r="L1555">
        <v>0</v>
      </c>
      <c r="M1555" t="s">
        <v>6371</v>
      </c>
    </row>
    <row r="1556" spans="1:13">
      <c r="A1556" t="s">
        <v>4344</v>
      </c>
      <c r="B1556" t="s">
        <v>4345</v>
      </c>
      <c r="C1556">
        <v>41436</v>
      </c>
      <c r="D1556">
        <v>570026061</v>
      </c>
      <c r="E1556">
        <v>96205</v>
      </c>
      <c r="F1556">
        <v>66</v>
      </c>
      <c r="G1556">
        <v>264363262</v>
      </c>
      <c r="H1556">
        <v>2861659</v>
      </c>
      <c r="I1556">
        <v>9749942173</v>
      </c>
      <c r="J1556">
        <v>44</v>
      </c>
      <c r="K1556">
        <v>348</v>
      </c>
      <c r="L1556">
        <v>0</v>
      </c>
      <c r="M1556" t="s">
        <v>6371</v>
      </c>
    </row>
    <row r="1557" spans="1:13">
      <c r="A1557" t="s">
        <v>4348</v>
      </c>
      <c r="B1557" t="s">
        <v>1088</v>
      </c>
      <c r="C1557">
        <v>43826</v>
      </c>
      <c r="D1557">
        <v>415532384</v>
      </c>
      <c r="E1557">
        <v>143461</v>
      </c>
      <c r="F1557">
        <v>67</v>
      </c>
      <c r="G1557">
        <v>182358671</v>
      </c>
      <c r="H1557">
        <v>2007300</v>
      </c>
      <c r="I1557">
        <v>130747276</v>
      </c>
      <c r="J1557">
        <v>26</v>
      </c>
      <c r="K1557">
        <v>2</v>
      </c>
      <c r="L1557">
        <v>1</v>
      </c>
      <c r="M1557" t="s">
        <v>6371</v>
      </c>
    </row>
    <row r="1558" spans="1:13">
      <c r="A1558" t="s">
        <v>4349</v>
      </c>
      <c r="B1558" t="s">
        <v>4350</v>
      </c>
      <c r="C1558">
        <v>43931</v>
      </c>
      <c r="D1558">
        <v>250593875</v>
      </c>
      <c r="E1558">
        <v>25906</v>
      </c>
      <c r="F1558">
        <v>65</v>
      </c>
      <c r="G1558">
        <v>565294922</v>
      </c>
      <c r="H1558">
        <v>2855175</v>
      </c>
      <c r="I1558">
        <v>159172238</v>
      </c>
      <c r="J1558">
        <v>8</v>
      </c>
      <c r="K1558">
        <v>53</v>
      </c>
      <c r="L1558">
        <v>0</v>
      </c>
      <c r="M1558" t="s">
        <v>6371</v>
      </c>
    </row>
    <row r="1559" spans="1:13">
      <c r="A1559" t="s">
        <v>4354</v>
      </c>
      <c r="B1559" t="s">
        <v>374</v>
      </c>
      <c r="C1559">
        <v>44966</v>
      </c>
      <c r="D1559">
        <v>44122161</v>
      </c>
      <c r="E1559">
        <v>13796</v>
      </c>
      <c r="F1559">
        <v>57</v>
      </c>
      <c r="G1559">
        <v>54277243</v>
      </c>
      <c r="H1559">
        <v>469883</v>
      </c>
      <c r="I1559">
        <v>600873369</v>
      </c>
      <c r="J1559">
        <v>29</v>
      </c>
      <c r="K1559">
        <v>163</v>
      </c>
      <c r="L1559">
        <v>0</v>
      </c>
      <c r="M1559" t="s">
        <v>6370</v>
      </c>
    </row>
    <row r="1560" spans="1:13">
      <c r="A1560" t="s">
        <v>4358</v>
      </c>
      <c r="B1560" t="s">
        <v>236</v>
      </c>
      <c r="C1560">
        <v>42213</v>
      </c>
      <c r="D1560">
        <v>693552475</v>
      </c>
      <c r="E1560">
        <v>148244</v>
      </c>
      <c r="F1560">
        <v>68</v>
      </c>
      <c r="G1560">
        <v>484191598</v>
      </c>
      <c r="H1560">
        <v>3735154</v>
      </c>
      <c r="I1560">
        <v>100004969</v>
      </c>
      <c r="J1560">
        <v>129</v>
      </c>
      <c r="K1560">
        <v>18</v>
      </c>
      <c r="L1560">
        <v>1</v>
      </c>
      <c r="M1560" t="s">
        <v>6371</v>
      </c>
    </row>
    <row r="1561" spans="1:13">
      <c r="A1561" t="s">
        <v>4363</v>
      </c>
      <c r="B1561" t="s">
        <v>701</v>
      </c>
      <c r="C1561">
        <v>45100</v>
      </c>
      <c r="D1561">
        <v>41255598</v>
      </c>
      <c r="E1561">
        <v>13071</v>
      </c>
      <c r="F1561">
        <v>51</v>
      </c>
      <c r="G1561">
        <v>24244922</v>
      </c>
      <c r="H1561">
        <v>367061</v>
      </c>
      <c r="I1561">
        <v>1570567</v>
      </c>
      <c r="J1561">
        <v>22</v>
      </c>
      <c r="K1561">
        <v>151</v>
      </c>
      <c r="L1561">
        <v>1</v>
      </c>
      <c r="M1561" t="s">
        <v>6370</v>
      </c>
    </row>
    <row r="1562" spans="1:13">
      <c r="A1562" t="s">
        <v>4369</v>
      </c>
      <c r="B1562" t="s">
        <v>4370</v>
      </c>
      <c r="C1562">
        <v>42237</v>
      </c>
      <c r="D1562">
        <v>522954525</v>
      </c>
      <c r="E1562">
        <v>53226</v>
      </c>
      <c r="F1562">
        <v>73</v>
      </c>
      <c r="G1562">
        <v>1362091486</v>
      </c>
      <c r="H1562">
        <v>5868422</v>
      </c>
      <c r="I1562">
        <v>155253912</v>
      </c>
      <c r="J1562">
        <v>31</v>
      </c>
      <c r="K1562">
        <v>33</v>
      </c>
      <c r="L1562">
        <v>0</v>
      </c>
      <c r="M1562" t="s">
        <v>6371</v>
      </c>
    </row>
    <row r="1563" spans="1:13">
      <c r="A1563" t="s">
        <v>4373</v>
      </c>
      <c r="B1563" t="s">
        <v>1373</v>
      </c>
      <c r="C1563">
        <v>44022</v>
      </c>
      <c r="D1563">
        <v>409441742</v>
      </c>
      <c r="E1563">
        <v>53950</v>
      </c>
      <c r="F1563">
        <v>63</v>
      </c>
      <c r="G1563">
        <v>147151901</v>
      </c>
      <c r="H1563">
        <v>1275444</v>
      </c>
      <c r="I1563">
        <v>68851923</v>
      </c>
      <c r="J1563">
        <v>100</v>
      </c>
      <c r="K1563">
        <v>127</v>
      </c>
      <c r="L1563">
        <v>0</v>
      </c>
      <c r="M1563" t="s">
        <v>6371</v>
      </c>
    </row>
    <row r="1564" spans="1:13">
      <c r="A1564" t="s">
        <v>4377</v>
      </c>
      <c r="B1564" t="s">
        <v>19</v>
      </c>
      <c r="C1564">
        <v>44694</v>
      </c>
      <c r="D1564">
        <v>201021118</v>
      </c>
      <c r="E1564">
        <v>64247</v>
      </c>
      <c r="F1564">
        <v>72</v>
      </c>
      <c r="G1564">
        <v>88574109</v>
      </c>
      <c r="H1564">
        <v>1615761</v>
      </c>
      <c r="I1564">
        <v>20521498</v>
      </c>
      <c r="J1564">
        <v>7</v>
      </c>
      <c r="K1564">
        <v>25</v>
      </c>
      <c r="L1564">
        <v>1</v>
      </c>
      <c r="M1564" t="s">
        <v>6370</v>
      </c>
    </row>
    <row r="1565" spans="1:13">
      <c r="A1565" t="s">
        <v>4380</v>
      </c>
      <c r="B1565" t="s">
        <v>256</v>
      </c>
      <c r="C1565">
        <v>44897</v>
      </c>
      <c r="D1565">
        <v>146341441</v>
      </c>
      <c r="E1565">
        <v>27011</v>
      </c>
      <c r="F1565">
        <v>63</v>
      </c>
      <c r="G1565">
        <v>21962893</v>
      </c>
      <c r="H1565">
        <v>244265</v>
      </c>
      <c r="I1565">
        <v>358616039</v>
      </c>
      <c r="J1565">
        <v>44</v>
      </c>
      <c r="K1565">
        <v>8</v>
      </c>
      <c r="L1565">
        <v>0</v>
      </c>
      <c r="M1565" t="s">
        <v>6370</v>
      </c>
    </row>
    <row r="1566" spans="1:13">
      <c r="A1566" t="s">
        <v>4387</v>
      </c>
      <c r="B1566" t="s">
        <v>173</v>
      </c>
      <c r="C1566">
        <v>44036</v>
      </c>
      <c r="D1566">
        <v>476699016</v>
      </c>
      <c r="E1566">
        <v>59108</v>
      </c>
      <c r="F1566">
        <v>56</v>
      </c>
      <c r="G1566">
        <v>371106551</v>
      </c>
      <c r="H1566">
        <v>2197396</v>
      </c>
      <c r="I1566">
        <v>201544043</v>
      </c>
      <c r="J1566">
        <v>77</v>
      </c>
      <c r="K1566">
        <v>102</v>
      </c>
      <c r="L1566">
        <v>0</v>
      </c>
      <c r="M1566" t="s">
        <v>6371</v>
      </c>
    </row>
    <row r="1567" spans="1:13">
      <c r="A1567" t="s">
        <v>4392</v>
      </c>
      <c r="B1567" t="s">
        <v>322</v>
      </c>
      <c r="C1567">
        <v>42438</v>
      </c>
      <c r="D1567">
        <v>990118320</v>
      </c>
      <c r="E1567">
        <v>103455</v>
      </c>
      <c r="F1567">
        <v>65</v>
      </c>
      <c r="G1567">
        <v>111217546</v>
      </c>
      <c r="H1567">
        <v>1477414</v>
      </c>
      <c r="I1567">
        <v>548222747</v>
      </c>
      <c r="J1567">
        <v>171</v>
      </c>
      <c r="K1567">
        <v>1138</v>
      </c>
      <c r="L1567">
        <v>1</v>
      </c>
      <c r="M1567" t="s">
        <v>6371</v>
      </c>
    </row>
    <row r="1568" spans="1:13">
      <c r="A1568" t="s">
        <v>4401</v>
      </c>
      <c r="B1568" t="s">
        <v>4402</v>
      </c>
      <c r="C1568">
        <v>44778</v>
      </c>
      <c r="D1568">
        <v>127772228</v>
      </c>
      <c r="E1568">
        <v>46233</v>
      </c>
      <c r="F1568">
        <v>64</v>
      </c>
      <c r="G1568">
        <v>45629160</v>
      </c>
      <c r="H1568">
        <v>599488</v>
      </c>
      <c r="I1568">
        <v>79443024</v>
      </c>
      <c r="J1568">
        <v>14</v>
      </c>
      <c r="K1568">
        <v>329</v>
      </c>
      <c r="L1568">
        <v>0</v>
      </c>
      <c r="M1568" t="s">
        <v>6370</v>
      </c>
    </row>
    <row r="1569" spans="1:13">
      <c r="A1569" t="s">
        <v>4405</v>
      </c>
      <c r="B1569" t="s">
        <v>892</v>
      </c>
      <c r="C1569">
        <v>40867</v>
      </c>
      <c r="D1569">
        <v>924784325</v>
      </c>
      <c r="E1569">
        <v>92551</v>
      </c>
      <c r="F1569">
        <v>70</v>
      </c>
      <c r="G1569">
        <v>1537848233</v>
      </c>
      <c r="H1569">
        <v>7268122</v>
      </c>
      <c r="I1569">
        <v>663268482</v>
      </c>
      <c r="J1569">
        <v>80</v>
      </c>
      <c r="K1569">
        <v>15</v>
      </c>
      <c r="L1569">
        <v>0</v>
      </c>
      <c r="M1569" t="s">
        <v>6371</v>
      </c>
    </row>
    <row r="1570" spans="1:13">
      <c r="A1570" t="s">
        <v>4406</v>
      </c>
      <c r="B1570" t="s">
        <v>574</v>
      </c>
      <c r="C1570">
        <v>44617</v>
      </c>
      <c r="D1570">
        <v>175043767</v>
      </c>
      <c r="E1570">
        <v>35769</v>
      </c>
      <c r="F1570">
        <v>59</v>
      </c>
      <c r="G1570">
        <v>115406648</v>
      </c>
      <c r="H1570">
        <v>1162510</v>
      </c>
      <c r="I1570">
        <v>131915166</v>
      </c>
      <c r="J1570">
        <v>22</v>
      </c>
      <c r="K1570">
        <v>322</v>
      </c>
      <c r="L1570">
        <v>1</v>
      </c>
      <c r="M1570" t="s">
        <v>6370</v>
      </c>
    </row>
    <row r="1571" spans="1:13">
      <c r="A1571" t="s">
        <v>4417</v>
      </c>
      <c r="B1571" t="s">
        <v>4418</v>
      </c>
      <c r="C1571">
        <v>45257</v>
      </c>
      <c r="D1571">
        <v>43428134</v>
      </c>
      <c r="E1571">
        <v>4684</v>
      </c>
      <c r="F1571">
        <v>74</v>
      </c>
      <c r="G1571">
        <v>80614524</v>
      </c>
      <c r="H1571">
        <v>579330</v>
      </c>
      <c r="I1571">
        <v>76236081</v>
      </c>
      <c r="J1571">
        <v>8</v>
      </c>
      <c r="K1571">
        <v>11</v>
      </c>
      <c r="L1571">
        <v>0</v>
      </c>
      <c r="M1571" t="s">
        <v>6370</v>
      </c>
    </row>
    <row r="1572" spans="1:13">
      <c r="A1572" t="s">
        <v>4420</v>
      </c>
      <c r="B1572" t="s">
        <v>4421</v>
      </c>
      <c r="C1572">
        <v>42314</v>
      </c>
      <c r="D1572">
        <v>384977271</v>
      </c>
      <c r="E1572">
        <v>71685</v>
      </c>
      <c r="F1572">
        <v>61</v>
      </c>
      <c r="G1572">
        <v>54470349</v>
      </c>
      <c r="H1572">
        <v>646820</v>
      </c>
      <c r="I1572">
        <v>129310076</v>
      </c>
      <c r="J1572">
        <v>46</v>
      </c>
      <c r="K1572">
        <v>28</v>
      </c>
      <c r="L1572">
        <v>1</v>
      </c>
      <c r="M1572" t="s">
        <v>6371</v>
      </c>
    </row>
    <row r="1573" spans="1:13">
      <c r="A1573" t="s">
        <v>4425</v>
      </c>
      <c r="B1573" t="s">
        <v>2377</v>
      </c>
      <c r="C1573">
        <v>45030</v>
      </c>
      <c r="D1573">
        <v>88138772</v>
      </c>
      <c r="E1573">
        <v>28324</v>
      </c>
      <c r="F1573">
        <v>60</v>
      </c>
      <c r="G1573">
        <v>11033927</v>
      </c>
      <c r="H1573">
        <v>210406</v>
      </c>
      <c r="I1573">
        <v>1170468833</v>
      </c>
      <c r="J1573">
        <v>11</v>
      </c>
      <c r="K1573">
        <v>438</v>
      </c>
      <c r="L1573">
        <v>1</v>
      </c>
      <c r="M1573" t="s">
        <v>6370</v>
      </c>
    </row>
    <row r="1574" spans="1:13">
      <c r="A1574" t="s">
        <v>4426</v>
      </c>
      <c r="B1574" t="s">
        <v>4427</v>
      </c>
      <c r="C1574">
        <v>43658</v>
      </c>
      <c r="D1574">
        <v>153042459</v>
      </c>
      <c r="E1574">
        <v>29703</v>
      </c>
      <c r="F1574">
        <v>56</v>
      </c>
      <c r="G1574">
        <v>254751675</v>
      </c>
      <c r="H1574">
        <v>1876800</v>
      </c>
      <c r="I1574">
        <v>39684144</v>
      </c>
      <c r="J1574">
        <v>21</v>
      </c>
      <c r="K1574">
        <v>59</v>
      </c>
      <c r="L1574">
        <v>1</v>
      </c>
      <c r="M1574" t="s">
        <v>6371</v>
      </c>
    </row>
    <row r="1575" spans="1:13">
      <c r="A1575" t="s">
        <v>4429</v>
      </c>
      <c r="B1575" t="s">
        <v>3123</v>
      </c>
      <c r="C1575">
        <v>45023</v>
      </c>
      <c r="D1575">
        <v>86574948</v>
      </c>
      <c r="E1575">
        <v>38354</v>
      </c>
      <c r="F1575">
        <v>61</v>
      </c>
      <c r="G1575">
        <v>39472824</v>
      </c>
      <c r="H1575">
        <v>473206</v>
      </c>
      <c r="I1575">
        <v>269475247</v>
      </c>
      <c r="J1575">
        <v>13</v>
      </c>
      <c r="K1575">
        <v>505</v>
      </c>
      <c r="L1575">
        <v>1</v>
      </c>
      <c r="M1575" t="s">
        <v>6370</v>
      </c>
    </row>
    <row r="1576" spans="1:13">
      <c r="A1576" t="s">
        <v>4431</v>
      </c>
      <c r="B1576" t="s">
        <v>4432</v>
      </c>
      <c r="C1576">
        <v>41876</v>
      </c>
      <c r="D1576">
        <v>394458820</v>
      </c>
      <c r="E1576">
        <v>62418</v>
      </c>
      <c r="F1576">
        <v>67</v>
      </c>
      <c r="G1576">
        <v>98862086</v>
      </c>
      <c r="H1576">
        <v>1030038</v>
      </c>
      <c r="I1576">
        <v>8421746009</v>
      </c>
      <c r="J1576">
        <v>12</v>
      </c>
      <c r="K1576">
        <v>16</v>
      </c>
      <c r="L1576">
        <v>1</v>
      </c>
      <c r="M1576" t="s">
        <v>6371</v>
      </c>
    </row>
    <row r="1577" spans="1:13">
      <c r="A1577" t="s">
        <v>4436</v>
      </c>
      <c r="B1577" t="s">
        <v>3099</v>
      </c>
      <c r="C1577">
        <v>45345</v>
      </c>
      <c r="D1577">
        <v>41953270</v>
      </c>
      <c r="E1577">
        <v>5213</v>
      </c>
      <c r="F1577">
        <v>27</v>
      </c>
      <c r="G1577">
        <v>7636074</v>
      </c>
      <c r="H1577">
        <v>62806</v>
      </c>
      <c r="I1577">
        <v>4502124</v>
      </c>
      <c r="J1577">
        <v>8</v>
      </c>
      <c r="K1577">
        <v>53</v>
      </c>
      <c r="L1577">
        <v>0</v>
      </c>
      <c r="M1577" t="s">
        <v>6370</v>
      </c>
    </row>
    <row r="1578" spans="1:13">
      <c r="A1578" t="s">
        <v>4440</v>
      </c>
      <c r="B1578" t="s">
        <v>141</v>
      </c>
      <c r="C1578">
        <v>43890</v>
      </c>
      <c r="D1578">
        <v>718032755</v>
      </c>
      <c r="E1578">
        <v>88205</v>
      </c>
      <c r="F1578">
        <v>68</v>
      </c>
      <c r="G1578">
        <v>304269630</v>
      </c>
      <c r="H1578">
        <v>2445183</v>
      </c>
      <c r="I1578">
        <v>59989029</v>
      </c>
      <c r="J1578">
        <v>75</v>
      </c>
      <c r="K1578">
        <v>157</v>
      </c>
      <c r="L1578">
        <v>1</v>
      </c>
      <c r="M1578" t="s">
        <v>6371</v>
      </c>
    </row>
    <row r="1579" spans="1:13">
      <c r="A1579" t="s">
        <v>4441</v>
      </c>
      <c r="B1579" t="s">
        <v>141</v>
      </c>
      <c r="C1579">
        <v>44162</v>
      </c>
      <c r="D1579">
        <v>717202437</v>
      </c>
      <c r="E1579">
        <v>80289</v>
      </c>
      <c r="F1579">
        <v>71</v>
      </c>
      <c r="G1579">
        <v>213527195</v>
      </c>
      <c r="H1579">
        <v>1587764</v>
      </c>
      <c r="I1579">
        <v>253170602</v>
      </c>
      <c r="J1579">
        <v>57</v>
      </c>
      <c r="K1579">
        <v>249</v>
      </c>
      <c r="L1579">
        <v>1</v>
      </c>
      <c r="M1579" t="s">
        <v>6371</v>
      </c>
    </row>
    <row r="1580" spans="1:13">
      <c r="A1580" t="s">
        <v>4442</v>
      </c>
      <c r="B1580" t="s">
        <v>449</v>
      </c>
      <c r="C1580">
        <v>44659</v>
      </c>
      <c r="D1580">
        <v>121466936</v>
      </c>
      <c r="E1580">
        <v>55063</v>
      </c>
      <c r="F1580">
        <v>58</v>
      </c>
      <c r="G1580">
        <v>124159378</v>
      </c>
      <c r="H1580">
        <v>927806</v>
      </c>
      <c r="I1580">
        <v>46858425</v>
      </c>
      <c r="J1580">
        <v>34</v>
      </c>
      <c r="K1580">
        <v>183</v>
      </c>
      <c r="L1580">
        <v>1</v>
      </c>
      <c r="M1580" t="s">
        <v>6370</v>
      </c>
    </row>
    <row r="1581" spans="1:13">
      <c r="A1581" t="s">
        <v>4444</v>
      </c>
      <c r="B1581" t="s">
        <v>631</v>
      </c>
      <c r="C1581">
        <v>41640</v>
      </c>
      <c r="D1581">
        <v>934248345</v>
      </c>
      <c r="E1581">
        <v>132560</v>
      </c>
      <c r="F1581">
        <v>73</v>
      </c>
      <c r="G1581">
        <v>875518093</v>
      </c>
      <c r="H1581">
        <v>3588736</v>
      </c>
      <c r="I1581">
        <v>98339758</v>
      </c>
      <c r="J1581">
        <v>90</v>
      </c>
      <c r="K1581">
        <v>37</v>
      </c>
      <c r="L1581">
        <v>0</v>
      </c>
      <c r="M1581" t="s">
        <v>6371</v>
      </c>
    </row>
    <row r="1582" spans="1:13">
      <c r="A1582" t="s">
        <v>4445</v>
      </c>
      <c r="B1582" t="s">
        <v>4021</v>
      </c>
      <c r="C1582">
        <v>39392</v>
      </c>
      <c r="D1582">
        <v>1057114779</v>
      </c>
      <c r="E1582">
        <v>244989</v>
      </c>
      <c r="F1582">
        <v>76</v>
      </c>
      <c r="G1582">
        <v>519089248</v>
      </c>
      <c r="H1582">
        <v>3897751</v>
      </c>
      <c r="I1582">
        <v>2202590339</v>
      </c>
      <c r="J1582">
        <v>115</v>
      </c>
      <c r="K1582">
        <v>208</v>
      </c>
      <c r="L1582">
        <v>0</v>
      </c>
      <c r="M1582" t="s">
        <v>6372</v>
      </c>
    </row>
    <row r="1583" spans="1:13">
      <c r="A1583" t="s">
        <v>4448</v>
      </c>
      <c r="B1583" t="s">
        <v>1932</v>
      </c>
      <c r="C1583">
        <v>44294</v>
      </c>
      <c r="D1583">
        <v>235729934</v>
      </c>
      <c r="E1583">
        <v>64455</v>
      </c>
      <c r="F1583">
        <v>67</v>
      </c>
      <c r="G1583">
        <v>50135254</v>
      </c>
      <c r="H1583">
        <v>444622</v>
      </c>
      <c r="I1583">
        <v>2710660328</v>
      </c>
      <c r="J1583">
        <v>17</v>
      </c>
      <c r="K1583">
        <v>28</v>
      </c>
      <c r="L1583">
        <v>1</v>
      </c>
      <c r="M1583" t="s">
        <v>6370</v>
      </c>
    </row>
    <row r="1584" spans="1:13">
      <c r="A1584" t="s">
        <v>4449</v>
      </c>
      <c r="B1584" t="s">
        <v>260</v>
      </c>
      <c r="C1584">
        <v>42495</v>
      </c>
      <c r="D1584">
        <v>486842946</v>
      </c>
      <c r="E1584">
        <v>65826</v>
      </c>
      <c r="F1584">
        <v>67</v>
      </c>
      <c r="G1584">
        <v>93314560</v>
      </c>
      <c r="H1584">
        <v>723960</v>
      </c>
      <c r="I1584">
        <v>1329533689</v>
      </c>
      <c r="J1584">
        <v>66</v>
      </c>
      <c r="K1584">
        <v>51</v>
      </c>
      <c r="L1584">
        <v>0</v>
      </c>
      <c r="M1584" t="s">
        <v>6371</v>
      </c>
    </row>
    <row r="1585" spans="1:13">
      <c r="A1585" t="s">
        <v>4461</v>
      </c>
      <c r="B1585" t="s">
        <v>4462</v>
      </c>
      <c r="C1585">
        <v>43271</v>
      </c>
      <c r="D1585">
        <v>374553396</v>
      </c>
      <c r="E1585">
        <v>66679</v>
      </c>
      <c r="F1585">
        <v>13</v>
      </c>
      <c r="G1585">
        <v>406426712</v>
      </c>
      <c r="H1585">
        <v>4151817</v>
      </c>
      <c r="I1585">
        <v>578801821</v>
      </c>
      <c r="J1585">
        <v>26</v>
      </c>
      <c r="K1585">
        <v>4</v>
      </c>
      <c r="L1585">
        <v>1</v>
      </c>
      <c r="M1585" t="s">
        <v>6371</v>
      </c>
    </row>
    <row r="1586" spans="1:13">
      <c r="A1586" t="s">
        <v>4466</v>
      </c>
      <c r="B1586" t="s">
        <v>4467</v>
      </c>
      <c r="C1586">
        <v>45114</v>
      </c>
      <c r="D1586">
        <v>86564714</v>
      </c>
      <c r="E1586">
        <v>20203</v>
      </c>
      <c r="F1586">
        <v>71</v>
      </c>
      <c r="G1586">
        <v>7626020</v>
      </c>
      <c r="H1586">
        <v>64694</v>
      </c>
      <c r="I1586">
        <v>2191926</v>
      </c>
      <c r="J1586">
        <v>43</v>
      </c>
      <c r="K1586">
        <v>24</v>
      </c>
      <c r="L1586">
        <v>0</v>
      </c>
      <c r="M1586" t="s">
        <v>6370</v>
      </c>
    </row>
    <row r="1587" spans="1:13">
      <c r="A1587" t="s">
        <v>4470</v>
      </c>
      <c r="B1587" t="s">
        <v>449</v>
      </c>
      <c r="C1587">
        <v>43889</v>
      </c>
      <c r="D1587">
        <v>254130819</v>
      </c>
      <c r="E1587">
        <v>82768</v>
      </c>
      <c r="F1587">
        <v>56</v>
      </c>
      <c r="G1587">
        <v>268797796</v>
      </c>
      <c r="H1587">
        <v>3273095</v>
      </c>
      <c r="I1587">
        <v>106366054</v>
      </c>
      <c r="J1587">
        <v>54</v>
      </c>
      <c r="K1587">
        <v>95</v>
      </c>
      <c r="L1587">
        <v>1</v>
      </c>
      <c r="M1587" t="s">
        <v>6371</v>
      </c>
    </row>
    <row r="1588" spans="1:13">
      <c r="A1588" t="s">
        <v>4471</v>
      </c>
      <c r="B1588" t="s">
        <v>787</v>
      </c>
      <c r="C1588">
        <v>44722</v>
      </c>
      <c r="D1588">
        <v>172589732</v>
      </c>
      <c r="E1588">
        <v>67514</v>
      </c>
      <c r="F1588">
        <v>61</v>
      </c>
      <c r="G1588">
        <v>21990862</v>
      </c>
      <c r="H1588">
        <v>343936</v>
      </c>
      <c r="I1588">
        <v>338747583</v>
      </c>
      <c r="J1588">
        <v>21</v>
      </c>
      <c r="K1588">
        <v>4</v>
      </c>
      <c r="L1588">
        <v>1</v>
      </c>
      <c r="M1588" t="s">
        <v>6370</v>
      </c>
    </row>
    <row r="1589" spans="1:13">
      <c r="A1589" t="s">
        <v>4472</v>
      </c>
      <c r="B1589" t="s">
        <v>1857</v>
      </c>
      <c r="C1589">
        <v>44437</v>
      </c>
      <c r="D1589">
        <v>266927787</v>
      </c>
      <c r="E1589">
        <v>105664</v>
      </c>
      <c r="F1589">
        <v>62</v>
      </c>
      <c r="G1589">
        <v>39769157</v>
      </c>
      <c r="H1589">
        <v>574676</v>
      </c>
      <c r="I1589">
        <v>93786735</v>
      </c>
      <c r="J1589">
        <v>27</v>
      </c>
      <c r="K1589">
        <v>74</v>
      </c>
      <c r="L1589">
        <v>0</v>
      </c>
      <c r="M1589" t="s">
        <v>6370</v>
      </c>
    </row>
    <row r="1590" spans="1:13">
      <c r="A1590" t="s">
        <v>4475</v>
      </c>
      <c r="B1590" t="s">
        <v>4476</v>
      </c>
      <c r="C1590">
        <v>39448</v>
      </c>
      <c r="D1590">
        <v>1427050913</v>
      </c>
      <c r="E1590">
        <v>265075</v>
      </c>
      <c r="F1590">
        <v>79</v>
      </c>
      <c r="G1590">
        <v>683904891</v>
      </c>
      <c r="H1590">
        <v>3402940</v>
      </c>
      <c r="I1590">
        <v>391021166</v>
      </c>
      <c r="J1590">
        <v>205</v>
      </c>
      <c r="K1590">
        <v>144</v>
      </c>
      <c r="L1590">
        <v>0</v>
      </c>
      <c r="M1590" t="s">
        <v>6372</v>
      </c>
    </row>
    <row r="1591" spans="1:13">
      <c r="A1591" t="s">
        <v>4479</v>
      </c>
      <c r="B1591" t="s">
        <v>4480</v>
      </c>
      <c r="C1591">
        <v>40900</v>
      </c>
      <c r="D1591">
        <v>474420154</v>
      </c>
      <c r="E1591">
        <v>97650</v>
      </c>
      <c r="F1591">
        <v>64</v>
      </c>
      <c r="G1591">
        <v>1122789221</v>
      </c>
      <c r="H1591">
        <v>8747570</v>
      </c>
      <c r="I1591">
        <v>1383691192</v>
      </c>
      <c r="J1591">
        <v>89</v>
      </c>
      <c r="K1591">
        <v>24</v>
      </c>
      <c r="L1591">
        <v>1</v>
      </c>
      <c r="M1591" t="s">
        <v>6371</v>
      </c>
    </row>
    <row r="1592" spans="1:13">
      <c r="A1592" t="s">
        <v>4486</v>
      </c>
      <c r="B1592" t="s">
        <v>631</v>
      </c>
      <c r="C1592">
        <v>43476</v>
      </c>
      <c r="D1592">
        <v>670319557</v>
      </c>
      <c r="E1592">
        <v>100046</v>
      </c>
      <c r="F1592">
        <v>65</v>
      </c>
      <c r="G1592">
        <v>432616080</v>
      </c>
      <c r="H1592">
        <v>2355880</v>
      </c>
      <c r="I1592">
        <v>29055589</v>
      </c>
      <c r="J1592">
        <v>135</v>
      </c>
      <c r="K1592">
        <v>11</v>
      </c>
      <c r="L1592">
        <v>0</v>
      </c>
      <c r="M1592" t="s">
        <v>6371</v>
      </c>
    </row>
    <row r="1593" spans="1:13">
      <c r="A1593" t="s">
        <v>4487</v>
      </c>
      <c r="B1593" t="s">
        <v>1008</v>
      </c>
      <c r="C1593">
        <v>43999</v>
      </c>
      <c r="D1593">
        <v>243703179</v>
      </c>
      <c r="E1593">
        <v>39210</v>
      </c>
      <c r="F1593">
        <v>60</v>
      </c>
      <c r="G1593">
        <v>134077658</v>
      </c>
      <c r="H1593">
        <v>1546430</v>
      </c>
      <c r="I1593">
        <v>2416911466</v>
      </c>
      <c r="J1593">
        <v>73</v>
      </c>
      <c r="K1593">
        <v>648</v>
      </c>
      <c r="L1593">
        <v>1</v>
      </c>
      <c r="M1593" t="s">
        <v>6371</v>
      </c>
    </row>
    <row r="1594" spans="1:13">
      <c r="A1594" t="s">
        <v>4488</v>
      </c>
      <c r="B1594" t="s">
        <v>4489</v>
      </c>
      <c r="C1594">
        <v>42958</v>
      </c>
      <c r="D1594">
        <v>253490559</v>
      </c>
      <c r="E1594">
        <v>78414</v>
      </c>
      <c r="F1594">
        <v>20</v>
      </c>
      <c r="G1594">
        <v>157050046</v>
      </c>
      <c r="H1594">
        <v>2249067</v>
      </c>
      <c r="I1594">
        <v>4610799658</v>
      </c>
      <c r="J1594">
        <v>16</v>
      </c>
      <c r="K1594">
        <v>59</v>
      </c>
      <c r="L1594">
        <v>1</v>
      </c>
      <c r="M1594" t="s">
        <v>6371</v>
      </c>
    </row>
    <row r="1595" spans="1:13">
      <c r="A1595" t="s">
        <v>4493</v>
      </c>
      <c r="B1595" t="s">
        <v>3695</v>
      </c>
      <c r="C1595">
        <v>44357</v>
      </c>
      <c r="D1595">
        <v>345069681</v>
      </c>
      <c r="E1595">
        <v>77169</v>
      </c>
      <c r="F1595">
        <v>67</v>
      </c>
      <c r="G1595">
        <v>112087139</v>
      </c>
      <c r="H1595">
        <v>1939007</v>
      </c>
      <c r="I1595">
        <v>1652650346</v>
      </c>
      <c r="J1595">
        <v>29</v>
      </c>
      <c r="K1595">
        <v>32</v>
      </c>
      <c r="L1595">
        <v>1</v>
      </c>
      <c r="M1595" t="s">
        <v>6370</v>
      </c>
    </row>
    <row r="1596" spans="1:13">
      <c r="A1596" t="s">
        <v>4497</v>
      </c>
      <c r="B1596" t="s">
        <v>755</v>
      </c>
      <c r="C1596">
        <v>44841</v>
      </c>
      <c r="D1596">
        <v>195260412</v>
      </c>
      <c r="E1596">
        <v>19052</v>
      </c>
      <c r="F1596">
        <v>66</v>
      </c>
      <c r="G1596">
        <v>188978133</v>
      </c>
      <c r="H1596">
        <v>3724486</v>
      </c>
      <c r="I1596">
        <v>1397216002</v>
      </c>
      <c r="J1596">
        <v>9</v>
      </c>
      <c r="K1596">
        <v>134</v>
      </c>
      <c r="L1596">
        <v>0</v>
      </c>
      <c r="M1596" t="s">
        <v>6370</v>
      </c>
    </row>
    <row r="1597" spans="1:13">
      <c r="A1597" t="s">
        <v>4500</v>
      </c>
      <c r="B1597" t="s">
        <v>1852</v>
      </c>
      <c r="C1597">
        <v>45177</v>
      </c>
      <c r="D1597">
        <v>371463000</v>
      </c>
      <c r="E1597">
        <v>9688</v>
      </c>
      <c r="F1597">
        <v>77</v>
      </c>
      <c r="G1597">
        <v>55364757</v>
      </c>
      <c r="H1597">
        <v>2775274</v>
      </c>
      <c r="I1597">
        <v>4288273</v>
      </c>
      <c r="J1597">
        <v>9</v>
      </c>
      <c r="K1597">
        <v>14</v>
      </c>
      <c r="L1597">
        <v>0</v>
      </c>
      <c r="M1597" t="s">
        <v>6370</v>
      </c>
    </row>
    <row r="1598" spans="1:13">
      <c r="A1598" t="s">
        <v>4502</v>
      </c>
      <c r="B1598" t="s">
        <v>2131</v>
      </c>
      <c r="C1598">
        <v>44764</v>
      </c>
      <c r="D1598">
        <v>65786757</v>
      </c>
      <c r="E1598">
        <v>28190</v>
      </c>
      <c r="F1598">
        <v>56</v>
      </c>
      <c r="G1598">
        <v>27754329</v>
      </c>
      <c r="H1598">
        <v>216369</v>
      </c>
      <c r="I1598">
        <v>203863372</v>
      </c>
      <c r="J1598">
        <v>2</v>
      </c>
      <c r="K1598">
        <v>493</v>
      </c>
      <c r="L1598">
        <v>1</v>
      </c>
      <c r="M1598" t="s">
        <v>6370</v>
      </c>
    </row>
    <row r="1599" spans="1:13">
      <c r="A1599" t="s">
        <v>4504</v>
      </c>
      <c r="B1599" t="s">
        <v>4505</v>
      </c>
      <c r="C1599">
        <v>41275</v>
      </c>
      <c r="D1599">
        <v>999525686</v>
      </c>
      <c r="E1599">
        <v>147511</v>
      </c>
      <c r="F1599">
        <v>74</v>
      </c>
      <c r="G1599">
        <v>349753696</v>
      </c>
      <c r="H1599">
        <v>3326207</v>
      </c>
      <c r="I1599">
        <v>329470084</v>
      </c>
      <c r="J1599">
        <v>109</v>
      </c>
      <c r="K1599">
        <v>541</v>
      </c>
      <c r="L1599">
        <v>0</v>
      </c>
      <c r="M1599" t="s">
        <v>6371</v>
      </c>
    </row>
    <row r="1600" spans="1:13">
      <c r="A1600" t="s">
        <v>4506</v>
      </c>
      <c r="B1600" t="s">
        <v>4507</v>
      </c>
      <c r="C1600">
        <v>43483</v>
      </c>
      <c r="D1600">
        <v>439281048</v>
      </c>
      <c r="E1600">
        <v>44726</v>
      </c>
      <c r="F1600">
        <v>75</v>
      </c>
      <c r="G1600">
        <v>225336788</v>
      </c>
      <c r="H1600">
        <v>1288065</v>
      </c>
      <c r="I1600">
        <v>60781778</v>
      </c>
      <c r="J1600">
        <v>30</v>
      </c>
      <c r="K1600">
        <v>155</v>
      </c>
      <c r="L1600">
        <v>0</v>
      </c>
      <c r="M1600" t="s">
        <v>6371</v>
      </c>
    </row>
    <row r="1601" spans="1:13">
      <c r="A1601" t="s">
        <v>4513</v>
      </c>
      <c r="B1601" t="s">
        <v>2250</v>
      </c>
      <c r="C1601">
        <v>41275</v>
      </c>
      <c r="D1601">
        <v>826593536</v>
      </c>
      <c r="E1601">
        <v>101501</v>
      </c>
      <c r="F1601">
        <v>74</v>
      </c>
      <c r="G1601">
        <v>898024937</v>
      </c>
      <c r="H1601">
        <v>7520556</v>
      </c>
      <c r="I1601">
        <v>792708732</v>
      </c>
      <c r="J1601">
        <v>35</v>
      </c>
      <c r="K1601">
        <v>80</v>
      </c>
      <c r="L1601">
        <v>0</v>
      </c>
      <c r="M1601" t="s">
        <v>6371</v>
      </c>
    </row>
    <row r="1602" spans="1:13">
      <c r="A1602" t="s">
        <v>4516</v>
      </c>
      <c r="B1602" t="s">
        <v>221</v>
      </c>
      <c r="C1602">
        <v>43593</v>
      </c>
      <c r="D1602">
        <v>553360461</v>
      </c>
      <c r="E1602">
        <v>75237</v>
      </c>
      <c r="F1602">
        <v>76</v>
      </c>
      <c r="G1602">
        <v>147127840</v>
      </c>
      <c r="H1602">
        <v>639927</v>
      </c>
      <c r="I1602">
        <v>145930628</v>
      </c>
      <c r="J1602">
        <v>55</v>
      </c>
      <c r="K1602">
        <v>74</v>
      </c>
      <c r="L1602">
        <v>0</v>
      </c>
      <c r="M1602" t="s">
        <v>6371</v>
      </c>
    </row>
    <row r="1603" spans="1:13">
      <c r="A1603" t="s">
        <v>4520</v>
      </c>
      <c r="B1603" t="s">
        <v>4280</v>
      </c>
      <c r="C1603">
        <v>45128</v>
      </c>
      <c r="D1603">
        <v>90619651</v>
      </c>
      <c r="E1603">
        <v>18945</v>
      </c>
      <c r="F1603">
        <v>64</v>
      </c>
      <c r="G1603">
        <v>22682156</v>
      </c>
      <c r="H1603">
        <v>238539</v>
      </c>
      <c r="I1603">
        <v>17165352</v>
      </c>
      <c r="J1603">
        <v>16</v>
      </c>
      <c r="K1603">
        <v>25</v>
      </c>
      <c r="L1603">
        <v>0</v>
      </c>
      <c r="M1603" t="s">
        <v>6370</v>
      </c>
    </row>
    <row r="1604" spans="1:13">
      <c r="A1604" t="s">
        <v>4521</v>
      </c>
      <c r="B1604" t="s">
        <v>61</v>
      </c>
      <c r="C1604">
        <v>44855</v>
      </c>
      <c r="D1604">
        <v>429910250</v>
      </c>
      <c r="E1604">
        <v>32432</v>
      </c>
      <c r="F1604">
        <v>64</v>
      </c>
      <c r="G1604">
        <v>60531630</v>
      </c>
      <c r="H1604">
        <v>1025941</v>
      </c>
      <c r="I1604">
        <v>380293826</v>
      </c>
      <c r="J1604">
        <v>55</v>
      </c>
      <c r="K1604">
        <v>5</v>
      </c>
      <c r="L1604">
        <v>1</v>
      </c>
      <c r="M1604" t="s">
        <v>6370</v>
      </c>
    </row>
    <row r="1605" spans="1:13">
      <c r="A1605" t="s">
        <v>4522</v>
      </c>
      <c r="B1605" t="s">
        <v>418</v>
      </c>
      <c r="C1605">
        <v>43118</v>
      </c>
      <c r="D1605">
        <v>659555409</v>
      </c>
      <c r="E1605">
        <v>71359</v>
      </c>
      <c r="F1605">
        <v>65</v>
      </c>
      <c r="G1605">
        <v>156299320</v>
      </c>
      <c r="H1605">
        <v>884906</v>
      </c>
      <c r="I1605">
        <v>493591477</v>
      </c>
      <c r="J1605">
        <v>66</v>
      </c>
      <c r="K1605">
        <v>113</v>
      </c>
      <c r="L1605">
        <v>0</v>
      </c>
      <c r="M1605" t="s">
        <v>6371</v>
      </c>
    </row>
    <row r="1606" spans="1:13">
      <c r="A1606" t="s">
        <v>4524</v>
      </c>
      <c r="B1606" t="s">
        <v>1976</v>
      </c>
      <c r="C1606">
        <v>43854</v>
      </c>
      <c r="D1606">
        <v>397893665</v>
      </c>
      <c r="E1606">
        <v>79817</v>
      </c>
      <c r="F1606">
        <v>58</v>
      </c>
      <c r="G1606">
        <v>290277607</v>
      </c>
      <c r="H1606">
        <v>3908510</v>
      </c>
      <c r="I1606">
        <v>509242456</v>
      </c>
      <c r="J1606">
        <v>44</v>
      </c>
      <c r="K1606">
        <v>182</v>
      </c>
      <c r="L1606">
        <v>0</v>
      </c>
      <c r="M1606" t="s">
        <v>6371</v>
      </c>
    </row>
    <row r="1607" spans="1:13">
      <c r="A1607" t="s">
        <v>4537</v>
      </c>
      <c r="B1607" t="s">
        <v>295</v>
      </c>
      <c r="C1607">
        <v>42762</v>
      </c>
      <c r="D1607">
        <v>967826246</v>
      </c>
      <c r="E1607">
        <v>87948</v>
      </c>
      <c r="F1607">
        <v>65</v>
      </c>
      <c r="G1607">
        <v>56482887</v>
      </c>
      <c r="H1607">
        <v>560879</v>
      </c>
      <c r="I1607">
        <v>41423093</v>
      </c>
      <c r="J1607">
        <v>121</v>
      </c>
      <c r="K1607">
        <v>73</v>
      </c>
      <c r="L1607">
        <v>1</v>
      </c>
      <c r="M1607" t="s">
        <v>6371</v>
      </c>
    </row>
    <row r="1608" spans="1:13">
      <c r="A1608" t="s">
        <v>4540</v>
      </c>
      <c r="B1608" t="s">
        <v>2998</v>
      </c>
      <c r="C1608">
        <v>45107</v>
      </c>
      <c r="D1608">
        <v>107592134</v>
      </c>
      <c r="E1608">
        <v>16131</v>
      </c>
      <c r="F1608">
        <v>69</v>
      </c>
      <c r="G1608">
        <v>8821525</v>
      </c>
      <c r="H1608">
        <v>79472</v>
      </c>
      <c r="I1608">
        <v>16562873</v>
      </c>
      <c r="J1608">
        <v>37</v>
      </c>
      <c r="K1608">
        <v>1298</v>
      </c>
      <c r="L1608">
        <v>0</v>
      </c>
      <c r="M1608" t="s">
        <v>6370</v>
      </c>
    </row>
    <row r="1609" spans="1:13">
      <c r="A1609">
        <v>2002</v>
      </c>
      <c r="B1609" t="s">
        <v>3309</v>
      </c>
      <c r="C1609">
        <v>42005</v>
      </c>
      <c r="D1609">
        <v>1531490541</v>
      </c>
      <c r="E1609">
        <v>115663</v>
      </c>
      <c r="F1609">
        <v>73</v>
      </c>
      <c r="G1609">
        <v>391667255</v>
      </c>
      <c r="H1609">
        <v>3102373</v>
      </c>
      <c r="I1609">
        <v>892595513</v>
      </c>
      <c r="J1609">
        <v>93</v>
      </c>
      <c r="K1609">
        <v>104</v>
      </c>
      <c r="L1609">
        <v>0</v>
      </c>
      <c r="M1609" t="s">
        <v>6371</v>
      </c>
    </row>
    <row r="1610" spans="1:13">
      <c r="A1610" t="s">
        <v>2079</v>
      </c>
      <c r="B1610" t="s">
        <v>479</v>
      </c>
      <c r="C1610">
        <v>41275</v>
      </c>
      <c r="D1610">
        <v>1445950326</v>
      </c>
      <c r="E1610">
        <v>185843</v>
      </c>
      <c r="F1610">
        <v>74</v>
      </c>
      <c r="G1610">
        <v>248178591</v>
      </c>
      <c r="H1610">
        <v>2292757</v>
      </c>
      <c r="I1610">
        <v>984530315</v>
      </c>
      <c r="J1610">
        <v>102</v>
      </c>
      <c r="K1610">
        <v>453</v>
      </c>
      <c r="L1610">
        <v>0</v>
      </c>
      <c r="M1610" t="s">
        <v>6371</v>
      </c>
    </row>
    <row r="1611" spans="1:13">
      <c r="A1611" t="s">
        <v>4550</v>
      </c>
      <c r="B1611" t="s">
        <v>4551</v>
      </c>
      <c r="C1611">
        <v>43497</v>
      </c>
      <c r="D1611">
        <v>842749499</v>
      </c>
      <c r="E1611">
        <v>158456</v>
      </c>
      <c r="F1611">
        <v>76</v>
      </c>
      <c r="G1611">
        <v>125641322</v>
      </c>
      <c r="H1611">
        <v>2266385</v>
      </c>
      <c r="I1611">
        <v>342062376</v>
      </c>
      <c r="J1611">
        <v>68</v>
      </c>
      <c r="K1611">
        <v>64</v>
      </c>
      <c r="L1611">
        <v>0</v>
      </c>
      <c r="M1611" t="s">
        <v>6371</v>
      </c>
    </row>
    <row r="1612" spans="1:13">
      <c r="A1612" t="s">
        <v>4552</v>
      </c>
      <c r="B1612" t="s">
        <v>434</v>
      </c>
      <c r="C1612">
        <v>43228</v>
      </c>
      <c r="D1612">
        <v>707551397</v>
      </c>
      <c r="E1612">
        <v>148441</v>
      </c>
      <c r="F1612">
        <v>21</v>
      </c>
      <c r="G1612">
        <v>222319540</v>
      </c>
      <c r="H1612">
        <v>2598192</v>
      </c>
      <c r="I1612">
        <v>186530347</v>
      </c>
      <c r="J1612">
        <v>22</v>
      </c>
      <c r="K1612">
        <v>56</v>
      </c>
      <c r="L1612">
        <v>1</v>
      </c>
      <c r="M1612" t="s">
        <v>6371</v>
      </c>
    </row>
    <row r="1613" spans="1:13">
      <c r="A1613" t="s">
        <v>4556</v>
      </c>
      <c r="B1613" t="s">
        <v>1217</v>
      </c>
      <c r="C1613">
        <v>43899</v>
      </c>
      <c r="D1613">
        <v>297150374</v>
      </c>
      <c r="E1613">
        <v>25519</v>
      </c>
      <c r="F1613">
        <v>62</v>
      </c>
      <c r="G1613">
        <v>586564510</v>
      </c>
      <c r="H1613">
        <v>4724003</v>
      </c>
      <c r="I1613">
        <v>403373148</v>
      </c>
      <c r="J1613">
        <v>31</v>
      </c>
      <c r="K1613">
        <v>45</v>
      </c>
      <c r="L1613">
        <v>0</v>
      </c>
      <c r="M1613" t="s">
        <v>6371</v>
      </c>
    </row>
    <row r="1614" spans="1:13">
      <c r="A1614" t="s">
        <v>4557</v>
      </c>
      <c r="B1614" t="s">
        <v>61</v>
      </c>
      <c r="C1614">
        <v>40909</v>
      </c>
      <c r="D1614">
        <v>669895431</v>
      </c>
      <c r="E1614">
        <v>82898</v>
      </c>
      <c r="F1614">
        <v>67</v>
      </c>
      <c r="G1614">
        <v>909093534</v>
      </c>
      <c r="H1614">
        <v>5048332</v>
      </c>
      <c r="I1614">
        <v>328889314</v>
      </c>
      <c r="J1614">
        <v>90</v>
      </c>
      <c r="K1614">
        <v>290</v>
      </c>
      <c r="L1614">
        <v>0</v>
      </c>
      <c r="M1614" t="s">
        <v>6371</v>
      </c>
    </row>
    <row r="1615" spans="1:13">
      <c r="A1615" t="s">
        <v>4558</v>
      </c>
      <c r="B1615" t="s">
        <v>121</v>
      </c>
      <c r="C1615">
        <v>44357</v>
      </c>
      <c r="D1615">
        <v>142352659</v>
      </c>
      <c r="E1615">
        <v>80632</v>
      </c>
      <c r="F1615">
        <v>58</v>
      </c>
      <c r="G1615">
        <v>105833149</v>
      </c>
      <c r="H1615">
        <v>819235</v>
      </c>
      <c r="I1615">
        <v>129897849</v>
      </c>
      <c r="J1615">
        <v>96</v>
      </c>
      <c r="K1615">
        <v>85</v>
      </c>
      <c r="L1615">
        <v>1</v>
      </c>
      <c r="M1615" t="s">
        <v>6370</v>
      </c>
    </row>
    <row r="1616" spans="1:13">
      <c r="A1616" t="s">
        <v>4559</v>
      </c>
      <c r="B1616" t="s">
        <v>384</v>
      </c>
      <c r="C1616">
        <v>44946</v>
      </c>
      <c r="D1616">
        <v>306952759</v>
      </c>
      <c r="E1616">
        <v>43759</v>
      </c>
      <c r="F1616">
        <v>68</v>
      </c>
      <c r="G1616">
        <v>32391738</v>
      </c>
      <c r="H1616">
        <v>149460</v>
      </c>
      <c r="I1616">
        <v>101766021</v>
      </c>
      <c r="J1616">
        <v>8</v>
      </c>
      <c r="K1616">
        <v>322</v>
      </c>
      <c r="L1616">
        <v>0</v>
      </c>
      <c r="M1616" t="s">
        <v>6370</v>
      </c>
    </row>
    <row r="1617" spans="1:13">
      <c r="A1617" t="s">
        <v>4567</v>
      </c>
      <c r="B1617" t="s">
        <v>617</v>
      </c>
      <c r="C1617">
        <v>44805</v>
      </c>
      <c r="D1617">
        <v>106218899</v>
      </c>
      <c r="E1617">
        <v>18622</v>
      </c>
      <c r="F1617">
        <v>60</v>
      </c>
      <c r="G1617">
        <v>54371720</v>
      </c>
      <c r="H1617">
        <v>527297</v>
      </c>
      <c r="I1617">
        <v>44940300</v>
      </c>
      <c r="J1617">
        <v>39</v>
      </c>
      <c r="K1617">
        <v>847</v>
      </c>
      <c r="L1617">
        <v>0</v>
      </c>
      <c r="M1617" t="s">
        <v>6370</v>
      </c>
    </row>
    <row r="1618" spans="1:13">
      <c r="A1618" t="s">
        <v>4570</v>
      </c>
      <c r="B1618" t="s">
        <v>3335</v>
      </c>
      <c r="C1618">
        <v>42461</v>
      </c>
      <c r="D1618">
        <v>872428879</v>
      </c>
      <c r="E1618">
        <v>85665</v>
      </c>
      <c r="F1618">
        <v>60</v>
      </c>
      <c r="G1618">
        <v>114782349</v>
      </c>
      <c r="H1618">
        <v>1125843</v>
      </c>
      <c r="I1618">
        <v>239961275</v>
      </c>
      <c r="J1618">
        <v>89</v>
      </c>
      <c r="K1618">
        <v>21</v>
      </c>
      <c r="L1618">
        <v>0</v>
      </c>
      <c r="M1618" t="s">
        <v>6371</v>
      </c>
    </row>
    <row r="1619" spans="1:13">
      <c r="A1619" t="s">
        <v>4571</v>
      </c>
      <c r="B1619" t="s">
        <v>318</v>
      </c>
      <c r="C1619">
        <v>44757</v>
      </c>
      <c r="D1619">
        <v>283406755</v>
      </c>
      <c r="E1619">
        <v>35672</v>
      </c>
      <c r="F1619">
        <v>77</v>
      </c>
      <c r="G1619">
        <v>62279409</v>
      </c>
      <c r="H1619">
        <v>254008</v>
      </c>
      <c r="I1619">
        <v>49171406</v>
      </c>
      <c r="J1619">
        <v>12</v>
      </c>
      <c r="K1619">
        <v>22</v>
      </c>
      <c r="L1619">
        <v>0</v>
      </c>
      <c r="M1619" t="s">
        <v>6370</v>
      </c>
    </row>
    <row r="1620" spans="1:13">
      <c r="A1620" t="s">
        <v>4573</v>
      </c>
      <c r="B1620" t="s">
        <v>61</v>
      </c>
      <c r="C1620">
        <v>41640</v>
      </c>
      <c r="D1620">
        <v>1216966135</v>
      </c>
      <c r="E1620">
        <v>92577</v>
      </c>
      <c r="F1620">
        <v>74</v>
      </c>
      <c r="G1620">
        <v>848555837</v>
      </c>
      <c r="H1620">
        <v>4212951</v>
      </c>
      <c r="I1620">
        <v>428073160</v>
      </c>
      <c r="J1620">
        <v>116</v>
      </c>
      <c r="K1620">
        <v>117</v>
      </c>
      <c r="L1620">
        <v>0</v>
      </c>
      <c r="M1620" t="s">
        <v>6371</v>
      </c>
    </row>
    <row r="1621" spans="1:13">
      <c r="A1621" t="s">
        <v>4574</v>
      </c>
      <c r="B1621" t="s">
        <v>735</v>
      </c>
      <c r="C1621">
        <v>45015</v>
      </c>
      <c r="D1621">
        <v>65174919</v>
      </c>
      <c r="E1621">
        <v>13131</v>
      </c>
      <c r="F1621">
        <v>64</v>
      </c>
      <c r="G1621">
        <v>37986567</v>
      </c>
      <c r="H1621">
        <v>363870</v>
      </c>
      <c r="I1621">
        <v>479919203</v>
      </c>
      <c r="J1621">
        <v>43</v>
      </c>
      <c r="K1621">
        <v>34</v>
      </c>
      <c r="L1621">
        <v>0</v>
      </c>
      <c r="M1621" t="s">
        <v>6370</v>
      </c>
    </row>
    <row r="1622" spans="1:13">
      <c r="A1622" t="s">
        <v>4575</v>
      </c>
      <c r="B1622" t="s">
        <v>305</v>
      </c>
      <c r="C1622">
        <v>40179</v>
      </c>
      <c r="D1622">
        <v>1313545266</v>
      </c>
      <c r="E1622">
        <v>193103</v>
      </c>
      <c r="F1622">
        <v>73</v>
      </c>
      <c r="G1622">
        <v>1310515665</v>
      </c>
      <c r="H1622">
        <v>6898904</v>
      </c>
      <c r="I1622">
        <v>147790820</v>
      </c>
      <c r="J1622">
        <v>60</v>
      </c>
      <c r="K1622">
        <v>257</v>
      </c>
      <c r="L1622">
        <v>0</v>
      </c>
      <c r="M1622" t="s">
        <v>6371</v>
      </c>
    </row>
    <row r="1623" spans="1:13">
      <c r="A1623" t="s">
        <v>4577</v>
      </c>
      <c r="B1623" t="s">
        <v>1412</v>
      </c>
      <c r="C1623">
        <v>43960</v>
      </c>
      <c r="D1623">
        <v>705672746</v>
      </c>
      <c r="E1623">
        <v>84469</v>
      </c>
      <c r="F1623">
        <v>70</v>
      </c>
      <c r="G1623">
        <v>271113088</v>
      </c>
      <c r="H1623">
        <v>1055058</v>
      </c>
      <c r="I1623">
        <v>124603506</v>
      </c>
      <c r="J1623">
        <v>79</v>
      </c>
      <c r="K1623">
        <v>20</v>
      </c>
      <c r="L1623">
        <v>1</v>
      </c>
      <c r="M1623" t="s">
        <v>6371</v>
      </c>
    </row>
    <row r="1624" spans="1:13">
      <c r="A1624" t="s">
        <v>4586</v>
      </c>
      <c r="B1624" t="s">
        <v>546</v>
      </c>
      <c r="C1624">
        <v>45107</v>
      </c>
      <c r="D1624">
        <v>73140012</v>
      </c>
      <c r="E1624">
        <v>38585</v>
      </c>
      <c r="F1624">
        <v>62</v>
      </c>
      <c r="G1624">
        <v>4645872</v>
      </c>
      <c r="H1624">
        <v>99384</v>
      </c>
      <c r="I1624">
        <v>75770759</v>
      </c>
      <c r="J1624">
        <v>30</v>
      </c>
      <c r="K1624">
        <v>17</v>
      </c>
      <c r="L1624">
        <v>1</v>
      </c>
      <c r="M1624" t="s">
        <v>6370</v>
      </c>
    </row>
    <row r="1625" spans="1:13">
      <c r="A1625" t="s">
        <v>366</v>
      </c>
      <c r="B1625" t="s">
        <v>28</v>
      </c>
      <c r="C1625">
        <v>37257</v>
      </c>
      <c r="D1625">
        <v>2146682342</v>
      </c>
      <c r="E1625">
        <v>397228</v>
      </c>
      <c r="F1625">
        <v>83</v>
      </c>
      <c r="G1625">
        <v>347730526</v>
      </c>
      <c r="H1625">
        <v>3552978</v>
      </c>
      <c r="I1625">
        <v>177890147</v>
      </c>
      <c r="J1625">
        <v>118</v>
      </c>
      <c r="K1625">
        <v>69</v>
      </c>
      <c r="L1625">
        <v>1</v>
      </c>
      <c r="M1625" t="s">
        <v>6372</v>
      </c>
    </row>
    <row r="1626" spans="1:13">
      <c r="A1626" t="s">
        <v>4592</v>
      </c>
      <c r="B1626" t="s">
        <v>170</v>
      </c>
      <c r="C1626">
        <v>42881</v>
      </c>
      <c r="D1626">
        <v>338782953</v>
      </c>
      <c r="E1626">
        <v>37015</v>
      </c>
      <c r="F1626">
        <v>64</v>
      </c>
      <c r="G1626">
        <v>1100136050</v>
      </c>
      <c r="H1626">
        <v>4740945</v>
      </c>
      <c r="I1626">
        <v>99920646</v>
      </c>
      <c r="J1626">
        <v>25</v>
      </c>
      <c r="K1626">
        <v>7</v>
      </c>
      <c r="L1626">
        <v>1</v>
      </c>
      <c r="M1626" t="s">
        <v>6371</v>
      </c>
    </row>
    <row r="1627" spans="1:13">
      <c r="A1627" t="s">
        <v>4593</v>
      </c>
      <c r="B1627" t="s">
        <v>2694</v>
      </c>
      <c r="C1627">
        <v>43343</v>
      </c>
      <c r="D1627">
        <v>503187980</v>
      </c>
      <c r="E1627">
        <v>36629</v>
      </c>
      <c r="F1627">
        <v>65</v>
      </c>
      <c r="G1627">
        <v>857645221</v>
      </c>
      <c r="H1627">
        <v>2562683</v>
      </c>
      <c r="I1627">
        <v>40522645</v>
      </c>
      <c r="J1627">
        <v>43</v>
      </c>
      <c r="K1627">
        <v>74</v>
      </c>
      <c r="L1627">
        <v>0</v>
      </c>
      <c r="M1627" t="s">
        <v>6371</v>
      </c>
    </row>
    <row r="1628" spans="1:13">
      <c r="A1628" t="s">
        <v>4594</v>
      </c>
      <c r="B1628" t="s">
        <v>3471</v>
      </c>
      <c r="C1628">
        <v>42237</v>
      </c>
      <c r="D1628">
        <v>840781611</v>
      </c>
      <c r="E1628">
        <v>93600</v>
      </c>
      <c r="F1628">
        <v>64</v>
      </c>
      <c r="G1628">
        <v>32641573</v>
      </c>
      <c r="H1628">
        <v>335427</v>
      </c>
      <c r="I1628">
        <v>160655710</v>
      </c>
      <c r="J1628">
        <v>66</v>
      </c>
      <c r="K1628">
        <v>21</v>
      </c>
      <c r="L1628">
        <v>0</v>
      </c>
      <c r="M1628" t="s">
        <v>6371</v>
      </c>
    </row>
    <row r="1629" spans="1:13">
      <c r="A1629" t="s">
        <v>4600</v>
      </c>
      <c r="B1629" t="s">
        <v>4601</v>
      </c>
      <c r="C1629">
        <v>45008</v>
      </c>
      <c r="D1629">
        <v>33044062</v>
      </c>
      <c r="E1629">
        <v>11085</v>
      </c>
      <c r="F1629">
        <v>6</v>
      </c>
      <c r="G1629">
        <v>17304165</v>
      </c>
      <c r="H1629">
        <v>306669</v>
      </c>
      <c r="I1629">
        <v>2490290769</v>
      </c>
      <c r="J1629">
        <v>1</v>
      </c>
      <c r="K1629">
        <v>25</v>
      </c>
      <c r="L1629">
        <v>0</v>
      </c>
      <c r="M1629" t="s">
        <v>6370</v>
      </c>
    </row>
    <row r="1630" spans="1:13">
      <c r="A1630" t="s">
        <v>4602</v>
      </c>
      <c r="B1630" t="s">
        <v>4603</v>
      </c>
      <c r="C1630">
        <v>43552</v>
      </c>
      <c r="D1630">
        <v>346737588</v>
      </c>
      <c r="E1630">
        <v>25823</v>
      </c>
      <c r="F1630">
        <v>62</v>
      </c>
      <c r="G1630">
        <v>859633229</v>
      </c>
      <c r="H1630">
        <v>5596983</v>
      </c>
      <c r="I1630">
        <v>141133651</v>
      </c>
      <c r="J1630">
        <v>26</v>
      </c>
      <c r="K1630">
        <v>18</v>
      </c>
      <c r="L1630">
        <v>0</v>
      </c>
      <c r="M1630" t="s">
        <v>6371</v>
      </c>
    </row>
    <row r="1631" spans="1:13">
      <c r="A1631" t="s">
        <v>4604</v>
      </c>
      <c r="B1631" t="s">
        <v>99</v>
      </c>
      <c r="C1631">
        <v>44568</v>
      </c>
      <c r="D1631">
        <v>170941932</v>
      </c>
      <c r="E1631">
        <v>73853</v>
      </c>
      <c r="F1631">
        <v>62</v>
      </c>
      <c r="G1631">
        <v>68412662</v>
      </c>
      <c r="H1631">
        <v>574589</v>
      </c>
      <c r="I1631">
        <v>101411557</v>
      </c>
      <c r="J1631">
        <v>17</v>
      </c>
      <c r="K1631">
        <v>261</v>
      </c>
      <c r="L1631">
        <v>1</v>
      </c>
      <c r="M1631" t="s">
        <v>6370</v>
      </c>
    </row>
    <row r="1632" spans="1:13">
      <c r="A1632" t="s">
        <v>4607</v>
      </c>
      <c r="B1632" t="s">
        <v>324</v>
      </c>
      <c r="C1632">
        <v>42748</v>
      </c>
      <c r="D1632">
        <v>1188567787</v>
      </c>
      <c r="E1632">
        <v>125952</v>
      </c>
      <c r="F1632">
        <v>68</v>
      </c>
      <c r="G1632">
        <v>96234317</v>
      </c>
      <c r="H1632">
        <v>684919</v>
      </c>
      <c r="I1632">
        <v>388633141</v>
      </c>
      <c r="J1632">
        <v>99</v>
      </c>
      <c r="K1632">
        <v>91</v>
      </c>
      <c r="L1632">
        <v>0</v>
      </c>
      <c r="M1632" t="s">
        <v>6371</v>
      </c>
    </row>
    <row r="1633" spans="1:13">
      <c r="A1633" t="s">
        <v>4614</v>
      </c>
      <c r="B1633" t="s">
        <v>1803</v>
      </c>
      <c r="C1633">
        <v>45023</v>
      </c>
      <c r="D1633">
        <v>45382812</v>
      </c>
      <c r="E1633">
        <v>26937</v>
      </c>
      <c r="F1633">
        <v>57</v>
      </c>
      <c r="G1633">
        <v>55687483</v>
      </c>
      <c r="H1633">
        <v>788743</v>
      </c>
      <c r="I1633">
        <v>53885377</v>
      </c>
      <c r="J1633">
        <v>4</v>
      </c>
      <c r="K1633">
        <v>26</v>
      </c>
      <c r="L1633">
        <v>1</v>
      </c>
      <c r="M1633" t="s">
        <v>6370</v>
      </c>
    </row>
    <row r="1634" spans="1:13">
      <c r="A1634" t="s">
        <v>4617</v>
      </c>
      <c r="B1634" t="s">
        <v>19</v>
      </c>
      <c r="C1634">
        <v>40909</v>
      </c>
      <c r="D1634">
        <v>731646994</v>
      </c>
      <c r="E1634">
        <v>157106</v>
      </c>
      <c r="F1634">
        <v>75</v>
      </c>
      <c r="G1634">
        <v>149345457</v>
      </c>
      <c r="H1634">
        <v>1143981</v>
      </c>
      <c r="I1634">
        <v>87387158</v>
      </c>
      <c r="J1634">
        <v>62</v>
      </c>
      <c r="K1634">
        <v>21</v>
      </c>
      <c r="L1634">
        <v>1</v>
      </c>
      <c r="M1634" t="s">
        <v>6371</v>
      </c>
    </row>
    <row r="1635" spans="1:13">
      <c r="A1635" t="s">
        <v>4618</v>
      </c>
      <c r="B1635" t="s">
        <v>4619</v>
      </c>
      <c r="C1635">
        <v>45296</v>
      </c>
      <c r="D1635">
        <v>49756092</v>
      </c>
      <c r="E1635">
        <v>11905</v>
      </c>
      <c r="F1635">
        <v>73</v>
      </c>
      <c r="G1635">
        <v>16624763</v>
      </c>
      <c r="H1635">
        <v>340925</v>
      </c>
      <c r="I1635">
        <v>4372</v>
      </c>
      <c r="J1635">
        <v>12</v>
      </c>
      <c r="K1635">
        <v>5</v>
      </c>
      <c r="L1635">
        <v>1</v>
      </c>
      <c r="M1635" t="s">
        <v>6370</v>
      </c>
    </row>
    <row r="1636" spans="1:13">
      <c r="A1636" t="s">
        <v>4620</v>
      </c>
      <c r="B1636" t="s">
        <v>258</v>
      </c>
      <c r="C1636">
        <v>41652</v>
      </c>
      <c r="D1636">
        <v>526083566</v>
      </c>
      <c r="E1636">
        <v>76288</v>
      </c>
      <c r="F1636">
        <v>69</v>
      </c>
      <c r="G1636">
        <v>1460145349</v>
      </c>
      <c r="H1636">
        <v>7622345</v>
      </c>
      <c r="I1636">
        <v>212271619</v>
      </c>
      <c r="J1636">
        <v>40</v>
      </c>
      <c r="K1636">
        <v>1</v>
      </c>
      <c r="L1636">
        <v>0</v>
      </c>
      <c r="M1636" t="s">
        <v>6371</v>
      </c>
    </row>
    <row r="1637" spans="1:13">
      <c r="A1637" t="s">
        <v>4621</v>
      </c>
      <c r="B1637" t="s">
        <v>3006</v>
      </c>
      <c r="C1637">
        <v>42657</v>
      </c>
      <c r="D1637">
        <v>683966195</v>
      </c>
      <c r="E1637">
        <v>70054</v>
      </c>
      <c r="F1637">
        <v>65</v>
      </c>
      <c r="G1637">
        <v>570116637</v>
      </c>
      <c r="H1637">
        <v>4467555</v>
      </c>
      <c r="I1637">
        <v>57154966</v>
      </c>
      <c r="J1637">
        <v>62</v>
      </c>
      <c r="K1637">
        <v>12</v>
      </c>
      <c r="L1637">
        <v>0</v>
      </c>
      <c r="M1637" t="s">
        <v>6371</v>
      </c>
    </row>
    <row r="1638" spans="1:13">
      <c r="A1638" t="s">
        <v>4623</v>
      </c>
      <c r="B1638" t="s">
        <v>1286</v>
      </c>
      <c r="C1638">
        <v>43168</v>
      </c>
      <c r="D1638">
        <v>915401494</v>
      </c>
      <c r="E1638">
        <v>155329</v>
      </c>
      <c r="F1638">
        <v>80</v>
      </c>
      <c r="G1638">
        <v>223385717</v>
      </c>
      <c r="H1638">
        <v>2683841</v>
      </c>
      <c r="I1638">
        <v>1120661792</v>
      </c>
      <c r="J1638">
        <v>31</v>
      </c>
      <c r="K1638">
        <v>183</v>
      </c>
      <c r="L1638">
        <v>0</v>
      </c>
      <c r="M1638" t="s">
        <v>6371</v>
      </c>
    </row>
    <row r="1639" spans="1:13">
      <c r="A1639" t="s">
        <v>4624</v>
      </c>
      <c r="B1639" t="s">
        <v>127</v>
      </c>
      <c r="C1639">
        <v>44232</v>
      </c>
      <c r="D1639">
        <v>387273112</v>
      </c>
      <c r="E1639">
        <v>61978</v>
      </c>
      <c r="F1639">
        <v>65</v>
      </c>
      <c r="G1639">
        <v>103938760</v>
      </c>
      <c r="H1639">
        <v>1316097</v>
      </c>
      <c r="I1639">
        <v>179105827</v>
      </c>
      <c r="J1639">
        <v>59</v>
      </c>
      <c r="K1639">
        <v>708</v>
      </c>
      <c r="L1639">
        <v>1</v>
      </c>
      <c r="M1639" t="s">
        <v>6370</v>
      </c>
    </row>
    <row r="1640" spans="1:13">
      <c r="A1640" t="s">
        <v>1222</v>
      </c>
      <c r="B1640" t="s">
        <v>68</v>
      </c>
      <c r="C1640">
        <v>45093</v>
      </c>
      <c r="D1640">
        <v>124343335</v>
      </c>
      <c r="E1640">
        <v>25076</v>
      </c>
      <c r="F1640">
        <v>59</v>
      </c>
      <c r="G1640">
        <v>38371589</v>
      </c>
      <c r="H1640">
        <v>948608</v>
      </c>
      <c r="I1640">
        <v>244276844</v>
      </c>
      <c r="J1640">
        <v>37</v>
      </c>
      <c r="K1640">
        <v>41</v>
      </c>
      <c r="L1640">
        <v>1</v>
      </c>
      <c r="M1640" t="s">
        <v>6370</v>
      </c>
    </row>
    <row r="1641" spans="1:13">
      <c r="A1641" t="s">
        <v>4626</v>
      </c>
      <c r="B1641" t="s">
        <v>4627</v>
      </c>
      <c r="C1641">
        <v>39814</v>
      </c>
      <c r="D1641">
        <v>941989512</v>
      </c>
      <c r="E1641">
        <v>202958</v>
      </c>
      <c r="F1641">
        <v>74</v>
      </c>
      <c r="G1641">
        <v>680420701</v>
      </c>
      <c r="H1641">
        <v>5796336</v>
      </c>
      <c r="I1641">
        <v>239082117</v>
      </c>
      <c r="J1641">
        <v>49</v>
      </c>
      <c r="K1641">
        <v>58</v>
      </c>
      <c r="L1641">
        <v>0</v>
      </c>
      <c r="M1641" t="s">
        <v>6372</v>
      </c>
    </row>
    <row r="1642" spans="1:13">
      <c r="A1642" t="s">
        <v>4633</v>
      </c>
      <c r="B1642" t="s">
        <v>332</v>
      </c>
      <c r="C1642">
        <v>44778</v>
      </c>
      <c r="D1642">
        <v>245582383</v>
      </c>
      <c r="E1642">
        <v>50023</v>
      </c>
      <c r="F1642">
        <v>65</v>
      </c>
      <c r="G1642">
        <v>100812283</v>
      </c>
      <c r="H1642">
        <v>754232</v>
      </c>
      <c r="I1642">
        <v>97281914</v>
      </c>
      <c r="J1642">
        <v>19</v>
      </c>
      <c r="K1642">
        <v>75</v>
      </c>
      <c r="L1642">
        <v>0</v>
      </c>
      <c r="M1642" t="s">
        <v>6370</v>
      </c>
    </row>
    <row r="1643" spans="1:13">
      <c r="A1643" t="s">
        <v>4637</v>
      </c>
      <c r="B1643" t="s">
        <v>4507</v>
      </c>
      <c r="C1643">
        <v>44931</v>
      </c>
      <c r="D1643">
        <v>116035112</v>
      </c>
      <c r="E1643">
        <v>12404</v>
      </c>
      <c r="F1643">
        <v>61</v>
      </c>
      <c r="G1643">
        <v>11537522</v>
      </c>
      <c r="H1643">
        <v>78076</v>
      </c>
      <c r="I1643">
        <v>10490564</v>
      </c>
      <c r="J1643">
        <v>35</v>
      </c>
      <c r="K1643">
        <v>378</v>
      </c>
      <c r="L1643">
        <v>0</v>
      </c>
      <c r="M1643" t="s">
        <v>6370</v>
      </c>
    </row>
    <row r="1644" spans="1:13">
      <c r="A1644" t="s">
        <v>4638</v>
      </c>
      <c r="B1644" t="s">
        <v>4639</v>
      </c>
      <c r="C1644">
        <v>44057</v>
      </c>
      <c r="D1644">
        <v>390733154</v>
      </c>
      <c r="E1644">
        <v>105426</v>
      </c>
      <c r="F1644">
        <v>64</v>
      </c>
      <c r="G1644">
        <v>131372042</v>
      </c>
      <c r="H1644">
        <v>1114310</v>
      </c>
      <c r="I1644">
        <v>24693976</v>
      </c>
      <c r="J1644">
        <v>49</v>
      </c>
      <c r="K1644">
        <v>40</v>
      </c>
      <c r="L1644">
        <v>1</v>
      </c>
      <c r="M1644" t="s">
        <v>6371</v>
      </c>
    </row>
    <row r="1645" spans="1:13">
      <c r="A1645" t="s">
        <v>4642</v>
      </c>
      <c r="B1645" t="s">
        <v>644</v>
      </c>
      <c r="C1645">
        <v>44302</v>
      </c>
      <c r="D1645">
        <v>313144836</v>
      </c>
      <c r="E1645">
        <v>59063</v>
      </c>
      <c r="F1645">
        <v>62</v>
      </c>
      <c r="G1645">
        <v>63377694</v>
      </c>
      <c r="H1645">
        <v>505563</v>
      </c>
      <c r="I1645">
        <v>105002413</v>
      </c>
      <c r="J1645">
        <v>153</v>
      </c>
      <c r="K1645">
        <v>285</v>
      </c>
      <c r="L1645">
        <v>1</v>
      </c>
      <c r="M1645" t="s">
        <v>6370</v>
      </c>
    </row>
    <row r="1646" spans="1:13">
      <c r="A1646" t="s">
        <v>4643</v>
      </c>
      <c r="B1646" t="s">
        <v>123</v>
      </c>
      <c r="C1646">
        <v>40867</v>
      </c>
      <c r="D1646">
        <v>2502925593</v>
      </c>
      <c r="E1646">
        <v>212574</v>
      </c>
      <c r="F1646">
        <v>76</v>
      </c>
      <c r="G1646">
        <v>430771444</v>
      </c>
      <c r="H1646">
        <v>3399564</v>
      </c>
      <c r="I1646">
        <v>548933681</v>
      </c>
      <c r="J1646">
        <v>360</v>
      </c>
      <c r="K1646">
        <v>100</v>
      </c>
      <c r="L1646">
        <v>0</v>
      </c>
      <c r="M1646" t="s">
        <v>6371</v>
      </c>
    </row>
    <row r="1647" spans="1:13">
      <c r="A1647" t="s">
        <v>4644</v>
      </c>
      <c r="B1647" t="s">
        <v>1544</v>
      </c>
      <c r="C1647">
        <v>44883</v>
      </c>
      <c r="D1647">
        <v>204730798</v>
      </c>
      <c r="E1647">
        <v>35882</v>
      </c>
      <c r="F1647">
        <v>68</v>
      </c>
      <c r="G1647">
        <v>94105710</v>
      </c>
      <c r="H1647">
        <v>701021</v>
      </c>
      <c r="I1647">
        <v>411286349</v>
      </c>
      <c r="J1647">
        <v>12</v>
      </c>
      <c r="K1647">
        <v>836</v>
      </c>
      <c r="L1647">
        <v>1</v>
      </c>
      <c r="M1647" t="s">
        <v>6370</v>
      </c>
    </row>
    <row r="1648" spans="1:13">
      <c r="A1648" t="s">
        <v>4645</v>
      </c>
      <c r="B1648" t="s">
        <v>4646</v>
      </c>
      <c r="C1648">
        <v>44011</v>
      </c>
      <c r="D1648">
        <v>280901994</v>
      </c>
      <c r="E1648">
        <v>31034</v>
      </c>
      <c r="F1648">
        <v>63</v>
      </c>
      <c r="G1648">
        <v>489518287</v>
      </c>
      <c r="H1648">
        <v>8770696</v>
      </c>
      <c r="I1648">
        <v>948594062</v>
      </c>
      <c r="J1648">
        <v>6</v>
      </c>
      <c r="K1648">
        <v>7</v>
      </c>
      <c r="L1648">
        <v>0</v>
      </c>
      <c r="M1648" t="s">
        <v>6371</v>
      </c>
    </row>
    <row r="1649" spans="1:13">
      <c r="A1649" t="s">
        <v>2346</v>
      </c>
      <c r="B1649" t="s">
        <v>139</v>
      </c>
      <c r="C1649">
        <v>44474</v>
      </c>
      <c r="D1649">
        <v>222400657</v>
      </c>
      <c r="E1649">
        <v>19680</v>
      </c>
      <c r="F1649">
        <v>68</v>
      </c>
      <c r="G1649">
        <v>399807694</v>
      </c>
      <c r="H1649">
        <v>5239967</v>
      </c>
      <c r="I1649">
        <v>936285256</v>
      </c>
      <c r="J1649">
        <v>21</v>
      </c>
      <c r="K1649">
        <v>148</v>
      </c>
      <c r="L1649">
        <v>0</v>
      </c>
      <c r="M1649" t="s">
        <v>6370</v>
      </c>
    </row>
    <row r="1650" spans="1:13">
      <c r="A1650" t="s">
        <v>4664</v>
      </c>
      <c r="B1650" t="s">
        <v>4665</v>
      </c>
      <c r="C1650">
        <v>44140</v>
      </c>
      <c r="D1650">
        <v>401979272</v>
      </c>
      <c r="E1650">
        <v>80139</v>
      </c>
      <c r="F1650">
        <v>66</v>
      </c>
      <c r="G1650">
        <v>236719624</v>
      </c>
      <c r="H1650">
        <v>1667710</v>
      </c>
      <c r="I1650">
        <v>203030554</v>
      </c>
      <c r="J1650">
        <v>75</v>
      </c>
      <c r="K1650">
        <v>6</v>
      </c>
      <c r="L1650">
        <v>0</v>
      </c>
      <c r="M1650" t="s">
        <v>6371</v>
      </c>
    </row>
    <row r="1651" spans="1:13">
      <c r="A1651" t="s">
        <v>4666</v>
      </c>
      <c r="B1651" t="s">
        <v>318</v>
      </c>
      <c r="C1651">
        <v>45162</v>
      </c>
      <c r="D1651">
        <v>157676395</v>
      </c>
      <c r="E1651">
        <v>21485</v>
      </c>
      <c r="F1651">
        <v>76</v>
      </c>
      <c r="G1651">
        <v>5025676</v>
      </c>
      <c r="H1651">
        <v>28970</v>
      </c>
      <c r="I1651">
        <v>2359449</v>
      </c>
      <c r="J1651">
        <v>13</v>
      </c>
      <c r="K1651">
        <v>302</v>
      </c>
      <c r="L1651">
        <v>1</v>
      </c>
      <c r="M1651" t="s">
        <v>6370</v>
      </c>
    </row>
    <row r="1652" spans="1:13">
      <c r="A1652" t="s">
        <v>1746</v>
      </c>
      <c r="B1652" t="s">
        <v>1659</v>
      </c>
      <c r="C1652">
        <v>42629</v>
      </c>
      <c r="D1652">
        <v>1779760815</v>
      </c>
      <c r="E1652">
        <v>90161</v>
      </c>
      <c r="F1652">
        <v>69</v>
      </c>
      <c r="G1652">
        <v>734259158</v>
      </c>
      <c r="H1652">
        <v>3624282</v>
      </c>
      <c r="I1652">
        <v>371899383</v>
      </c>
      <c r="J1652">
        <v>136</v>
      </c>
      <c r="K1652">
        <v>82</v>
      </c>
      <c r="L1652">
        <v>0</v>
      </c>
      <c r="M1652" t="s">
        <v>6371</v>
      </c>
    </row>
    <row r="1653" spans="1:13">
      <c r="A1653" t="s">
        <v>4673</v>
      </c>
      <c r="B1653" t="s">
        <v>288</v>
      </c>
      <c r="C1653">
        <v>43243</v>
      </c>
      <c r="D1653">
        <v>786839663</v>
      </c>
      <c r="E1653">
        <v>128506</v>
      </c>
      <c r="F1653">
        <v>70</v>
      </c>
      <c r="G1653">
        <v>369178947</v>
      </c>
      <c r="H1653">
        <v>2899865</v>
      </c>
      <c r="I1653">
        <v>108771380</v>
      </c>
      <c r="J1653">
        <v>37</v>
      </c>
      <c r="K1653">
        <v>28</v>
      </c>
      <c r="L1653">
        <v>1</v>
      </c>
      <c r="M1653" t="s">
        <v>6371</v>
      </c>
    </row>
    <row r="1654" spans="1:13">
      <c r="A1654" t="s">
        <v>4678</v>
      </c>
      <c r="B1654" t="s">
        <v>4679</v>
      </c>
      <c r="C1654">
        <v>40867</v>
      </c>
      <c r="D1654">
        <v>613120952</v>
      </c>
      <c r="E1654">
        <v>70633</v>
      </c>
      <c r="F1654">
        <v>69</v>
      </c>
      <c r="G1654">
        <v>1740143685</v>
      </c>
      <c r="H1654">
        <v>4862755</v>
      </c>
      <c r="I1654">
        <v>266381642</v>
      </c>
      <c r="J1654">
        <v>105</v>
      </c>
      <c r="K1654">
        <v>59</v>
      </c>
      <c r="L1654">
        <v>0</v>
      </c>
      <c r="M1654" t="s">
        <v>6371</v>
      </c>
    </row>
    <row r="1655" spans="1:13">
      <c r="A1655" t="s">
        <v>4682</v>
      </c>
      <c r="B1655" t="s">
        <v>3760</v>
      </c>
      <c r="C1655">
        <v>43049</v>
      </c>
      <c r="D1655">
        <v>503915156</v>
      </c>
      <c r="E1655">
        <v>116054</v>
      </c>
      <c r="F1655">
        <v>72</v>
      </c>
      <c r="G1655">
        <v>395172100</v>
      </c>
      <c r="H1655">
        <v>4550650</v>
      </c>
      <c r="I1655">
        <v>485983172</v>
      </c>
      <c r="J1655">
        <v>10</v>
      </c>
      <c r="K1655">
        <v>73</v>
      </c>
      <c r="L1655">
        <v>0</v>
      </c>
      <c r="M1655" t="s">
        <v>6371</v>
      </c>
    </row>
    <row r="1656" spans="1:13">
      <c r="A1656" t="s">
        <v>4683</v>
      </c>
      <c r="B1656" t="s">
        <v>4684</v>
      </c>
      <c r="C1656">
        <v>44883</v>
      </c>
      <c r="D1656">
        <v>191918763</v>
      </c>
      <c r="E1656">
        <v>17921</v>
      </c>
      <c r="F1656">
        <v>67</v>
      </c>
      <c r="G1656">
        <v>168330437</v>
      </c>
      <c r="H1656">
        <v>768931</v>
      </c>
      <c r="I1656">
        <v>63785723</v>
      </c>
      <c r="J1656">
        <v>6</v>
      </c>
      <c r="K1656">
        <v>3</v>
      </c>
      <c r="L1656">
        <v>0</v>
      </c>
      <c r="M1656" t="s">
        <v>6370</v>
      </c>
    </row>
    <row r="1657" spans="1:13">
      <c r="A1657" t="s">
        <v>4685</v>
      </c>
      <c r="B1657" t="s">
        <v>676</v>
      </c>
      <c r="C1657">
        <v>43058</v>
      </c>
      <c r="D1657">
        <v>678928131</v>
      </c>
      <c r="E1657">
        <v>57167</v>
      </c>
      <c r="F1657">
        <v>72</v>
      </c>
      <c r="G1657">
        <v>775603021</v>
      </c>
      <c r="H1657">
        <v>5185313</v>
      </c>
      <c r="I1657">
        <v>567535888</v>
      </c>
      <c r="J1657">
        <v>58</v>
      </c>
      <c r="K1657">
        <v>141</v>
      </c>
      <c r="L1657">
        <v>0</v>
      </c>
      <c r="M1657" t="s">
        <v>6371</v>
      </c>
    </row>
    <row r="1658" spans="1:13">
      <c r="A1658" t="s">
        <v>4686</v>
      </c>
      <c r="B1658" t="s">
        <v>170</v>
      </c>
      <c r="C1658">
        <v>43406</v>
      </c>
      <c r="D1658">
        <v>474863499</v>
      </c>
      <c r="E1658">
        <v>33671</v>
      </c>
      <c r="F1658">
        <v>67</v>
      </c>
      <c r="G1658">
        <v>817844545</v>
      </c>
      <c r="H1658">
        <v>3801744</v>
      </c>
      <c r="I1658">
        <v>21632035</v>
      </c>
      <c r="J1658">
        <v>28</v>
      </c>
      <c r="K1658">
        <v>8</v>
      </c>
      <c r="L1658">
        <v>0</v>
      </c>
      <c r="M1658" t="s">
        <v>6371</v>
      </c>
    </row>
    <row r="1659" spans="1:13">
      <c r="A1659" t="s">
        <v>4687</v>
      </c>
      <c r="B1659" t="s">
        <v>4688</v>
      </c>
      <c r="C1659">
        <v>43588</v>
      </c>
      <c r="D1659">
        <v>359828344</v>
      </c>
      <c r="E1659">
        <v>77046</v>
      </c>
      <c r="F1659">
        <v>56</v>
      </c>
      <c r="G1659">
        <v>294072510</v>
      </c>
      <c r="H1659">
        <v>3184637</v>
      </c>
      <c r="I1659">
        <v>289928883</v>
      </c>
      <c r="J1659">
        <v>29</v>
      </c>
      <c r="K1659">
        <v>97</v>
      </c>
      <c r="L1659">
        <v>1</v>
      </c>
      <c r="M1659" t="s">
        <v>6371</v>
      </c>
    </row>
    <row r="1660" spans="1:13">
      <c r="A1660" t="s">
        <v>4689</v>
      </c>
      <c r="B1660" t="s">
        <v>332</v>
      </c>
      <c r="C1660">
        <v>45002</v>
      </c>
      <c r="D1660">
        <v>185448173</v>
      </c>
      <c r="E1660">
        <v>32140</v>
      </c>
      <c r="F1660">
        <v>66</v>
      </c>
      <c r="G1660">
        <v>64774453</v>
      </c>
      <c r="H1660">
        <v>486024</v>
      </c>
      <c r="I1660">
        <v>19349275</v>
      </c>
      <c r="J1660">
        <v>18</v>
      </c>
      <c r="K1660">
        <v>25</v>
      </c>
      <c r="L1660">
        <v>1</v>
      </c>
      <c r="M1660" t="s">
        <v>6370</v>
      </c>
    </row>
    <row r="1661" spans="1:13">
      <c r="A1661" t="s">
        <v>4701</v>
      </c>
      <c r="B1661" t="s">
        <v>59</v>
      </c>
      <c r="C1661">
        <v>43564</v>
      </c>
      <c r="D1661">
        <v>322757243</v>
      </c>
      <c r="E1661">
        <v>60278</v>
      </c>
      <c r="F1661">
        <v>62</v>
      </c>
      <c r="G1661">
        <v>640816810</v>
      </c>
      <c r="H1661">
        <v>3577858</v>
      </c>
      <c r="I1661">
        <v>215995105</v>
      </c>
      <c r="J1661">
        <v>26</v>
      </c>
      <c r="K1661">
        <v>27</v>
      </c>
      <c r="L1661">
        <v>1</v>
      </c>
      <c r="M1661" t="s">
        <v>6371</v>
      </c>
    </row>
    <row r="1662" spans="1:13">
      <c r="A1662" t="s">
        <v>4707</v>
      </c>
      <c r="B1662" t="s">
        <v>4708</v>
      </c>
      <c r="C1662">
        <v>45119</v>
      </c>
      <c r="D1662">
        <v>145323071</v>
      </c>
      <c r="E1662">
        <v>25526</v>
      </c>
      <c r="F1662">
        <v>73</v>
      </c>
      <c r="G1662">
        <v>3663144</v>
      </c>
      <c r="H1662">
        <v>87691</v>
      </c>
      <c r="I1662">
        <v>725884052</v>
      </c>
      <c r="J1662">
        <v>10</v>
      </c>
      <c r="K1662">
        <v>93</v>
      </c>
      <c r="L1662">
        <v>0</v>
      </c>
      <c r="M1662" t="s">
        <v>6370</v>
      </c>
    </row>
    <row r="1663" spans="1:13">
      <c r="A1663" t="s">
        <v>4710</v>
      </c>
      <c r="B1663" t="s">
        <v>4711</v>
      </c>
      <c r="C1663">
        <v>42010</v>
      </c>
      <c r="D1663">
        <v>657268053</v>
      </c>
      <c r="E1663">
        <v>85246</v>
      </c>
      <c r="F1663">
        <v>74</v>
      </c>
      <c r="G1663">
        <v>1022323850</v>
      </c>
      <c r="H1663">
        <v>6592447</v>
      </c>
      <c r="I1663">
        <v>2833651298</v>
      </c>
      <c r="J1663">
        <v>62</v>
      </c>
      <c r="K1663">
        <v>63</v>
      </c>
      <c r="L1663">
        <v>0</v>
      </c>
      <c r="M1663" t="s">
        <v>6371</v>
      </c>
    </row>
    <row r="1664" spans="1:13">
      <c r="A1664" t="s">
        <v>4714</v>
      </c>
      <c r="B1664" t="s">
        <v>4715</v>
      </c>
      <c r="C1664">
        <v>45153</v>
      </c>
      <c r="D1664">
        <v>21188649</v>
      </c>
      <c r="E1664">
        <v>3940</v>
      </c>
      <c r="F1664">
        <v>53</v>
      </c>
      <c r="G1664">
        <v>3560845</v>
      </c>
      <c r="H1664">
        <v>38522</v>
      </c>
      <c r="I1664">
        <v>34908043</v>
      </c>
      <c r="J1664">
        <v>22</v>
      </c>
      <c r="K1664">
        <v>114</v>
      </c>
      <c r="L1664">
        <v>1</v>
      </c>
      <c r="M1664" t="s">
        <v>6370</v>
      </c>
    </row>
    <row r="1665" spans="1:13">
      <c r="A1665" t="s">
        <v>4717</v>
      </c>
      <c r="B1665" t="s">
        <v>4718</v>
      </c>
      <c r="C1665">
        <v>44869</v>
      </c>
      <c r="D1665">
        <v>92384851</v>
      </c>
      <c r="E1665">
        <v>21304</v>
      </c>
      <c r="F1665">
        <v>59</v>
      </c>
      <c r="G1665">
        <v>170892300</v>
      </c>
      <c r="H1665">
        <v>978438</v>
      </c>
      <c r="I1665">
        <v>326613325</v>
      </c>
      <c r="J1665">
        <v>9</v>
      </c>
      <c r="K1665">
        <v>28</v>
      </c>
      <c r="L1665">
        <v>0</v>
      </c>
      <c r="M1665" t="s">
        <v>6370</v>
      </c>
    </row>
    <row r="1666" spans="1:13">
      <c r="A1666" t="s">
        <v>4721</v>
      </c>
      <c r="B1666" t="s">
        <v>4722</v>
      </c>
      <c r="C1666">
        <v>42895</v>
      </c>
      <c r="D1666">
        <v>840041803</v>
      </c>
      <c r="E1666">
        <v>147478</v>
      </c>
      <c r="F1666">
        <v>70</v>
      </c>
      <c r="G1666">
        <v>219305472</v>
      </c>
      <c r="H1666">
        <v>2631856</v>
      </c>
      <c r="I1666">
        <v>1133729550</v>
      </c>
      <c r="J1666">
        <v>69</v>
      </c>
      <c r="K1666">
        <v>50</v>
      </c>
      <c r="L1666">
        <v>0</v>
      </c>
      <c r="M1666" t="s">
        <v>6371</v>
      </c>
    </row>
    <row r="1667" spans="1:13">
      <c r="A1667" t="s">
        <v>4726</v>
      </c>
      <c r="B1667" t="s">
        <v>4727</v>
      </c>
      <c r="C1667">
        <v>45134</v>
      </c>
      <c r="D1667">
        <v>86069322</v>
      </c>
      <c r="E1667">
        <v>17650</v>
      </c>
      <c r="F1667">
        <v>60</v>
      </c>
      <c r="G1667">
        <v>15451799</v>
      </c>
      <c r="H1667">
        <v>202322</v>
      </c>
      <c r="I1667">
        <v>101213993</v>
      </c>
      <c r="J1667">
        <v>25</v>
      </c>
      <c r="K1667">
        <v>23</v>
      </c>
      <c r="L1667">
        <v>0</v>
      </c>
      <c r="M1667" t="s">
        <v>6370</v>
      </c>
    </row>
    <row r="1668" spans="1:13">
      <c r="A1668" t="s">
        <v>4728</v>
      </c>
      <c r="B1668" t="s">
        <v>371</v>
      </c>
      <c r="C1668">
        <v>39448</v>
      </c>
      <c r="D1668">
        <v>1285242562</v>
      </c>
      <c r="E1668">
        <v>216338</v>
      </c>
      <c r="F1668">
        <v>77</v>
      </c>
      <c r="G1668">
        <v>256379013</v>
      </c>
      <c r="H1668">
        <v>2156909</v>
      </c>
      <c r="I1668">
        <v>1231170484</v>
      </c>
      <c r="J1668">
        <v>172</v>
      </c>
      <c r="K1668">
        <v>268</v>
      </c>
      <c r="L1668">
        <v>0</v>
      </c>
      <c r="M1668" t="s">
        <v>6372</v>
      </c>
    </row>
    <row r="1669" spans="1:13">
      <c r="A1669" t="s">
        <v>4741</v>
      </c>
      <c r="B1669" t="s">
        <v>295</v>
      </c>
      <c r="C1669">
        <v>44869</v>
      </c>
      <c r="D1669">
        <v>167840439</v>
      </c>
      <c r="E1669">
        <v>54445</v>
      </c>
      <c r="F1669">
        <v>64</v>
      </c>
      <c r="G1669">
        <v>25641544</v>
      </c>
      <c r="H1669">
        <v>341459</v>
      </c>
      <c r="I1669">
        <v>52937881</v>
      </c>
      <c r="J1669">
        <v>6</v>
      </c>
      <c r="K1669">
        <v>118</v>
      </c>
      <c r="L1669">
        <v>1</v>
      </c>
      <c r="M1669" t="s">
        <v>6370</v>
      </c>
    </row>
    <row r="1670" spans="1:13">
      <c r="A1670" t="s">
        <v>4743</v>
      </c>
      <c r="B1670" t="s">
        <v>912</v>
      </c>
      <c r="C1670">
        <v>39083</v>
      </c>
      <c r="D1670">
        <v>1535595924</v>
      </c>
      <c r="E1670">
        <v>236327</v>
      </c>
      <c r="F1670">
        <v>77</v>
      </c>
      <c r="G1670">
        <v>1266946594</v>
      </c>
      <c r="H1670">
        <v>7227133</v>
      </c>
      <c r="I1670">
        <v>123440263</v>
      </c>
      <c r="J1670">
        <v>249</v>
      </c>
      <c r="K1670">
        <v>139</v>
      </c>
      <c r="L1670">
        <v>0</v>
      </c>
      <c r="M1670" t="s">
        <v>6372</v>
      </c>
    </row>
    <row r="1671" spans="1:13">
      <c r="A1671" t="s">
        <v>4747</v>
      </c>
      <c r="B1671" t="s">
        <v>47</v>
      </c>
      <c r="C1671">
        <v>45135</v>
      </c>
      <c r="D1671">
        <v>106740885</v>
      </c>
      <c r="E1671">
        <v>16395</v>
      </c>
      <c r="F1671">
        <v>66</v>
      </c>
      <c r="G1671">
        <v>4758436</v>
      </c>
      <c r="H1671">
        <v>46227</v>
      </c>
      <c r="I1671">
        <v>12122087</v>
      </c>
      <c r="J1671">
        <v>10</v>
      </c>
      <c r="K1671">
        <v>407</v>
      </c>
      <c r="L1671">
        <v>1</v>
      </c>
      <c r="M1671" t="s">
        <v>6370</v>
      </c>
    </row>
    <row r="1672" spans="1:13">
      <c r="A1672" t="s">
        <v>4750</v>
      </c>
      <c r="B1672" t="s">
        <v>879</v>
      </c>
      <c r="C1672">
        <v>44225</v>
      </c>
      <c r="D1672">
        <v>479276199</v>
      </c>
      <c r="E1672">
        <v>61386</v>
      </c>
      <c r="F1672">
        <v>60</v>
      </c>
      <c r="G1672">
        <v>228278348</v>
      </c>
      <c r="H1672">
        <v>3170402</v>
      </c>
      <c r="I1672">
        <v>303099826</v>
      </c>
      <c r="J1672">
        <v>95</v>
      </c>
      <c r="K1672">
        <v>135</v>
      </c>
      <c r="L1672">
        <v>0</v>
      </c>
      <c r="M1672" t="s">
        <v>6370</v>
      </c>
    </row>
    <row r="1673" spans="1:13">
      <c r="A1673" t="s">
        <v>4752</v>
      </c>
      <c r="B1673" t="s">
        <v>177</v>
      </c>
      <c r="C1673">
        <v>45044</v>
      </c>
      <c r="D1673">
        <v>173061521</v>
      </c>
      <c r="E1673">
        <v>18616</v>
      </c>
      <c r="F1673">
        <v>67</v>
      </c>
      <c r="G1673">
        <v>53668901</v>
      </c>
      <c r="H1673">
        <v>343308</v>
      </c>
      <c r="I1673">
        <v>239225982</v>
      </c>
      <c r="J1673">
        <v>11</v>
      </c>
      <c r="K1673">
        <v>1</v>
      </c>
      <c r="L1673">
        <v>0</v>
      </c>
      <c r="M1673" t="s">
        <v>6370</v>
      </c>
    </row>
    <row r="1674" spans="1:13">
      <c r="A1674" t="s">
        <v>4755</v>
      </c>
      <c r="B1674" t="s">
        <v>1857</v>
      </c>
      <c r="C1674">
        <v>44437</v>
      </c>
      <c r="D1674">
        <v>300082779</v>
      </c>
      <c r="E1674">
        <v>103366</v>
      </c>
      <c r="F1674">
        <v>65</v>
      </c>
      <c r="G1674">
        <v>26665548</v>
      </c>
      <c r="H1674">
        <v>457381</v>
      </c>
      <c r="I1674">
        <v>259653952</v>
      </c>
      <c r="J1674">
        <v>25</v>
      </c>
      <c r="K1674">
        <v>2</v>
      </c>
      <c r="L1674">
        <v>0</v>
      </c>
      <c r="M1674" t="s">
        <v>6370</v>
      </c>
    </row>
    <row r="1675" spans="1:13">
      <c r="A1675" t="s">
        <v>4756</v>
      </c>
      <c r="B1675" t="s">
        <v>4757</v>
      </c>
      <c r="C1675">
        <v>42587</v>
      </c>
      <c r="D1675">
        <v>597718233</v>
      </c>
      <c r="E1675">
        <v>172980</v>
      </c>
      <c r="F1675">
        <v>76</v>
      </c>
      <c r="G1675">
        <v>152225528</v>
      </c>
      <c r="H1675">
        <v>2379610</v>
      </c>
      <c r="I1675">
        <v>1985146213</v>
      </c>
      <c r="J1675">
        <v>11</v>
      </c>
      <c r="K1675">
        <v>57</v>
      </c>
      <c r="L1675">
        <v>0</v>
      </c>
      <c r="M1675" t="s">
        <v>6371</v>
      </c>
    </row>
    <row r="1676" spans="1:13">
      <c r="A1676" t="s">
        <v>4759</v>
      </c>
      <c r="B1676" t="s">
        <v>2289</v>
      </c>
      <c r="C1676">
        <v>44995</v>
      </c>
      <c r="D1676">
        <v>66067682</v>
      </c>
      <c r="E1676">
        <v>7457</v>
      </c>
      <c r="F1676">
        <v>65</v>
      </c>
      <c r="G1676">
        <v>7470172</v>
      </c>
      <c r="H1676">
        <v>52452</v>
      </c>
      <c r="I1676">
        <v>2892289</v>
      </c>
      <c r="J1676">
        <v>24</v>
      </c>
      <c r="K1676">
        <v>68</v>
      </c>
      <c r="L1676">
        <v>0</v>
      </c>
      <c r="M1676" t="s">
        <v>6370</v>
      </c>
    </row>
    <row r="1677" spans="1:13">
      <c r="A1677" t="s">
        <v>4760</v>
      </c>
      <c r="B1677" t="s">
        <v>981</v>
      </c>
      <c r="C1677">
        <v>43153</v>
      </c>
      <c r="D1677">
        <v>981323727</v>
      </c>
      <c r="E1677">
        <v>120261</v>
      </c>
      <c r="F1677">
        <v>73</v>
      </c>
      <c r="G1677">
        <v>87459823</v>
      </c>
      <c r="H1677">
        <v>548954</v>
      </c>
      <c r="I1677">
        <v>371899059</v>
      </c>
      <c r="J1677">
        <v>110</v>
      </c>
      <c r="K1677">
        <v>341</v>
      </c>
      <c r="L1677">
        <v>0</v>
      </c>
      <c r="M1677" t="s">
        <v>6371</v>
      </c>
    </row>
    <row r="1678" spans="1:13">
      <c r="A1678" t="s">
        <v>4768</v>
      </c>
      <c r="B1678" t="s">
        <v>4769</v>
      </c>
      <c r="C1678">
        <v>44589</v>
      </c>
      <c r="D1678">
        <v>94677649</v>
      </c>
      <c r="E1678">
        <v>9726</v>
      </c>
      <c r="F1678">
        <v>58</v>
      </c>
      <c r="G1678">
        <v>380478131</v>
      </c>
      <c r="H1678">
        <v>958443</v>
      </c>
      <c r="I1678">
        <v>39716201</v>
      </c>
      <c r="J1678">
        <v>8</v>
      </c>
      <c r="K1678">
        <v>17</v>
      </c>
      <c r="L1678">
        <v>0</v>
      </c>
      <c r="M1678" t="s">
        <v>6370</v>
      </c>
    </row>
    <row r="1679" spans="1:13">
      <c r="A1679" t="s">
        <v>4772</v>
      </c>
      <c r="B1679" t="s">
        <v>1210</v>
      </c>
      <c r="C1679">
        <v>44974</v>
      </c>
      <c r="D1679">
        <v>64851689</v>
      </c>
      <c r="E1679">
        <v>10684</v>
      </c>
      <c r="F1679">
        <v>57</v>
      </c>
      <c r="G1679">
        <v>26844412</v>
      </c>
      <c r="H1679">
        <v>215475</v>
      </c>
      <c r="I1679">
        <v>127114832</v>
      </c>
      <c r="J1679">
        <v>52</v>
      </c>
      <c r="K1679">
        <v>1319</v>
      </c>
      <c r="L1679">
        <v>1</v>
      </c>
      <c r="M1679" t="s">
        <v>6370</v>
      </c>
    </row>
    <row r="1680" spans="1:13">
      <c r="A1680" t="s">
        <v>4773</v>
      </c>
      <c r="B1680" t="s">
        <v>574</v>
      </c>
      <c r="C1680">
        <v>44785</v>
      </c>
      <c r="D1680">
        <v>85785871</v>
      </c>
      <c r="E1680">
        <v>28868</v>
      </c>
      <c r="F1680">
        <v>60</v>
      </c>
      <c r="G1680">
        <v>12121852</v>
      </c>
      <c r="H1680">
        <v>157411</v>
      </c>
      <c r="I1680">
        <v>2095787</v>
      </c>
      <c r="J1680">
        <v>9</v>
      </c>
      <c r="K1680">
        <v>894</v>
      </c>
      <c r="L1680">
        <v>1</v>
      </c>
      <c r="M1680" t="s">
        <v>6370</v>
      </c>
    </row>
    <row r="1681" spans="1:13">
      <c r="A1681" t="s">
        <v>4776</v>
      </c>
      <c r="B1681" t="s">
        <v>315</v>
      </c>
      <c r="C1681">
        <v>45051</v>
      </c>
      <c r="D1681">
        <v>70418045</v>
      </c>
      <c r="E1681">
        <v>19968</v>
      </c>
      <c r="F1681">
        <v>60</v>
      </c>
      <c r="G1681">
        <v>39812848</v>
      </c>
      <c r="H1681">
        <v>590392</v>
      </c>
      <c r="I1681">
        <v>767711351</v>
      </c>
      <c r="J1681">
        <v>13</v>
      </c>
      <c r="K1681">
        <v>2355</v>
      </c>
      <c r="L1681">
        <v>1</v>
      </c>
      <c r="M1681" t="s">
        <v>6370</v>
      </c>
    </row>
    <row r="1682" spans="1:13">
      <c r="A1682" t="s">
        <v>4777</v>
      </c>
      <c r="B1682" t="s">
        <v>479</v>
      </c>
      <c r="C1682">
        <v>42776</v>
      </c>
      <c r="D1682">
        <v>571538542</v>
      </c>
      <c r="E1682">
        <v>59626</v>
      </c>
      <c r="F1682">
        <v>64</v>
      </c>
      <c r="G1682">
        <v>798537539</v>
      </c>
      <c r="H1682">
        <v>5042041</v>
      </c>
      <c r="I1682">
        <v>68206300</v>
      </c>
      <c r="J1682">
        <v>100</v>
      </c>
      <c r="K1682">
        <v>15</v>
      </c>
      <c r="L1682">
        <v>0</v>
      </c>
      <c r="M1682" t="s">
        <v>6371</v>
      </c>
    </row>
    <row r="1683" spans="1:13">
      <c r="A1683" t="s">
        <v>4778</v>
      </c>
      <c r="B1683" t="s">
        <v>123</v>
      </c>
      <c r="C1683">
        <v>43831</v>
      </c>
      <c r="D1683">
        <v>461495506</v>
      </c>
      <c r="E1683">
        <v>64344</v>
      </c>
      <c r="F1683">
        <v>63</v>
      </c>
      <c r="G1683">
        <v>183828202</v>
      </c>
      <c r="H1683">
        <v>2212191</v>
      </c>
      <c r="I1683">
        <v>574322224</v>
      </c>
      <c r="J1683">
        <v>150</v>
      </c>
      <c r="K1683">
        <v>81</v>
      </c>
      <c r="L1683">
        <v>0</v>
      </c>
      <c r="M1683" t="s">
        <v>6371</v>
      </c>
    </row>
    <row r="1684" spans="1:13">
      <c r="A1684" t="s">
        <v>4780</v>
      </c>
      <c r="B1684" t="s">
        <v>4781</v>
      </c>
      <c r="C1684">
        <v>37987</v>
      </c>
      <c r="D1684">
        <v>2174022106</v>
      </c>
      <c r="E1684">
        <v>326294</v>
      </c>
      <c r="F1684">
        <v>81</v>
      </c>
      <c r="G1684">
        <v>183968852</v>
      </c>
      <c r="H1684">
        <v>1687112</v>
      </c>
      <c r="I1684">
        <v>294739225</v>
      </c>
      <c r="J1684">
        <v>293</v>
      </c>
      <c r="K1684">
        <v>217</v>
      </c>
      <c r="L1684">
        <v>0</v>
      </c>
      <c r="M1684" t="s">
        <v>6372</v>
      </c>
    </row>
    <row r="1685" spans="1:13">
      <c r="A1685" t="s">
        <v>4782</v>
      </c>
      <c r="B1685" t="s">
        <v>4783</v>
      </c>
      <c r="C1685">
        <v>38718</v>
      </c>
      <c r="D1685">
        <v>1194124781</v>
      </c>
      <c r="E1685">
        <v>235618</v>
      </c>
      <c r="F1685">
        <v>78</v>
      </c>
      <c r="G1685">
        <v>810297837</v>
      </c>
      <c r="H1685">
        <v>4900990</v>
      </c>
      <c r="I1685">
        <v>1795501997</v>
      </c>
      <c r="J1685">
        <v>164</v>
      </c>
      <c r="K1685">
        <v>337</v>
      </c>
      <c r="L1685">
        <v>0</v>
      </c>
      <c r="M1685" t="s">
        <v>6372</v>
      </c>
    </row>
    <row r="1686" spans="1:13">
      <c r="A1686" t="s">
        <v>4784</v>
      </c>
      <c r="B1686" t="s">
        <v>252</v>
      </c>
      <c r="C1686">
        <v>43847</v>
      </c>
      <c r="D1686">
        <v>459923962</v>
      </c>
      <c r="E1686">
        <v>28314</v>
      </c>
      <c r="F1686">
        <v>64</v>
      </c>
      <c r="G1686">
        <v>603350721</v>
      </c>
      <c r="H1686">
        <v>14962059</v>
      </c>
      <c r="I1686">
        <v>535835122</v>
      </c>
      <c r="J1686">
        <v>23</v>
      </c>
      <c r="K1686">
        <v>1</v>
      </c>
      <c r="L1686">
        <v>0</v>
      </c>
      <c r="M1686" t="s">
        <v>6371</v>
      </c>
    </row>
    <row r="1687" spans="1:13">
      <c r="A1687" t="s">
        <v>4785</v>
      </c>
      <c r="B1687" t="s">
        <v>682</v>
      </c>
      <c r="C1687">
        <v>44708</v>
      </c>
      <c r="D1687">
        <v>210513394</v>
      </c>
      <c r="E1687">
        <v>16039</v>
      </c>
      <c r="F1687">
        <v>67</v>
      </c>
      <c r="G1687">
        <v>270821476</v>
      </c>
      <c r="H1687">
        <v>4018096</v>
      </c>
      <c r="I1687">
        <v>797795448</v>
      </c>
      <c r="J1687">
        <v>11</v>
      </c>
      <c r="K1687">
        <v>6</v>
      </c>
      <c r="L1687">
        <v>0</v>
      </c>
      <c r="M1687" t="s">
        <v>6370</v>
      </c>
    </row>
    <row r="1688" spans="1:13">
      <c r="A1688" t="s">
        <v>4786</v>
      </c>
      <c r="B1688" t="s">
        <v>1445</v>
      </c>
      <c r="C1688">
        <v>44862</v>
      </c>
      <c r="D1688">
        <v>320296093</v>
      </c>
      <c r="E1688">
        <v>42685</v>
      </c>
      <c r="F1688">
        <v>76</v>
      </c>
      <c r="G1688">
        <v>27153913</v>
      </c>
      <c r="H1688">
        <v>493000</v>
      </c>
      <c r="I1688">
        <v>38533990</v>
      </c>
      <c r="J1688">
        <v>14</v>
      </c>
      <c r="K1688">
        <v>14</v>
      </c>
      <c r="L1688">
        <v>0</v>
      </c>
      <c r="M1688" t="s">
        <v>6370</v>
      </c>
    </row>
    <row r="1689" spans="1:13">
      <c r="A1689" t="s">
        <v>4799</v>
      </c>
      <c r="B1689" t="s">
        <v>2047</v>
      </c>
      <c r="C1689">
        <v>43199</v>
      </c>
      <c r="D1689">
        <v>442941122</v>
      </c>
      <c r="E1689">
        <v>37463</v>
      </c>
      <c r="F1689">
        <v>67</v>
      </c>
      <c r="G1689">
        <v>885861488</v>
      </c>
      <c r="H1689">
        <v>8213650</v>
      </c>
      <c r="I1689">
        <v>995480226</v>
      </c>
      <c r="J1689">
        <v>21</v>
      </c>
      <c r="K1689">
        <v>14</v>
      </c>
      <c r="L1689">
        <v>0</v>
      </c>
      <c r="M1689" t="s">
        <v>6371</v>
      </c>
    </row>
    <row r="1690" spans="1:13">
      <c r="A1690" t="s">
        <v>4805</v>
      </c>
      <c r="B1690" t="s">
        <v>4222</v>
      </c>
      <c r="C1690">
        <v>44972</v>
      </c>
      <c r="D1690">
        <v>209167955</v>
      </c>
      <c r="E1690">
        <v>35685</v>
      </c>
      <c r="F1690">
        <v>73</v>
      </c>
      <c r="G1690">
        <v>35239823</v>
      </c>
      <c r="H1690">
        <v>777957</v>
      </c>
      <c r="I1690">
        <v>275970237</v>
      </c>
      <c r="J1690">
        <v>31</v>
      </c>
      <c r="K1690">
        <v>877</v>
      </c>
      <c r="L1690">
        <v>0</v>
      </c>
      <c r="M1690" t="s">
        <v>6370</v>
      </c>
    </row>
    <row r="1691" spans="1:13">
      <c r="A1691" t="s">
        <v>4808</v>
      </c>
      <c r="B1691" t="s">
        <v>133</v>
      </c>
      <c r="C1691">
        <v>44953</v>
      </c>
      <c r="D1691">
        <v>146921991</v>
      </c>
      <c r="E1691">
        <v>18446</v>
      </c>
      <c r="F1691">
        <v>61</v>
      </c>
      <c r="G1691">
        <v>37582359</v>
      </c>
      <c r="H1691">
        <v>438887</v>
      </c>
      <c r="I1691">
        <v>351979940</v>
      </c>
      <c r="J1691">
        <v>52</v>
      </c>
      <c r="K1691">
        <v>63</v>
      </c>
      <c r="L1691">
        <v>0</v>
      </c>
      <c r="M1691" t="s">
        <v>6370</v>
      </c>
    </row>
    <row r="1692" spans="1:13">
      <c r="A1692" t="s">
        <v>4813</v>
      </c>
      <c r="B1692" t="s">
        <v>781</v>
      </c>
      <c r="C1692">
        <v>44715</v>
      </c>
      <c r="D1692">
        <v>103549505</v>
      </c>
      <c r="E1692">
        <v>45954</v>
      </c>
      <c r="F1692">
        <v>55</v>
      </c>
      <c r="G1692">
        <v>40937892</v>
      </c>
      <c r="H1692">
        <v>673845</v>
      </c>
      <c r="I1692">
        <v>21878255</v>
      </c>
      <c r="J1692">
        <v>22</v>
      </c>
      <c r="K1692">
        <v>35</v>
      </c>
      <c r="L1692">
        <v>1</v>
      </c>
      <c r="M1692" t="s">
        <v>6370</v>
      </c>
    </row>
    <row r="1693" spans="1:13">
      <c r="A1693" t="s">
        <v>4815</v>
      </c>
      <c r="B1693" t="s">
        <v>170</v>
      </c>
      <c r="C1693">
        <v>44980</v>
      </c>
      <c r="D1693">
        <v>114323355</v>
      </c>
      <c r="E1693">
        <v>16398</v>
      </c>
      <c r="F1693">
        <v>64</v>
      </c>
      <c r="G1693">
        <v>97148590</v>
      </c>
      <c r="H1693">
        <v>542833</v>
      </c>
      <c r="I1693">
        <v>322572081</v>
      </c>
      <c r="J1693">
        <v>10</v>
      </c>
      <c r="K1693">
        <v>12</v>
      </c>
      <c r="L1693">
        <v>0</v>
      </c>
      <c r="M1693" t="s">
        <v>6370</v>
      </c>
    </row>
    <row r="1694" spans="1:13">
      <c r="A1694" t="s">
        <v>4817</v>
      </c>
      <c r="B1694" t="s">
        <v>99</v>
      </c>
      <c r="C1694">
        <v>45093</v>
      </c>
      <c r="D1694">
        <v>65374827</v>
      </c>
      <c r="E1694">
        <v>33151</v>
      </c>
      <c r="F1694">
        <v>63</v>
      </c>
      <c r="G1694">
        <v>30059409</v>
      </c>
      <c r="H1694">
        <v>305484</v>
      </c>
      <c r="I1694">
        <v>11013533</v>
      </c>
      <c r="J1694">
        <v>28</v>
      </c>
      <c r="K1694">
        <v>5</v>
      </c>
      <c r="L1694">
        <v>1</v>
      </c>
      <c r="M1694" t="s">
        <v>6370</v>
      </c>
    </row>
    <row r="1695" spans="1:13">
      <c r="A1695" t="s">
        <v>4818</v>
      </c>
      <c r="B1695" t="s">
        <v>912</v>
      </c>
      <c r="C1695">
        <v>42028</v>
      </c>
      <c r="D1695">
        <v>1134470968</v>
      </c>
      <c r="E1695">
        <v>131102</v>
      </c>
      <c r="F1695">
        <v>72</v>
      </c>
      <c r="G1695">
        <v>571589993</v>
      </c>
      <c r="H1695">
        <v>3107613</v>
      </c>
      <c r="I1695">
        <v>5272</v>
      </c>
      <c r="J1695">
        <v>93</v>
      </c>
      <c r="K1695">
        <v>13</v>
      </c>
      <c r="L1695">
        <v>0</v>
      </c>
      <c r="M1695" t="s">
        <v>6371</v>
      </c>
    </row>
    <row r="1696" spans="1:13">
      <c r="A1696" t="s">
        <v>4819</v>
      </c>
      <c r="B1696" t="s">
        <v>110</v>
      </c>
      <c r="C1696">
        <v>43329</v>
      </c>
      <c r="D1696">
        <v>743015700</v>
      </c>
      <c r="E1696">
        <v>133098</v>
      </c>
      <c r="F1696">
        <v>77</v>
      </c>
      <c r="G1696">
        <v>177148832</v>
      </c>
      <c r="H1696">
        <v>2616878</v>
      </c>
      <c r="I1696">
        <v>1004422009</v>
      </c>
      <c r="J1696">
        <v>14</v>
      </c>
      <c r="K1696">
        <v>250</v>
      </c>
      <c r="L1696">
        <v>0</v>
      </c>
      <c r="M1696" t="s">
        <v>6371</v>
      </c>
    </row>
    <row r="1697" spans="1:13">
      <c r="A1697" t="s">
        <v>4823</v>
      </c>
      <c r="B1697" t="s">
        <v>3885</v>
      </c>
      <c r="C1697">
        <v>45057</v>
      </c>
      <c r="D1697">
        <v>46615691</v>
      </c>
      <c r="E1697">
        <v>29693</v>
      </c>
      <c r="F1697">
        <v>54</v>
      </c>
      <c r="G1697">
        <v>6255853</v>
      </c>
      <c r="H1697">
        <v>83064</v>
      </c>
      <c r="I1697">
        <v>758814572</v>
      </c>
      <c r="J1697">
        <v>44</v>
      </c>
      <c r="K1697">
        <v>11</v>
      </c>
      <c r="L1697">
        <v>0</v>
      </c>
      <c r="M1697" t="s">
        <v>6370</v>
      </c>
    </row>
    <row r="1698" spans="1:13">
      <c r="A1698" t="s">
        <v>4824</v>
      </c>
      <c r="B1698" t="s">
        <v>1890</v>
      </c>
      <c r="C1698">
        <v>44092</v>
      </c>
      <c r="D1698">
        <v>390893607</v>
      </c>
      <c r="E1698">
        <v>109900</v>
      </c>
      <c r="F1698">
        <v>66</v>
      </c>
      <c r="G1698">
        <v>94620680</v>
      </c>
      <c r="H1698">
        <v>974740</v>
      </c>
      <c r="I1698">
        <v>368523039</v>
      </c>
      <c r="J1698">
        <v>32</v>
      </c>
      <c r="K1698">
        <v>6</v>
      </c>
      <c r="L1698">
        <v>1</v>
      </c>
      <c r="M1698" t="s">
        <v>6371</v>
      </c>
    </row>
    <row r="1699" spans="1:13">
      <c r="A1699" t="s">
        <v>4828</v>
      </c>
      <c r="B1699" t="s">
        <v>315</v>
      </c>
      <c r="C1699">
        <v>44365</v>
      </c>
      <c r="D1699">
        <v>216934691</v>
      </c>
      <c r="E1699">
        <v>65171</v>
      </c>
      <c r="F1699">
        <v>60</v>
      </c>
      <c r="G1699">
        <v>70627607</v>
      </c>
      <c r="H1699">
        <v>1101053</v>
      </c>
      <c r="I1699">
        <v>1016363322</v>
      </c>
      <c r="J1699">
        <v>33</v>
      </c>
      <c r="K1699">
        <v>94</v>
      </c>
      <c r="L1699">
        <v>1</v>
      </c>
      <c r="M1699" t="s">
        <v>6370</v>
      </c>
    </row>
    <row r="1700" spans="1:13">
      <c r="A1700" t="s">
        <v>4829</v>
      </c>
      <c r="B1700" t="s">
        <v>4830</v>
      </c>
      <c r="C1700">
        <v>43847</v>
      </c>
      <c r="D1700">
        <v>188774618</v>
      </c>
      <c r="E1700">
        <v>39746</v>
      </c>
      <c r="F1700">
        <v>63</v>
      </c>
      <c r="G1700">
        <v>175882087</v>
      </c>
      <c r="H1700">
        <v>1473683</v>
      </c>
      <c r="I1700">
        <v>91057232</v>
      </c>
      <c r="J1700">
        <v>19</v>
      </c>
      <c r="K1700">
        <v>69</v>
      </c>
      <c r="L1700">
        <v>1</v>
      </c>
      <c r="M1700" t="s">
        <v>6371</v>
      </c>
    </row>
    <row r="1701" spans="1:13">
      <c r="A1701" t="s">
        <v>4835</v>
      </c>
      <c r="B1701" t="s">
        <v>3604</v>
      </c>
      <c r="C1701">
        <v>43714</v>
      </c>
      <c r="D1701">
        <v>207093355</v>
      </c>
      <c r="E1701">
        <v>33813</v>
      </c>
      <c r="F1701">
        <v>55</v>
      </c>
      <c r="G1701">
        <v>683691095</v>
      </c>
      <c r="H1701">
        <v>3379761</v>
      </c>
      <c r="I1701">
        <v>534205330</v>
      </c>
      <c r="J1701">
        <v>17</v>
      </c>
      <c r="K1701">
        <v>12</v>
      </c>
      <c r="L1701">
        <v>1</v>
      </c>
      <c r="M1701" t="s">
        <v>6371</v>
      </c>
    </row>
    <row r="1702" spans="1:13">
      <c r="A1702" t="s">
        <v>3062</v>
      </c>
      <c r="B1702" t="s">
        <v>418</v>
      </c>
      <c r="C1702">
        <v>40909</v>
      </c>
      <c r="D1702">
        <v>508914869</v>
      </c>
      <c r="E1702">
        <v>86239</v>
      </c>
      <c r="F1702">
        <v>70</v>
      </c>
      <c r="G1702">
        <v>1529347092</v>
      </c>
      <c r="H1702">
        <v>6057759</v>
      </c>
      <c r="I1702">
        <v>73318392</v>
      </c>
      <c r="J1702">
        <v>48</v>
      </c>
      <c r="K1702">
        <v>67</v>
      </c>
      <c r="L1702">
        <v>0</v>
      </c>
      <c r="M1702" t="s">
        <v>6371</v>
      </c>
    </row>
    <row r="1703" spans="1:13">
      <c r="A1703" t="s">
        <v>4842</v>
      </c>
      <c r="B1703" t="s">
        <v>4843</v>
      </c>
      <c r="C1703">
        <v>44589</v>
      </c>
      <c r="D1703">
        <v>216252006</v>
      </c>
      <c r="E1703">
        <v>55274</v>
      </c>
      <c r="F1703">
        <v>70</v>
      </c>
      <c r="G1703">
        <v>164171809</v>
      </c>
      <c r="H1703">
        <v>2843492</v>
      </c>
      <c r="I1703">
        <v>3837839</v>
      </c>
      <c r="J1703">
        <v>13</v>
      </c>
      <c r="K1703">
        <v>14</v>
      </c>
      <c r="L1703">
        <v>1</v>
      </c>
      <c r="M1703" t="s">
        <v>6370</v>
      </c>
    </row>
    <row r="1704" spans="1:13">
      <c r="A1704" t="s">
        <v>4844</v>
      </c>
      <c r="B1704" t="s">
        <v>3918</v>
      </c>
      <c r="C1704">
        <v>44981</v>
      </c>
      <c r="D1704">
        <v>197096592</v>
      </c>
      <c r="E1704">
        <v>36980</v>
      </c>
      <c r="F1704">
        <v>62</v>
      </c>
      <c r="G1704">
        <v>33253817</v>
      </c>
      <c r="H1704">
        <v>624663</v>
      </c>
      <c r="I1704">
        <v>327222300</v>
      </c>
      <c r="J1704">
        <v>14</v>
      </c>
      <c r="K1704">
        <v>33</v>
      </c>
      <c r="L1704">
        <v>1</v>
      </c>
      <c r="M1704" t="s">
        <v>6370</v>
      </c>
    </row>
    <row r="1705" spans="1:13">
      <c r="A1705" t="s">
        <v>4845</v>
      </c>
      <c r="B1705" t="s">
        <v>557</v>
      </c>
      <c r="C1705">
        <v>40179</v>
      </c>
      <c r="D1705">
        <v>841183589</v>
      </c>
      <c r="E1705">
        <v>178587</v>
      </c>
      <c r="F1705">
        <v>76</v>
      </c>
      <c r="G1705">
        <v>485860020</v>
      </c>
      <c r="H1705">
        <v>3227301</v>
      </c>
      <c r="I1705">
        <v>64589027</v>
      </c>
      <c r="J1705">
        <v>112</v>
      </c>
      <c r="K1705">
        <v>351</v>
      </c>
      <c r="L1705">
        <v>0</v>
      </c>
      <c r="M1705" t="s">
        <v>6371</v>
      </c>
    </row>
    <row r="1706" spans="1:13">
      <c r="A1706" t="s">
        <v>4850</v>
      </c>
      <c r="B1706" t="s">
        <v>1812</v>
      </c>
      <c r="C1706">
        <v>43448</v>
      </c>
      <c r="D1706">
        <v>407025386</v>
      </c>
      <c r="E1706">
        <v>32596</v>
      </c>
      <c r="F1706">
        <v>62</v>
      </c>
      <c r="G1706">
        <v>742853552</v>
      </c>
      <c r="H1706">
        <v>2408323</v>
      </c>
      <c r="I1706">
        <v>16922902</v>
      </c>
      <c r="J1706">
        <v>31</v>
      </c>
      <c r="K1706">
        <v>51</v>
      </c>
      <c r="L1706">
        <v>0</v>
      </c>
      <c r="M1706" t="s">
        <v>6371</v>
      </c>
    </row>
    <row r="1707" spans="1:13">
      <c r="A1707" t="s">
        <v>4851</v>
      </c>
      <c r="B1707" t="s">
        <v>173</v>
      </c>
      <c r="C1707">
        <v>44469</v>
      </c>
      <c r="D1707">
        <v>186233910</v>
      </c>
      <c r="E1707">
        <v>58393</v>
      </c>
      <c r="F1707">
        <v>55</v>
      </c>
      <c r="G1707">
        <v>114487705</v>
      </c>
      <c r="H1707">
        <v>1160464</v>
      </c>
      <c r="I1707">
        <v>95822904</v>
      </c>
      <c r="J1707">
        <v>46</v>
      </c>
      <c r="K1707">
        <v>24</v>
      </c>
      <c r="L1707">
        <v>1</v>
      </c>
      <c r="M1707" t="s">
        <v>6370</v>
      </c>
    </row>
    <row r="1708" spans="1:13">
      <c r="A1708" t="s">
        <v>4856</v>
      </c>
      <c r="B1708" t="s">
        <v>1803</v>
      </c>
      <c r="C1708">
        <v>42594</v>
      </c>
      <c r="D1708">
        <v>658051344</v>
      </c>
      <c r="E1708">
        <v>128507</v>
      </c>
      <c r="F1708">
        <v>66</v>
      </c>
      <c r="G1708">
        <v>502542395</v>
      </c>
      <c r="H1708">
        <v>3470603</v>
      </c>
      <c r="I1708">
        <v>172756577</v>
      </c>
      <c r="J1708">
        <v>65</v>
      </c>
      <c r="K1708">
        <v>23</v>
      </c>
      <c r="L1708">
        <v>1</v>
      </c>
      <c r="M1708" t="s">
        <v>6371</v>
      </c>
    </row>
    <row r="1709" spans="1:13">
      <c r="A1709" t="s">
        <v>4857</v>
      </c>
      <c r="B1709" t="s">
        <v>295</v>
      </c>
      <c r="C1709">
        <v>44869</v>
      </c>
      <c r="D1709">
        <v>143220845</v>
      </c>
      <c r="E1709">
        <v>57819</v>
      </c>
      <c r="F1709">
        <v>61</v>
      </c>
      <c r="G1709">
        <v>17892665</v>
      </c>
      <c r="H1709">
        <v>186286</v>
      </c>
      <c r="I1709">
        <v>26577093</v>
      </c>
      <c r="J1709">
        <v>4</v>
      </c>
      <c r="K1709">
        <v>8</v>
      </c>
      <c r="L1709">
        <v>1</v>
      </c>
      <c r="M1709" t="s">
        <v>6370</v>
      </c>
    </row>
    <row r="1710" spans="1:13">
      <c r="A1710" t="s">
        <v>4866</v>
      </c>
      <c r="B1710" t="s">
        <v>295</v>
      </c>
      <c r="C1710">
        <v>40862</v>
      </c>
      <c r="D1710">
        <v>622498643</v>
      </c>
      <c r="E1710">
        <v>110679</v>
      </c>
      <c r="F1710">
        <v>70</v>
      </c>
      <c r="G1710">
        <v>454602464</v>
      </c>
      <c r="H1710">
        <v>2153347</v>
      </c>
      <c r="I1710">
        <v>82945578</v>
      </c>
      <c r="J1710">
        <v>93</v>
      </c>
      <c r="K1710">
        <v>10</v>
      </c>
      <c r="L1710">
        <v>1</v>
      </c>
      <c r="M1710" t="s">
        <v>6371</v>
      </c>
    </row>
    <row r="1711" spans="1:13">
      <c r="A1711" t="s">
        <v>4867</v>
      </c>
      <c r="B1711" t="s">
        <v>1109</v>
      </c>
      <c r="C1711">
        <v>41640</v>
      </c>
      <c r="D1711">
        <v>1490987063</v>
      </c>
      <c r="E1711">
        <v>203270</v>
      </c>
      <c r="F1711">
        <v>81</v>
      </c>
      <c r="G1711">
        <v>395515510</v>
      </c>
      <c r="H1711">
        <v>2684342</v>
      </c>
      <c r="I1711">
        <v>1583375110</v>
      </c>
      <c r="J1711">
        <v>12</v>
      </c>
      <c r="K1711">
        <v>136</v>
      </c>
      <c r="L1711">
        <v>0</v>
      </c>
      <c r="M1711" t="s">
        <v>6371</v>
      </c>
    </row>
    <row r="1712" spans="1:13">
      <c r="A1712" t="s">
        <v>4870</v>
      </c>
      <c r="B1712" t="s">
        <v>4049</v>
      </c>
      <c r="C1712">
        <v>44316</v>
      </c>
      <c r="D1712">
        <v>260117606</v>
      </c>
      <c r="E1712">
        <v>92337</v>
      </c>
      <c r="F1712">
        <v>63</v>
      </c>
      <c r="G1712">
        <v>104323081</v>
      </c>
      <c r="H1712">
        <v>1049129</v>
      </c>
      <c r="I1712">
        <v>12058693</v>
      </c>
      <c r="J1712">
        <v>18</v>
      </c>
      <c r="K1712">
        <v>6</v>
      </c>
      <c r="L1712">
        <v>1</v>
      </c>
      <c r="M1712" t="s">
        <v>6370</v>
      </c>
    </row>
    <row r="1713" spans="1:13">
      <c r="A1713" t="s">
        <v>4874</v>
      </c>
      <c r="B1713" t="s">
        <v>411</v>
      </c>
      <c r="C1713">
        <v>45128</v>
      </c>
      <c r="D1713">
        <v>165916276</v>
      </c>
      <c r="E1713">
        <v>17423</v>
      </c>
      <c r="F1713">
        <v>70</v>
      </c>
      <c r="G1713">
        <v>52705822</v>
      </c>
      <c r="H1713">
        <v>887461</v>
      </c>
      <c r="I1713">
        <v>92644726</v>
      </c>
      <c r="J1713">
        <v>6</v>
      </c>
      <c r="K1713">
        <v>31</v>
      </c>
      <c r="L1713">
        <v>0</v>
      </c>
      <c r="M1713" t="s">
        <v>6370</v>
      </c>
    </row>
    <row r="1714" spans="1:13">
      <c r="A1714" t="s">
        <v>4878</v>
      </c>
      <c r="B1714" t="s">
        <v>4879</v>
      </c>
      <c r="C1714">
        <v>43003</v>
      </c>
      <c r="D1714">
        <v>317302250</v>
      </c>
      <c r="E1714">
        <v>59316</v>
      </c>
      <c r="F1714">
        <v>54</v>
      </c>
      <c r="G1714">
        <v>113727264</v>
      </c>
      <c r="H1714">
        <v>1143446</v>
      </c>
      <c r="I1714">
        <v>286048019</v>
      </c>
      <c r="J1714">
        <v>63</v>
      </c>
      <c r="K1714">
        <v>140</v>
      </c>
      <c r="L1714">
        <v>1</v>
      </c>
      <c r="M1714" t="s">
        <v>6371</v>
      </c>
    </row>
    <row r="1715" spans="1:13">
      <c r="A1715" t="s">
        <v>4881</v>
      </c>
      <c r="B1715" t="s">
        <v>1659</v>
      </c>
      <c r="C1715">
        <v>43077</v>
      </c>
      <c r="D1715">
        <v>579189526</v>
      </c>
      <c r="E1715">
        <v>60397</v>
      </c>
      <c r="F1715">
        <v>65</v>
      </c>
      <c r="G1715">
        <v>828853696</v>
      </c>
      <c r="H1715">
        <v>3086157</v>
      </c>
      <c r="I1715">
        <v>158504854</v>
      </c>
      <c r="J1715">
        <v>34</v>
      </c>
      <c r="K1715">
        <v>9</v>
      </c>
      <c r="L1715">
        <v>0</v>
      </c>
      <c r="M1715" t="s">
        <v>6371</v>
      </c>
    </row>
    <row r="1716" spans="1:13">
      <c r="A1716" t="s">
        <v>4881</v>
      </c>
      <c r="B1716" t="s">
        <v>1659</v>
      </c>
      <c r="C1716">
        <v>43077</v>
      </c>
      <c r="D1716">
        <v>579189526</v>
      </c>
      <c r="E1716">
        <v>60397</v>
      </c>
      <c r="F1716">
        <v>65</v>
      </c>
      <c r="G1716">
        <v>828853696</v>
      </c>
      <c r="H1716">
        <v>3086157</v>
      </c>
      <c r="I1716">
        <v>158504854</v>
      </c>
      <c r="J1716">
        <v>34</v>
      </c>
      <c r="K1716">
        <v>9</v>
      </c>
      <c r="L1716">
        <v>0</v>
      </c>
      <c r="M1716" t="s">
        <v>6371</v>
      </c>
    </row>
    <row r="1717" spans="1:13">
      <c r="A1717" t="s">
        <v>4886</v>
      </c>
      <c r="B1717" t="s">
        <v>3678</v>
      </c>
      <c r="C1717">
        <v>42452</v>
      </c>
      <c r="D1717">
        <v>609032900</v>
      </c>
      <c r="E1717">
        <v>93938</v>
      </c>
      <c r="F1717">
        <v>66</v>
      </c>
      <c r="G1717">
        <v>176053242</v>
      </c>
      <c r="H1717">
        <v>1338088</v>
      </c>
      <c r="I1717">
        <v>38686929</v>
      </c>
      <c r="J1717">
        <v>27</v>
      </c>
      <c r="K1717">
        <v>65</v>
      </c>
      <c r="L1717">
        <v>1</v>
      </c>
      <c r="M1717" t="s">
        <v>6371</v>
      </c>
    </row>
    <row r="1718" spans="1:13">
      <c r="A1718" t="s">
        <v>4891</v>
      </c>
      <c r="B1718" t="s">
        <v>4067</v>
      </c>
      <c r="C1718">
        <v>44463</v>
      </c>
      <c r="D1718">
        <v>259023338</v>
      </c>
      <c r="E1718">
        <v>21380</v>
      </c>
      <c r="F1718">
        <v>63</v>
      </c>
      <c r="G1718">
        <v>381462973</v>
      </c>
      <c r="H1718">
        <v>6675316</v>
      </c>
      <c r="I1718">
        <v>909400567</v>
      </c>
      <c r="J1718">
        <v>13</v>
      </c>
      <c r="K1718">
        <v>136</v>
      </c>
      <c r="L1718">
        <v>0</v>
      </c>
      <c r="M1718" t="s">
        <v>6370</v>
      </c>
    </row>
    <row r="1719" spans="1:13">
      <c r="A1719" t="s">
        <v>4893</v>
      </c>
      <c r="B1719" t="s">
        <v>4894</v>
      </c>
      <c r="C1719">
        <v>44449</v>
      </c>
      <c r="D1719">
        <v>202781631</v>
      </c>
      <c r="E1719">
        <v>32888</v>
      </c>
      <c r="F1719">
        <v>60</v>
      </c>
      <c r="G1719">
        <v>1271445</v>
      </c>
      <c r="H1719">
        <v>21984</v>
      </c>
      <c r="I1719">
        <v>2410282562</v>
      </c>
      <c r="J1719">
        <v>44</v>
      </c>
      <c r="K1719">
        <v>1447</v>
      </c>
      <c r="L1719">
        <v>1</v>
      </c>
      <c r="M1719" t="s">
        <v>6370</v>
      </c>
    </row>
    <row r="1720" spans="1:13">
      <c r="A1720" t="s">
        <v>4896</v>
      </c>
      <c r="B1720" t="s">
        <v>926</v>
      </c>
      <c r="C1720">
        <v>44778</v>
      </c>
      <c r="D1720">
        <v>259730016</v>
      </c>
      <c r="E1720">
        <v>21452</v>
      </c>
      <c r="F1720">
        <v>62</v>
      </c>
      <c r="G1720">
        <v>102357127</v>
      </c>
      <c r="H1720">
        <v>3788945</v>
      </c>
      <c r="I1720">
        <v>597069529</v>
      </c>
      <c r="J1720">
        <v>37</v>
      </c>
      <c r="K1720">
        <v>51</v>
      </c>
      <c r="L1720">
        <v>0</v>
      </c>
      <c r="M1720" t="s">
        <v>6370</v>
      </c>
    </row>
    <row r="1721" spans="1:13">
      <c r="A1721" t="s">
        <v>4897</v>
      </c>
      <c r="B1721" t="s">
        <v>295</v>
      </c>
      <c r="C1721">
        <v>44442</v>
      </c>
      <c r="D1721">
        <v>349849639</v>
      </c>
      <c r="E1721">
        <v>81889</v>
      </c>
      <c r="F1721">
        <v>71</v>
      </c>
      <c r="G1721">
        <v>59701089</v>
      </c>
      <c r="H1721">
        <v>650033</v>
      </c>
      <c r="I1721">
        <v>352584596</v>
      </c>
      <c r="J1721">
        <v>13</v>
      </c>
      <c r="K1721">
        <v>8</v>
      </c>
      <c r="L1721">
        <v>1</v>
      </c>
      <c r="M1721" t="s">
        <v>6370</v>
      </c>
    </row>
    <row r="1722" spans="1:13">
      <c r="A1722" t="s">
        <v>4901</v>
      </c>
      <c r="B1722" t="s">
        <v>3933</v>
      </c>
      <c r="C1722">
        <v>44778</v>
      </c>
      <c r="D1722">
        <v>103858433</v>
      </c>
      <c r="E1722">
        <v>17543</v>
      </c>
      <c r="F1722">
        <v>63</v>
      </c>
      <c r="G1722">
        <v>23571548</v>
      </c>
      <c r="H1722">
        <v>127913</v>
      </c>
      <c r="I1722">
        <v>32959012</v>
      </c>
      <c r="J1722">
        <v>18</v>
      </c>
      <c r="K1722">
        <v>31</v>
      </c>
      <c r="L1722">
        <v>0</v>
      </c>
      <c r="M1722" t="s">
        <v>6370</v>
      </c>
    </row>
    <row r="1723" spans="1:13">
      <c r="A1723" t="s">
        <v>4906</v>
      </c>
      <c r="B1723" t="s">
        <v>1083</v>
      </c>
      <c r="C1723">
        <v>42783</v>
      </c>
      <c r="D1723">
        <v>654828389</v>
      </c>
      <c r="E1723">
        <v>139540</v>
      </c>
      <c r="F1723">
        <v>68</v>
      </c>
      <c r="G1723">
        <v>97450066</v>
      </c>
      <c r="H1723">
        <v>884775</v>
      </c>
      <c r="I1723">
        <v>86649600</v>
      </c>
      <c r="J1723">
        <v>75</v>
      </c>
      <c r="K1723">
        <v>15</v>
      </c>
      <c r="L1723">
        <v>1</v>
      </c>
      <c r="M1723" t="s">
        <v>6371</v>
      </c>
    </row>
    <row r="1724" spans="1:13">
      <c r="A1724" t="s">
        <v>4907</v>
      </c>
      <c r="B1724" t="s">
        <v>4827</v>
      </c>
      <c r="C1724">
        <v>44022</v>
      </c>
      <c r="D1724">
        <v>277094824</v>
      </c>
      <c r="E1724">
        <v>75966</v>
      </c>
      <c r="F1724">
        <v>63</v>
      </c>
      <c r="G1724">
        <v>118824965</v>
      </c>
      <c r="H1724">
        <v>1513533</v>
      </c>
      <c r="I1724">
        <v>537618525</v>
      </c>
      <c r="J1724">
        <v>18</v>
      </c>
      <c r="K1724">
        <v>36</v>
      </c>
      <c r="L1724">
        <v>1</v>
      </c>
      <c r="M1724" t="s">
        <v>6371</v>
      </c>
    </row>
    <row r="1725" spans="1:13">
      <c r="A1725" t="s">
        <v>4913</v>
      </c>
      <c r="B1725" t="s">
        <v>99</v>
      </c>
      <c r="C1725">
        <v>44463</v>
      </c>
      <c r="D1725">
        <v>133039977</v>
      </c>
      <c r="E1725">
        <v>69577</v>
      </c>
      <c r="F1725">
        <v>54</v>
      </c>
      <c r="G1725">
        <v>21842375</v>
      </c>
      <c r="H1725">
        <v>250732</v>
      </c>
      <c r="I1725">
        <v>241202185</v>
      </c>
      <c r="J1725">
        <v>17</v>
      </c>
      <c r="K1725">
        <v>401</v>
      </c>
      <c r="L1725">
        <v>1</v>
      </c>
      <c r="M1725" t="s">
        <v>6370</v>
      </c>
    </row>
    <row r="1726" spans="1:13">
      <c r="A1726" t="s">
        <v>4914</v>
      </c>
      <c r="B1726" t="s">
        <v>2740</v>
      </c>
      <c r="C1726">
        <v>39448</v>
      </c>
      <c r="D1726">
        <v>923637058</v>
      </c>
      <c r="E1726">
        <v>248136</v>
      </c>
      <c r="F1726">
        <v>74</v>
      </c>
      <c r="G1726">
        <v>326484288</v>
      </c>
      <c r="H1726">
        <v>2513872</v>
      </c>
      <c r="I1726">
        <v>1346152082</v>
      </c>
      <c r="J1726">
        <v>180</v>
      </c>
      <c r="K1726">
        <v>111</v>
      </c>
      <c r="L1726">
        <v>0</v>
      </c>
      <c r="M1726" t="s">
        <v>6372</v>
      </c>
    </row>
    <row r="1727" spans="1:13">
      <c r="A1727" t="s">
        <v>4915</v>
      </c>
      <c r="B1727" t="s">
        <v>252</v>
      </c>
      <c r="C1727">
        <v>45086</v>
      </c>
      <c r="D1727">
        <v>259288333</v>
      </c>
      <c r="E1727">
        <v>9472</v>
      </c>
      <c r="F1727">
        <v>69</v>
      </c>
      <c r="G1727">
        <v>40948018</v>
      </c>
      <c r="H1727">
        <v>2324228</v>
      </c>
      <c r="I1727">
        <v>503776050</v>
      </c>
      <c r="J1727">
        <v>36</v>
      </c>
      <c r="K1727">
        <v>4</v>
      </c>
      <c r="L1727">
        <v>0</v>
      </c>
      <c r="M1727" t="s">
        <v>6370</v>
      </c>
    </row>
    <row r="1728" spans="1:13">
      <c r="A1728" t="s">
        <v>4917</v>
      </c>
      <c r="B1728" t="s">
        <v>674</v>
      </c>
      <c r="C1728">
        <v>41926</v>
      </c>
      <c r="D1728">
        <v>506083686</v>
      </c>
      <c r="E1728">
        <v>88997</v>
      </c>
      <c r="F1728">
        <v>65</v>
      </c>
      <c r="G1728">
        <v>191257884</v>
      </c>
      <c r="H1728">
        <v>1917299</v>
      </c>
      <c r="I1728">
        <v>53859932</v>
      </c>
      <c r="J1728">
        <v>105</v>
      </c>
      <c r="K1728">
        <v>45</v>
      </c>
      <c r="L1728">
        <v>0</v>
      </c>
      <c r="M1728" t="s">
        <v>6371</v>
      </c>
    </row>
    <row r="1729" spans="1:13">
      <c r="A1729" t="s">
        <v>4930</v>
      </c>
      <c r="B1729" t="s">
        <v>301</v>
      </c>
      <c r="C1729">
        <v>43217</v>
      </c>
      <c r="D1729">
        <v>609984789</v>
      </c>
      <c r="E1729">
        <v>66397</v>
      </c>
      <c r="F1729">
        <v>74</v>
      </c>
      <c r="G1729">
        <v>255780709</v>
      </c>
      <c r="H1729">
        <v>1101498</v>
      </c>
      <c r="I1729">
        <v>142412314</v>
      </c>
      <c r="J1729">
        <v>43</v>
      </c>
      <c r="K1729">
        <v>8</v>
      </c>
      <c r="L1729">
        <v>0</v>
      </c>
      <c r="M1729" t="s">
        <v>6371</v>
      </c>
    </row>
    <row r="1730" spans="1:13">
      <c r="A1730" t="s">
        <v>4933</v>
      </c>
      <c r="B1730" t="s">
        <v>4934</v>
      </c>
      <c r="C1730">
        <v>44938</v>
      </c>
      <c r="D1730">
        <v>149986283</v>
      </c>
      <c r="E1730">
        <v>48038</v>
      </c>
      <c r="F1730">
        <v>63</v>
      </c>
      <c r="G1730">
        <v>9500978</v>
      </c>
      <c r="H1730">
        <v>157127</v>
      </c>
      <c r="I1730">
        <v>13195696</v>
      </c>
      <c r="J1730">
        <v>31</v>
      </c>
      <c r="K1730">
        <v>185</v>
      </c>
      <c r="L1730">
        <v>0</v>
      </c>
      <c r="M1730" t="s">
        <v>6370</v>
      </c>
    </row>
    <row r="1731" spans="1:13">
      <c r="A1731" t="s">
        <v>4935</v>
      </c>
      <c r="B1731" t="s">
        <v>1262</v>
      </c>
      <c r="C1731">
        <v>45163</v>
      </c>
      <c r="D1731">
        <v>21485335</v>
      </c>
      <c r="E1731">
        <v>4032</v>
      </c>
      <c r="F1731">
        <v>1</v>
      </c>
      <c r="G1731">
        <v>5878965</v>
      </c>
      <c r="H1731">
        <v>68296</v>
      </c>
      <c r="I1731">
        <v>9858141</v>
      </c>
      <c r="J1731">
        <v>9</v>
      </c>
      <c r="K1731">
        <v>8</v>
      </c>
      <c r="L1731">
        <v>0</v>
      </c>
      <c r="M1731" t="s">
        <v>6370</v>
      </c>
    </row>
    <row r="1732" spans="1:13">
      <c r="A1732" t="s">
        <v>4938</v>
      </c>
      <c r="B1732" t="s">
        <v>260</v>
      </c>
      <c r="C1732">
        <v>42013</v>
      </c>
      <c r="D1732">
        <v>1060255231</v>
      </c>
      <c r="E1732">
        <v>88246</v>
      </c>
      <c r="F1732">
        <v>71</v>
      </c>
      <c r="G1732">
        <v>950074212</v>
      </c>
      <c r="H1732">
        <v>5331921</v>
      </c>
      <c r="I1732">
        <v>196304893</v>
      </c>
      <c r="J1732">
        <v>117</v>
      </c>
      <c r="K1732">
        <v>32</v>
      </c>
      <c r="L1732">
        <v>0</v>
      </c>
      <c r="M1732" t="s">
        <v>6371</v>
      </c>
    </row>
    <row r="1733" spans="1:13">
      <c r="A1733" t="s">
        <v>4943</v>
      </c>
      <c r="B1733" t="s">
        <v>1011</v>
      </c>
      <c r="C1733">
        <v>41275</v>
      </c>
      <c r="D1733">
        <v>718634962</v>
      </c>
      <c r="E1733">
        <v>116033</v>
      </c>
      <c r="F1733">
        <v>65</v>
      </c>
      <c r="G1733">
        <v>88651556</v>
      </c>
      <c r="H1733">
        <v>872188</v>
      </c>
      <c r="I1733">
        <v>429272415</v>
      </c>
      <c r="J1733">
        <v>64</v>
      </c>
      <c r="K1733">
        <v>625</v>
      </c>
      <c r="L1733">
        <v>1</v>
      </c>
      <c r="M1733" t="s">
        <v>6371</v>
      </c>
    </row>
    <row r="1734" spans="1:13">
      <c r="A1734" t="s">
        <v>4944</v>
      </c>
      <c r="B1734" t="s">
        <v>30</v>
      </c>
      <c r="C1734">
        <v>44610</v>
      </c>
      <c r="D1734">
        <v>224376030</v>
      </c>
      <c r="E1734">
        <v>65837</v>
      </c>
      <c r="F1734">
        <v>56</v>
      </c>
      <c r="G1734">
        <v>67524036</v>
      </c>
      <c r="H1734">
        <v>880646</v>
      </c>
      <c r="I1734">
        <v>205572867</v>
      </c>
      <c r="J1734">
        <v>28</v>
      </c>
      <c r="K1734">
        <v>103</v>
      </c>
      <c r="L1734">
        <v>1</v>
      </c>
      <c r="M1734" t="s">
        <v>6370</v>
      </c>
    </row>
    <row r="1735" spans="1:13">
      <c r="A1735" t="s">
        <v>4946</v>
      </c>
      <c r="B1735" t="s">
        <v>4947</v>
      </c>
      <c r="C1735">
        <v>44932</v>
      </c>
      <c r="D1735">
        <v>135976140</v>
      </c>
      <c r="E1735">
        <v>41454</v>
      </c>
      <c r="F1735">
        <v>69</v>
      </c>
      <c r="G1735">
        <v>37952419</v>
      </c>
      <c r="H1735">
        <v>465940</v>
      </c>
      <c r="I1735">
        <v>14785534</v>
      </c>
      <c r="J1735">
        <v>22</v>
      </c>
      <c r="K1735">
        <v>3</v>
      </c>
      <c r="L1735">
        <v>0</v>
      </c>
      <c r="M1735" t="s">
        <v>6370</v>
      </c>
    </row>
    <row r="1736" spans="1:13">
      <c r="A1736" t="s">
        <v>4953</v>
      </c>
      <c r="B1736" t="s">
        <v>99</v>
      </c>
      <c r="C1736">
        <v>43636</v>
      </c>
      <c r="D1736">
        <v>174090982</v>
      </c>
      <c r="E1736">
        <v>34958</v>
      </c>
      <c r="F1736">
        <v>55</v>
      </c>
      <c r="G1736">
        <v>353442033</v>
      </c>
      <c r="H1736">
        <v>2306325</v>
      </c>
      <c r="I1736">
        <v>26278533</v>
      </c>
      <c r="J1736">
        <v>31</v>
      </c>
      <c r="K1736">
        <v>1</v>
      </c>
      <c r="L1736">
        <v>1</v>
      </c>
      <c r="M1736" t="s">
        <v>6371</v>
      </c>
    </row>
    <row r="1737" spans="1:13">
      <c r="A1737" t="s">
        <v>4959</v>
      </c>
      <c r="B1737" t="s">
        <v>1186</v>
      </c>
      <c r="C1737">
        <v>44511</v>
      </c>
      <c r="D1737">
        <v>231155441</v>
      </c>
      <c r="E1737">
        <v>33491</v>
      </c>
      <c r="F1737">
        <v>54</v>
      </c>
      <c r="G1737">
        <v>314218837</v>
      </c>
      <c r="H1737">
        <v>1831905</v>
      </c>
      <c r="I1737">
        <v>72618</v>
      </c>
      <c r="J1737">
        <v>22</v>
      </c>
      <c r="K1737">
        <v>297</v>
      </c>
      <c r="L1737">
        <v>0</v>
      </c>
      <c r="M1737" t="s">
        <v>6370</v>
      </c>
    </row>
    <row r="1738" spans="1:13">
      <c r="A1738" t="s">
        <v>4965</v>
      </c>
      <c r="B1738" t="s">
        <v>4966</v>
      </c>
      <c r="C1738">
        <v>44518</v>
      </c>
      <c r="D1738">
        <v>74338196</v>
      </c>
      <c r="E1738">
        <v>12229</v>
      </c>
      <c r="F1738">
        <v>45</v>
      </c>
      <c r="G1738">
        <v>85204123</v>
      </c>
      <c r="H1738">
        <v>792210</v>
      </c>
      <c r="I1738">
        <v>2134165382</v>
      </c>
      <c r="J1738">
        <v>18</v>
      </c>
      <c r="K1738">
        <v>2</v>
      </c>
      <c r="L1738">
        <v>0</v>
      </c>
      <c r="M1738" t="s">
        <v>6370</v>
      </c>
    </row>
    <row r="1739" spans="1:13">
      <c r="A1739" t="s">
        <v>4971</v>
      </c>
      <c r="B1739" t="s">
        <v>2222</v>
      </c>
      <c r="C1739">
        <v>44554</v>
      </c>
      <c r="D1739">
        <v>153262121</v>
      </c>
      <c r="E1739">
        <v>62043</v>
      </c>
      <c r="F1739">
        <v>64</v>
      </c>
      <c r="G1739">
        <v>105229861</v>
      </c>
      <c r="H1739">
        <v>923515</v>
      </c>
      <c r="I1739">
        <v>777095126</v>
      </c>
      <c r="J1739">
        <v>11</v>
      </c>
      <c r="K1739">
        <v>18</v>
      </c>
      <c r="L1739">
        <v>0</v>
      </c>
      <c r="M1739" t="s">
        <v>6370</v>
      </c>
    </row>
    <row r="1740" spans="1:13">
      <c r="A1740" t="s">
        <v>4974</v>
      </c>
      <c r="B1740" t="s">
        <v>173</v>
      </c>
      <c r="C1740">
        <v>42951</v>
      </c>
      <c r="D1740">
        <v>261207310</v>
      </c>
      <c r="E1740">
        <v>29638</v>
      </c>
      <c r="F1740">
        <v>56</v>
      </c>
      <c r="G1740">
        <v>1008664592</v>
      </c>
      <c r="H1740">
        <v>6613034</v>
      </c>
      <c r="I1740">
        <v>251282695</v>
      </c>
      <c r="J1740">
        <v>31</v>
      </c>
      <c r="K1740">
        <v>16</v>
      </c>
      <c r="L1740">
        <v>1</v>
      </c>
      <c r="M1740" t="s">
        <v>6371</v>
      </c>
    </row>
    <row r="1741" spans="1:13">
      <c r="A1741" t="s">
        <v>4978</v>
      </c>
      <c r="B1741" t="s">
        <v>129</v>
      </c>
      <c r="C1741">
        <v>44897</v>
      </c>
      <c r="D1741">
        <v>134971918</v>
      </c>
      <c r="E1741">
        <v>58239</v>
      </c>
      <c r="F1741">
        <v>64</v>
      </c>
      <c r="G1741">
        <v>8374578</v>
      </c>
      <c r="H1741">
        <v>77621</v>
      </c>
      <c r="I1741">
        <v>34056492</v>
      </c>
      <c r="J1741">
        <v>5</v>
      </c>
      <c r="K1741">
        <v>10</v>
      </c>
      <c r="L1741">
        <v>1</v>
      </c>
      <c r="M1741" t="s">
        <v>6370</v>
      </c>
    </row>
    <row r="1742" spans="1:13">
      <c r="A1742" t="s">
        <v>4987</v>
      </c>
      <c r="B1742" t="s">
        <v>546</v>
      </c>
      <c r="C1742">
        <v>42972</v>
      </c>
      <c r="D1742">
        <v>973400151</v>
      </c>
      <c r="E1742">
        <v>172881</v>
      </c>
      <c r="F1742">
        <v>74</v>
      </c>
      <c r="G1742">
        <v>320288878</v>
      </c>
      <c r="H1742">
        <v>2792426</v>
      </c>
      <c r="I1742">
        <v>83669477</v>
      </c>
      <c r="J1742">
        <v>2</v>
      </c>
      <c r="K1742">
        <v>17</v>
      </c>
      <c r="L1742">
        <v>1</v>
      </c>
      <c r="M1742" t="s">
        <v>6371</v>
      </c>
    </row>
    <row r="1743" spans="1:13">
      <c r="A1743" t="s">
        <v>4990</v>
      </c>
      <c r="B1743" t="s">
        <v>313</v>
      </c>
      <c r="C1743">
        <v>44953</v>
      </c>
      <c r="D1743">
        <v>163400564</v>
      </c>
      <c r="E1743">
        <v>25380</v>
      </c>
      <c r="F1743">
        <v>60</v>
      </c>
      <c r="G1743">
        <v>37506561</v>
      </c>
      <c r="H1743">
        <v>368510</v>
      </c>
      <c r="I1743">
        <v>107127704</v>
      </c>
      <c r="J1743">
        <v>75</v>
      </c>
      <c r="K1743">
        <v>9</v>
      </c>
      <c r="L1743">
        <v>0</v>
      </c>
      <c r="M1743" t="s">
        <v>6370</v>
      </c>
    </row>
    <row r="1744" spans="1:13">
      <c r="A1744" t="s">
        <v>4996</v>
      </c>
      <c r="B1744" t="s">
        <v>3421</v>
      </c>
      <c r="C1744">
        <v>43154</v>
      </c>
      <c r="D1744">
        <v>603009543</v>
      </c>
      <c r="E1744">
        <v>60339</v>
      </c>
      <c r="F1744">
        <v>65</v>
      </c>
      <c r="G1744">
        <v>752863338</v>
      </c>
      <c r="H1744">
        <v>1897331</v>
      </c>
      <c r="I1744">
        <v>33166882</v>
      </c>
      <c r="J1744">
        <v>33</v>
      </c>
      <c r="K1744">
        <v>19</v>
      </c>
      <c r="L1744">
        <v>0</v>
      </c>
      <c r="M1744" t="s">
        <v>6371</v>
      </c>
    </row>
    <row r="1745" spans="1:13">
      <c r="A1745" t="s">
        <v>4999</v>
      </c>
      <c r="B1745" t="s">
        <v>5000</v>
      </c>
      <c r="C1745">
        <v>45306</v>
      </c>
      <c r="D1745">
        <v>40620097</v>
      </c>
      <c r="E1745">
        <v>2870</v>
      </c>
      <c r="F1745">
        <v>11</v>
      </c>
      <c r="G1745">
        <v>59080794</v>
      </c>
      <c r="H1745">
        <v>673001</v>
      </c>
      <c r="I1745">
        <v>1553400</v>
      </c>
      <c r="J1745">
        <v>7</v>
      </c>
      <c r="K1745">
        <v>18</v>
      </c>
      <c r="L1745">
        <v>0</v>
      </c>
      <c r="M1745" t="s">
        <v>6370</v>
      </c>
    </row>
    <row r="1746" spans="1:13">
      <c r="A1746" t="s">
        <v>5001</v>
      </c>
      <c r="B1746" t="s">
        <v>4280</v>
      </c>
      <c r="C1746">
        <v>43812</v>
      </c>
      <c r="D1746">
        <v>287897439</v>
      </c>
      <c r="E1746">
        <v>146593</v>
      </c>
      <c r="F1746">
        <v>60</v>
      </c>
      <c r="G1746">
        <v>68649223</v>
      </c>
      <c r="H1746">
        <v>853541</v>
      </c>
      <c r="I1746">
        <v>855075576</v>
      </c>
      <c r="J1746">
        <v>74</v>
      </c>
      <c r="K1746">
        <v>113</v>
      </c>
      <c r="L1746">
        <v>0</v>
      </c>
      <c r="M1746" t="s">
        <v>6371</v>
      </c>
    </row>
    <row r="1747" spans="1:13">
      <c r="A1747" t="s">
        <v>794</v>
      </c>
      <c r="B1747" t="s">
        <v>795</v>
      </c>
      <c r="C1747">
        <v>40909</v>
      </c>
      <c r="D1747">
        <v>2252713547</v>
      </c>
      <c r="E1747">
        <v>205647</v>
      </c>
      <c r="F1747">
        <v>73</v>
      </c>
      <c r="G1747">
        <v>423531195</v>
      </c>
      <c r="H1747">
        <v>4118839</v>
      </c>
      <c r="I1747">
        <v>641996440</v>
      </c>
      <c r="J1747">
        <v>192</v>
      </c>
      <c r="K1747">
        <v>288</v>
      </c>
      <c r="L1747">
        <v>0</v>
      </c>
      <c r="M1747" t="s">
        <v>6371</v>
      </c>
    </row>
    <row r="1748" spans="1:13">
      <c r="A1748" t="s">
        <v>5020</v>
      </c>
      <c r="B1748" t="s">
        <v>5021</v>
      </c>
      <c r="C1748">
        <v>43945</v>
      </c>
      <c r="D1748">
        <v>600521313</v>
      </c>
      <c r="E1748">
        <v>79793</v>
      </c>
      <c r="F1748">
        <v>65</v>
      </c>
      <c r="G1748">
        <v>50025071</v>
      </c>
      <c r="H1748">
        <v>705508</v>
      </c>
      <c r="I1748">
        <v>79947183</v>
      </c>
      <c r="J1748">
        <v>95</v>
      </c>
      <c r="K1748">
        <v>400</v>
      </c>
      <c r="L1748">
        <v>0</v>
      </c>
      <c r="M1748" t="s">
        <v>6371</v>
      </c>
    </row>
    <row r="1749" spans="1:13">
      <c r="A1749" t="s">
        <v>5022</v>
      </c>
      <c r="B1749" t="s">
        <v>617</v>
      </c>
      <c r="C1749">
        <v>43531</v>
      </c>
      <c r="D1749">
        <v>570045987</v>
      </c>
      <c r="E1749">
        <v>57702</v>
      </c>
      <c r="F1749">
        <v>66</v>
      </c>
      <c r="G1749">
        <v>368297733</v>
      </c>
      <c r="H1749">
        <v>4429234</v>
      </c>
      <c r="I1749">
        <v>218968895</v>
      </c>
      <c r="J1749">
        <v>36</v>
      </c>
      <c r="K1749">
        <v>23</v>
      </c>
      <c r="L1749">
        <v>0</v>
      </c>
      <c r="M1749" t="s">
        <v>6371</v>
      </c>
    </row>
    <row r="1750" spans="1:13">
      <c r="A1750" t="s">
        <v>5023</v>
      </c>
      <c r="B1750" t="s">
        <v>631</v>
      </c>
      <c r="C1750">
        <v>42790</v>
      </c>
      <c r="D1750">
        <v>1044358962</v>
      </c>
      <c r="E1750">
        <v>165916</v>
      </c>
      <c r="F1750">
        <v>69</v>
      </c>
      <c r="G1750">
        <v>37191231</v>
      </c>
      <c r="H1750">
        <v>380168</v>
      </c>
      <c r="I1750">
        <v>323428098</v>
      </c>
      <c r="J1750">
        <v>255</v>
      </c>
      <c r="K1750">
        <v>90</v>
      </c>
      <c r="L1750">
        <v>1</v>
      </c>
      <c r="M1750" t="s">
        <v>6371</v>
      </c>
    </row>
    <row r="1751" spans="1:13">
      <c r="A1751" t="s">
        <v>5024</v>
      </c>
      <c r="B1751" t="s">
        <v>3918</v>
      </c>
      <c r="C1751">
        <v>38495</v>
      </c>
      <c r="D1751">
        <v>1407382497</v>
      </c>
      <c r="E1751">
        <v>357484</v>
      </c>
      <c r="F1751">
        <v>78</v>
      </c>
      <c r="G1751">
        <v>1211241854</v>
      </c>
      <c r="H1751">
        <v>10819604</v>
      </c>
      <c r="I1751">
        <v>1396761942</v>
      </c>
      <c r="J1751">
        <v>18</v>
      </c>
      <c r="K1751">
        <v>172</v>
      </c>
      <c r="L1751">
        <v>0</v>
      </c>
      <c r="M1751" t="s">
        <v>6372</v>
      </c>
    </row>
    <row r="1752" spans="1:13">
      <c r="A1752" t="s">
        <v>5025</v>
      </c>
      <c r="B1752" t="s">
        <v>5026</v>
      </c>
      <c r="C1752">
        <v>41640</v>
      </c>
      <c r="D1752">
        <v>733931275</v>
      </c>
      <c r="E1752">
        <v>115255</v>
      </c>
      <c r="F1752">
        <v>71</v>
      </c>
      <c r="G1752">
        <v>535024991</v>
      </c>
      <c r="H1752">
        <v>4702620</v>
      </c>
      <c r="I1752">
        <v>47138593</v>
      </c>
      <c r="J1752">
        <v>27</v>
      </c>
      <c r="K1752">
        <v>138</v>
      </c>
      <c r="L1752">
        <v>0</v>
      </c>
      <c r="M1752" t="s">
        <v>6371</v>
      </c>
    </row>
    <row r="1753" spans="1:13">
      <c r="A1753" t="s">
        <v>4306</v>
      </c>
      <c r="B1753" t="s">
        <v>1062</v>
      </c>
      <c r="C1753">
        <v>44000</v>
      </c>
      <c r="D1753">
        <v>529404392</v>
      </c>
      <c r="E1753">
        <v>74777</v>
      </c>
      <c r="F1753">
        <v>62</v>
      </c>
      <c r="G1753">
        <v>53885408</v>
      </c>
      <c r="H1753">
        <v>433692</v>
      </c>
      <c r="I1753">
        <v>583303862</v>
      </c>
      <c r="J1753">
        <v>111</v>
      </c>
      <c r="K1753">
        <v>16</v>
      </c>
      <c r="L1753">
        <v>1</v>
      </c>
      <c r="M1753" t="s">
        <v>6371</v>
      </c>
    </row>
    <row r="1754" spans="1:13">
      <c r="A1754" t="s">
        <v>419</v>
      </c>
      <c r="B1754" t="s">
        <v>520</v>
      </c>
      <c r="C1754">
        <v>43532</v>
      </c>
      <c r="D1754">
        <v>676451716</v>
      </c>
      <c r="E1754">
        <v>70317</v>
      </c>
      <c r="F1754">
        <v>66</v>
      </c>
      <c r="G1754">
        <v>211922060</v>
      </c>
      <c r="H1754">
        <v>2621667</v>
      </c>
      <c r="I1754">
        <v>89270256</v>
      </c>
      <c r="J1754">
        <v>103</v>
      </c>
      <c r="K1754">
        <v>12</v>
      </c>
      <c r="L1754">
        <v>0</v>
      </c>
      <c r="M1754" t="s">
        <v>6371</v>
      </c>
    </row>
    <row r="1755" spans="1:13">
      <c r="A1755" t="s">
        <v>5033</v>
      </c>
      <c r="B1755" t="s">
        <v>3723</v>
      </c>
      <c r="C1755">
        <v>42467</v>
      </c>
      <c r="D1755">
        <v>478791369</v>
      </c>
      <c r="E1755">
        <v>58453</v>
      </c>
      <c r="F1755">
        <v>63</v>
      </c>
      <c r="G1755">
        <v>964694090</v>
      </c>
      <c r="H1755">
        <v>6231853</v>
      </c>
      <c r="I1755">
        <v>281205271</v>
      </c>
      <c r="J1755">
        <v>55</v>
      </c>
      <c r="K1755">
        <v>36</v>
      </c>
      <c r="L1755">
        <v>0</v>
      </c>
      <c r="M1755" t="s">
        <v>6371</v>
      </c>
    </row>
    <row r="1756" spans="1:13">
      <c r="A1756" t="s">
        <v>5034</v>
      </c>
      <c r="B1756" t="s">
        <v>5035</v>
      </c>
      <c r="C1756">
        <v>45044</v>
      </c>
      <c r="D1756">
        <v>155454907</v>
      </c>
      <c r="E1756">
        <v>26701</v>
      </c>
      <c r="F1756">
        <v>73</v>
      </c>
      <c r="G1756">
        <v>49199015</v>
      </c>
      <c r="H1756">
        <v>427756</v>
      </c>
      <c r="I1756">
        <v>2164944</v>
      </c>
      <c r="J1756">
        <v>35</v>
      </c>
      <c r="K1756">
        <v>2</v>
      </c>
      <c r="L1756">
        <v>0</v>
      </c>
      <c r="M1756" t="s">
        <v>6370</v>
      </c>
    </row>
    <row r="1757" spans="1:13">
      <c r="A1757" t="s">
        <v>5036</v>
      </c>
      <c r="B1757" t="s">
        <v>413</v>
      </c>
      <c r="C1757">
        <v>44459</v>
      </c>
      <c r="D1757">
        <v>34116353</v>
      </c>
      <c r="E1757">
        <v>10084</v>
      </c>
      <c r="F1757">
        <v>42</v>
      </c>
      <c r="G1757">
        <v>73393043</v>
      </c>
      <c r="H1757">
        <v>1278586</v>
      </c>
      <c r="I1757">
        <v>6661617341</v>
      </c>
      <c r="J1757">
        <v>10</v>
      </c>
      <c r="K1757">
        <v>1051</v>
      </c>
      <c r="L1757">
        <v>1</v>
      </c>
      <c r="M1757" t="s">
        <v>6370</v>
      </c>
    </row>
    <row r="1758" spans="1:13">
      <c r="A1758" t="s">
        <v>5046</v>
      </c>
      <c r="B1758" t="s">
        <v>5047</v>
      </c>
      <c r="C1758">
        <v>43518</v>
      </c>
      <c r="D1758">
        <v>461420009</v>
      </c>
      <c r="E1758">
        <v>32656</v>
      </c>
      <c r="F1758">
        <v>63</v>
      </c>
      <c r="G1758">
        <v>97498335</v>
      </c>
      <c r="H1758">
        <v>724848</v>
      </c>
      <c r="I1758">
        <v>123888567</v>
      </c>
      <c r="J1758">
        <v>85</v>
      </c>
      <c r="K1758">
        <v>276</v>
      </c>
      <c r="L1758">
        <v>0</v>
      </c>
      <c r="M1758" t="s">
        <v>6371</v>
      </c>
    </row>
    <row r="1759" spans="1:13">
      <c r="A1759" t="s">
        <v>5048</v>
      </c>
      <c r="B1759" t="s">
        <v>3651</v>
      </c>
      <c r="C1759">
        <v>43839</v>
      </c>
      <c r="D1759">
        <v>447761883</v>
      </c>
      <c r="E1759">
        <v>116525</v>
      </c>
      <c r="F1759">
        <v>64</v>
      </c>
      <c r="G1759">
        <v>183168994</v>
      </c>
      <c r="H1759">
        <v>2032885</v>
      </c>
      <c r="I1759">
        <v>367511487</v>
      </c>
      <c r="J1759">
        <v>57</v>
      </c>
      <c r="K1759">
        <v>31</v>
      </c>
      <c r="L1759">
        <v>0</v>
      </c>
      <c r="M1759" t="s">
        <v>6371</v>
      </c>
    </row>
    <row r="1760" spans="1:13">
      <c r="A1760" t="s">
        <v>5051</v>
      </c>
      <c r="B1760" t="s">
        <v>1011</v>
      </c>
      <c r="C1760">
        <v>41527</v>
      </c>
      <c r="D1760">
        <v>458706557</v>
      </c>
      <c r="E1760">
        <v>72270</v>
      </c>
      <c r="F1760">
        <v>58</v>
      </c>
      <c r="G1760">
        <v>329962266</v>
      </c>
      <c r="H1760">
        <v>1714163</v>
      </c>
      <c r="I1760">
        <v>1599868506</v>
      </c>
      <c r="J1760">
        <v>41</v>
      </c>
      <c r="K1760">
        <v>87</v>
      </c>
      <c r="L1760">
        <v>0</v>
      </c>
      <c r="M1760" t="s">
        <v>6371</v>
      </c>
    </row>
    <row r="1761" spans="1:13">
      <c r="A1761" t="s">
        <v>5057</v>
      </c>
      <c r="B1761" t="s">
        <v>471</v>
      </c>
      <c r="C1761">
        <v>44799</v>
      </c>
      <c r="D1761">
        <v>115581471</v>
      </c>
      <c r="E1761">
        <v>49847</v>
      </c>
      <c r="F1761">
        <v>60</v>
      </c>
      <c r="G1761">
        <v>46251839</v>
      </c>
      <c r="H1761">
        <v>946512</v>
      </c>
      <c r="I1761">
        <v>93356963</v>
      </c>
      <c r="J1761">
        <v>16</v>
      </c>
      <c r="K1761">
        <v>1424</v>
      </c>
      <c r="L1761">
        <v>1</v>
      </c>
      <c r="M1761" t="s">
        <v>6370</v>
      </c>
    </row>
    <row r="1762" spans="1:13">
      <c r="A1762" t="s">
        <v>5060</v>
      </c>
      <c r="B1762" t="s">
        <v>5035</v>
      </c>
      <c r="C1762">
        <v>43560</v>
      </c>
      <c r="D1762">
        <v>654965766</v>
      </c>
      <c r="E1762">
        <v>124386</v>
      </c>
      <c r="F1762">
        <v>68</v>
      </c>
      <c r="G1762">
        <v>147035496</v>
      </c>
      <c r="H1762">
        <v>1383677</v>
      </c>
      <c r="I1762">
        <v>1859282676</v>
      </c>
      <c r="J1762">
        <v>87</v>
      </c>
      <c r="K1762">
        <v>1</v>
      </c>
      <c r="L1762">
        <v>0</v>
      </c>
      <c r="M1762" t="s">
        <v>6371</v>
      </c>
    </row>
    <row r="1763" spans="1:13">
      <c r="A1763" t="s">
        <v>5061</v>
      </c>
      <c r="B1763" t="s">
        <v>61</v>
      </c>
      <c r="C1763">
        <v>44855</v>
      </c>
      <c r="D1763">
        <v>587555589</v>
      </c>
      <c r="E1763">
        <v>34908</v>
      </c>
      <c r="F1763">
        <v>72</v>
      </c>
      <c r="G1763">
        <v>43130763</v>
      </c>
      <c r="H1763">
        <v>357803</v>
      </c>
      <c r="I1763">
        <v>342958656</v>
      </c>
      <c r="J1763">
        <v>13</v>
      </c>
      <c r="K1763">
        <v>2</v>
      </c>
      <c r="L1763">
        <v>0</v>
      </c>
      <c r="M1763" t="s">
        <v>6370</v>
      </c>
    </row>
    <row r="1764" spans="1:13">
      <c r="A1764" t="s">
        <v>5064</v>
      </c>
      <c r="B1764" t="s">
        <v>747</v>
      </c>
      <c r="C1764">
        <v>45049</v>
      </c>
      <c r="D1764">
        <v>156047755</v>
      </c>
      <c r="E1764">
        <v>31578</v>
      </c>
      <c r="F1764">
        <v>70</v>
      </c>
      <c r="G1764">
        <v>13251602</v>
      </c>
      <c r="H1764">
        <v>156992</v>
      </c>
      <c r="I1764">
        <v>273007809</v>
      </c>
      <c r="J1764">
        <v>1</v>
      </c>
      <c r="K1764">
        <v>507</v>
      </c>
      <c r="L1764">
        <v>1</v>
      </c>
      <c r="M1764" t="s">
        <v>6370</v>
      </c>
    </row>
    <row r="1765" spans="1:13">
      <c r="A1765" t="s">
        <v>5067</v>
      </c>
      <c r="B1765" t="s">
        <v>61</v>
      </c>
      <c r="C1765">
        <v>44036</v>
      </c>
      <c r="D1765">
        <v>757789027</v>
      </c>
      <c r="E1765">
        <v>81489</v>
      </c>
      <c r="F1765">
        <v>72</v>
      </c>
      <c r="G1765">
        <v>144150389</v>
      </c>
      <c r="H1765">
        <v>1468017</v>
      </c>
      <c r="I1765">
        <v>553360638</v>
      </c>
      <c r="J1765">
        <v>70</v>
      </c>
      <c r="K1765">
        <v>62</v>
      </c>
      <c r="L1765">
        <v>0</v>
      </c>
      <c r="M1765" t="s">
        <v>6371</v>
      </c>
    </row>
    <row r="1766" spans="1:13">
      <c r="A1766" t="s">
        <v>5072</v>
      </c>
      <c r="B1766" t="s">
        <v>5073</v>
      </c>
      <c r="C1766">
        <v>40909</v>
      </c>
      <c r="D1766">
        <v>757522352</v>
      </c>
      <c r="E1766">
        <v>224483</v>
      </c>
      <c r="F1766">
        <v>74</v>
      </c>
      <c r="G1766">
        <v>101146931</v>
      </c>
      <c r="H1766">
        <v>1073571</v>
      </c>
      <c r="I1766">
        <v>450672924</v>
      </c>
      <c r="J1766">
        <v>36</v>
      </c>
      <c r="K1766">
        <v>51</v>
      </c>
      <c r="L1766">
        <v>1</v>
      </c>
      <c r="M1766" t="s">
        <v>6371</v>
      </c>
    </row>
    <row r="1767" spans="1:13">
      <c r="A1767" t="s">
        <v>5077</v>
      </c>
      <c r="B1767" t="s">
        <v>2474</v>
      </c>
      <c r="C1767">
        <v>45037</v>
      </c>
      <c r="D1767">
        <v>76004507</v>
      </c>
      <c r="E1767">
        <v>24334</v>
      </c>
      <c r="F1767">
        <v>60</v>
      </c>
      <c r="G1767">
        <v>9862592</v>
      </c>
      <c r="H1767">
        <v>231074</v>
      </c>
      <c r="I1767">
        <v>1467434192</v>
      </c>
      <c r="J1767">
        <v>9</v>
      </c>
      <c r="K1767">
        <v>351</v>
      </c>
      <c r="L1767">
        <v>1</v>
      </c>
      <c r="M1767" t="s">
        <v>6370</v>
      </c>
    </row>
    <row r="1768" spans="1:13">
      <c r="A1768" t="s">
        <v>5079</v>
      </c>
      <c r="B1768" t="s">
        <v>2307</v>
      </c>
      <c r="C1768">
        <v>41695</v>
      </c>
      <c r="D1768">
        <v>562983225</v>
      </c>
      <c r="E1768">
        <v>52754</v>
      </c>
      <c r="F1768">
        <v>73</v>
      </c>
      <c r="G1768">
        <v>1452593496</v>
      </c>
      <c r="H1768">
        <v>4997178</v>
      </c>
      <c r="I1768">
        <v>314778494</v>
      </c>
      <c r="J1768">
        <v>25</v>
      </c>
      <c r="K1768">
        <v>7</v>
      </c>
      <c r="L1768">
        <v>0</v>
      </c>
      <c r="M1768" t="s">
        <v>6371</v>
      </c>
    </row>
    <row r="1769" spans="1:13">
      <c r="A1769" t="s">
        <v>5086</v>
      </c>
      <c r="B1769" t="s">
        <v>2307</v>
      </c>
      <c r="C1769">
        <v>42937</v>
      </c>
      <c r="D1769">
        <v>494373634</v>
      </c>
      <c r="E1769">
        <v>45589</v>
      </c>
      <c r="F1769">
        <v>66</v>
      </c>
      <c r="G1769">
        <v>824555368</v>
      </c>
      <c r="H1769">
        <v>3078270</v>
      </c>
      <c r="I1769">
        <v>40949580</v>
      </c>
      <c r="J1769">
        <v>35</v>
      </c>
      <c r="K1769">
        <v>4</v>
      </c>
      <c r="L1769">
        <v>0</v>
      </c>
      <c r="M1769" t="s">
        <v>6371</v>
      </c>
    </row>
    <row r="1770" spans="1:13">
      <c r="A1770" t="s">
        <v>5088</v>
      </c>
      <c r="B1770" t="s">
        <v>4056</v>
      </c>
      <c r="C1770">
        <v>44988</v>
      </c>
      <c r="D1770">
        <v>88771696</v>
      </c>
      <c r="E1770">
        <v>46086</v>
      </c>
      <c r="F1770">
        <v>62</v>
      </c>
      <c r="G1770">
        <v>11580205</v>
      </c>
      <c r="H1770">
        <v>273458</v>
      </c>
      <c r="I1770">
        <v>13785559</v>
      </c>
      <c r="J1770">
        <v>3</v>
      </c>
      <c r="K1770">
        <v>35</v>
      </c>
      <c r="L1770">
        <v>1</v>
      </c>
      <c r="M1770" t="s">
        <v>6370</v>
      </c>
    </row>
    <row r="1771" spans="1:13">
      <c r="A1771" t="s">
        <v>5093</v>
      </c>
      <c r="B1771" t="s">
        <v>5094</v>
      </c>
      <c r="C1771">
        <v>45037</v>
      </c>
      <c r="D1771">
        <v>79045342</v>
      </c>
      <c r="E1771">
        <v>18284</v>
      </c>
      <c r="F1771">
        <v>55</v>
      </c>
      <c r="G1771">
        <v>34142538</v>
      </c>
      <c r="H1771">
        <v>565870</v>
      </c>
      <c r="I1771">
        <v>105037367</v>
      </c>
      <c r="J1771">
        <v>42</v>
      </c>
      <c r="K1771">
        <v>858</v>
      </c>
      <c r="L1771">
        <v>1</v>
      </c>
      <c r="M1771" t="s">
        <v>6370</v>
      </c>
    </row>
    <row r="1772" spans="1:13">
      <c r="A1772" t="s">
        <v>5095</v>
      </c>
      <c r="B1772" t="s">
        <v>755</v>
      </c>
      <c r="C1772">
        <v>43999</v>
      </c>
      <c r="D1772">
        <v>354643707</v>
      </c>
      <c r="E1772">
        <v>30447</v>
      </c>
      <c r="F1772">
        <v>68</v>
      </c>
      <c r="G1772">
        <v>529909818</v>
      </c>
      <c r="H1772">
        <v>8469062</v>
      </c>
      <c r="I1772">
        <v>703479878</v>
      </c>
      <c r="J1772">
        <v>14</v>
      </c>
      <c r="K1772">
        <v>20</v>
      </c>
      <c r="L1772">
        <v>0</v>
      </c>
      <c r="M1772" t="s">
        <v>6371</v>
      </c>
    </row>
    <row r="1773" spans="1:13">
      <c r="A1773" t="s">
        <v>5096</v>
      </c>
      <c r="B1773" t="s">
        <v>1654</v>
      </c>
      <c r="C1773">
        <v>43252</v>
      </c>
      <c r="D1773">
        <v>752708868</v>
      </c>
      <c r="E1773">
        <v>62653</v>
      </c>
      <c r="F1773">
        <v>70</v>
      </c>
      <c r="G1773">
        <v>535764821</v>
      </c>
      <c r="H1773">
        <v>2159262</v>
      </c>
      <c r="I1773">
        <v>427823320</v>
      </c>
      <c r="J1773">
        <v>68</v>
      </c>
      <c r="K1773">
        <v>69</v>
      </c>
      <c r="L1773">
        <v>0</v>
      </c>
      <c r="M1773" t="s">
        <v>6371</v>
      </c>
    </row>
    <row r="1774" spans="1:13">
      <c r="A1774" t="s">
        <v>1231</v>
      </c>
      <c r="B1774" t="s">
        <v>285</v>
      </c>
      <c r="C1774">
        <v>40909</v>
      </c>
      <c r="D1774">
        <v>538918222</v>
      </c>
      <c r="E1774">
        <v>73149</v>
      </c>
      <c r="F1774">
        <v>70</v>
      </c>
      <c r="G1774">
        <v>992302781</v>
      </c>
      <c r="H1774">
        <v>6629367</v>
      </c>
      <c r="I1774">
        <v>149188520</v>
      </c>
      <c r="J1774">
        <v>43</v>
      </c>
      <c r="K1774">
        <v>66</v>
      </c>
      <c r="L1774">
        <v>0</v>
      </c>
      <c r="M1774" t="s">
        <v>6371</v>
      </c>
    </row>
    <row r="1775" spans="1:13">
      <c r="A1775" t="s">
        <v>5100</v>
      </c>
      <c r="B1775" t="s">
        <v>2267</v>
      </c>
      <c r="C1775">
        <v>41575</v>
      </c>
      <c r="D1775">
        <v>1275036167</v>
      </c>
      <c r="E1775">
        <v>143693</v>
      </c>
      <c r="F1775">
        <v>79</v>
      </c>
      <c r="G1775">
        <v>264658339</v>
      </c>
      <c r="H1775">
        <v>3696633</v>
      </c>
      <c r="I1775">
        <v>862277477</v>
      </c>
      <c r="J1775">
        <v>101</v>
      </c>
      <c r="K1775">
        <v>111</v>
      </c>
      <c r="L1775">
        <v>0</v>
      </c>
      <c r="M1775" t="s">
        <v>6371</v>
      </c>
    </row>
    <row r="1776" spans="1:13">
      <c r="A1776" t="s">
        <v>5101</v>
      </c>
      <c r="B1776" t="s">
        <v>5102</v>
      </c>
      <c r="C1776">
        <v>44596</v>
      </c>
      <c r="D1776">
        <v>128264127</v>
      </c>
      <c r="E1776">
        <v>34856</v>
      </c>
      <c r="F1776">
        <v>57</v>
      </c>
      <c r="G1776">
        <v>57252735</v>
      </c>
      <c r="H1776">
        <v>907529</v>
      </c>
      <c r="I1776">
        <v>20590526</v>
      </c>
      <c r="J1776">
        <v>21</v>
      </c>
      <c r="K1776">
        <v>100</v>
      </c>
      <c r="L1776">
        <v>0</v>
      </c>
      <c r="M1776" t="s">
        <v>6370</v>
      </c>
    </row>
    <row r="1777" spans="1:13">
      <c r="A1777" t="s">
        <v>673</v>
      </c>
      <c r="B1777" t="s">
        <v>5109</v>
      </c>
      <c r="C1777">
        <v>37987</v>
      </c>
      <c r="D1777">
        <v>971172980</v>
      </c>
      <c r="E1777">
        <v>146441</v>
      </c>
      <c r="F1777">
        <v>70</v>
      </c>
      <c r="G1777">
        <v>996052113</v>
      </c>
      <c r="H1777">
        <v>5781852</v>
      </c>
      <c r="I1777">
        <v>171491357</v>
      </c>
      <c r="J1777">
        <v>119</v>
      </c>
      <c r="K1777">
        <v>106</v>
      </c>
      <c r="L1777">
        <v>0</v>
      </c>
      <c r="M1777" t="s">
        <v>6372</v>
      </c>
    </row>
    <row r="1778" spans="1:13">
      <c r="A1778" t="s">
        <v>4226</v>
      </c>
      <c r="B1778" t="s">
        <v>5110</v>
      </c>
      <c r="C1778">
        <v>42475</v>
      </c>
      <c r="D1778">
        <v>353525330</v>
      </c>
      <c r="E1778">
        <v>59509</v>
      </c>
      <c r="F1778">
        <v>65</v>
      </c>
      <c r="G1778">
        <v>1004545222</v>
      </c>
      <c r="H1778">
        <v>7106869</v>
      </c>
      <c r="I1778">
        <v>151019644</v>
      </c>
      <c r="J1778">
        <v>21</v>
      </c>
      <c r="K1778">
        <v>4</v>
      </c>
      <c r="L1778">
        <v>0</v>
      </c>
      <c r="M1778" t="s">
        <v>6371</v>
      </c>
    </row>
    <row r="1779" spans="1:13">
      <c r="A1779" t="s">
        <v>5115</v>
      </c>
      <c r="B1779" t="s">
        <v>5116</v>
      </c>
      <c r="C1779">
        <v>43595</v>
      </c>
      <c r="D1779">
        <v>785139012</v>
      </c>
      <c r="E1779">
        <v>119530</v>
      </c>
      <c r="F1779">
        <v>73</v>
      </c>
      <c r="G1779">
        <v>147215663</v>
      </c>
      <c r="H1779">
        <v>1730949</v>
      </c>
      <c r="I1779">
        <v>594352793</v>
      </c>
      <c r="J1779">
        <v>23</v>
      </c>
      <c r="K1779">
        <v>399</v>
      </c>
      <c r="L1779">
        <v>0</v>
      </c>
      <c r="M1779" t="s">
        <v>6371</v>
      </c>
    </row>
    <row r="1780" spans="1:13">
      <c r="A1780" t="s">
        <v>5119</v>
      </c>
      <c r="B1780" t="s">
        <v>5120</v>
      </c>
      <c r="C1780">
        <v>40909</v>
      </c>
      <c r="D1780">
        <v>646295324</v>
      </c>
      <c r="E1780">
        <v>96138</v>
      </c>
      <c r="F1780">
        <v>71</v>
      </c>
      <c r="G1780">
        <v>719570982</v>
      </c>
      <c r="H1780">
        <v>5771711</v>
      </c>
      <c r="I1780">
        <v>1264756176</v>
      </c>
      <c r="J1780">
        <v>112</v>
      </c>
      <c r="K1780">
        <v>164</v>
      </c>
      <c r="L1780">
        <v>0</v>
      </c>
      <c r="M1780" t="s">
        <v>6371</v>
      </c>
    </row>
    <row r="1781" spans="1:13">
      <c r="A1781" t="s">
        <v>5121</v>
      </c>
      <c r="B1781" t="s">
        <v>1067</v>
      </c>
      <c r="C1781">
        <v>43790</v>
      </c>
      <c r="D1781">
        <v>382565051</v>
      </c>
      <c r="E1781">
        <v>85310</v>
      </c>
      <c r="F1781">
        <v>69</v>
      </c>
      <c r="G1781">
        <v>121875542</v>
      </c>
      <c r="H1781">
        <v>986189</v>
      </c>
      <c r="I1781">
        <v>123745488</v>
      </c>
      <c r="J1781">
        <v>55</v>
      </c>
      <c r="K1781">
        <v>24</v>
      </c>
      <c r="L1781">
        <v>0</v>
      </c>
      <c r="M1781" t="s">
        <v>6371</v>
      </c>
    </row>
    <row r="1782" spans="1:13">
      <c r="A1782" t="s">
        <v>5124</v>
      </c>
      <c r="B1782" t="s">
        <v>5125</v>
      </c>
      <c r="C1782">
        <v>42145</v>
      </c>
      <c r="D1782">
        <v>642037328</v>
      </c>
      <c r="E1782">
        <v>56621</v>
      </c>
      <c r="F1782">
        <v>67</v>
      </c>
      <c r="G1782">
        <v>1143353058</v>
      </c>
      <c r="H1782">
        <v>9332783</v>
      </c>
      <c r="I1782">
        <v>290754721</v>
      </c>
      <c r="J1782">
        <v>110</v>
      </c>
      <c r="K1782">
        <v>2</v>
      </c>
      <c r="L1782">
        <v>0</v>
      </c>
      <c r="M1782" t="s">
        <v>6371</v>
      </c>
    </row>
    <row r="1783" spans="1:13">
      <c r="A1783" t="s">
        <v>5126</v>
      </c>
      <c r="B1783" t="s">
        <v>1758</v>
      </c>
      <c r="C1783">
        <v>41581</v>
      </c>
      <c r="D1783">
        <v>1142061871</v>
      </c>
      <c r="E1783">
        <v>140545</v>
      </c>
      <c r="F1783">
        <v>79</v>
      </c>
      <c r="G1783">
        <v>265620751</v>
      </c>
      <c r="H1783">
        <v>1528733</v>
      </c>
      <c r="I1783">
        <v>42711557</v>
      </c>
      <c r="J1783">
        <v>183</v>
      </c>
      <c r="K1783">
        <v>208</v>
      </c>
      <c r="L1783">
        <v>0</v>
      </c>
      <c r="M1783" t="s">
        <v>6371</v>
      </c>
    </row>
    <row r="1784" spans="1:13">
      <c r="A1784" t="s">
        <v>5130</v>
      </c>
      <c r="B1784" t="s">
        <v>3421</v>
      </c>
      <c r="C1784">
        <v>42643</v>
      </c>
      <c r="D1784">
        <v>162240700</v>
      </c>
      <c r="E1784">
        <v>16013</v>
      </c>
      <c r="F1784">
        <v>54</v>
      </c>
      <c r="G1784">
        <v>168005056</v>
      </c>
      <c r="H1784">
        <v>764995</v>
      </c>
      <c r="I1784">
        <v>1426765550</v>
      </c>
      <c r="J1784">
        <v>10</v>
      </c>
      <c r="K1784">
        <v>5</v>
      </c>
      <c r="L1784">
        <v>0</v>
      </c>
      <c r="M1784" t="s">
        <v>6371</v>
      </c>
    </row>
    <row r="1785" spans="1:13">
      <c r="A1785" t="s">
        <v>5133</v>
      </c>
      <c r="B1785" t="s">
        <v>2047</v>
      </c>
      <c r="C1785">
        <v>44356</v>
      </c>
      <c r="D1785">
        <v>224295163</v>
      </c>
      <c r="E1785">
        <v>24906</v>
      </c>
      <c r="F1785">
        <v>62</v>
      </c>
      <c r="G1785">
        <v>398036555</v>
      </c>
      <c r="H1785">
        <v>5248109</v>
      </c>
      <c r="I1785">
        <v>811061720</v>
      </c>
      <c r="J1785">
        <v>25</v>
      </c>
      <c r="K1785">
        <v>46</v>
      </c>
      <c r="L1785">
        <v>0</v>
      </c>
      <c r="M1785" t="s">
        <v>6370</v>
      </c>
    </row>
    <row r="1786" spans="1:13">
      <c r="A1786" t="s">
        <v>5136</v>
      </c>
      <c r="B1786" t="s">
        <v>2055</v>
      </c>
      <c r="C1786">
        <v>44712</v>
      </c>
      <c r="D1786">
        <v>122568479</v>
      </c>
      <c r="E1786">
        <v>33824</v>
      </c>
      <c r="F1786">
        <v>68</v>
      </c>
      <c r="G1786">
        <v>109752215</v>
      </c>
      <c r="H1786">
        <v>1100224</v>
      </c>
      <c r="I1786">
        <v>33939631</v>
      </c>
      <c r="J1786">
        <v>7</v>
      </c>
      <c r="K1786">
        <v>106</v>
      </c>
      <c r="L1786">
        <v>1</v>
      </c>
      <c r="M1786" t="s">
        <v>6370</v>
      </c>
    </row>
    <row r="1787" spans="1:13">
      <c r="A1787" t="s">
        <v>5142</v>
      </c>
      <c r="B1787" t="s">
        <v>5143</v>
      </c>
      <c r="C1787">
        <v>44134</v>
      </c>
      <c r="D1787">
        <v>92536126</v>
      </c>
      <c r="E1787">
        <v>39798</v>
      </c>
      <c r="F1787">
        <v>53</v>
      </c>
      <c r="G1787">
        <v>290871758</v>
      </c>
      <c r="H1787">
        <v>2393255</v>
      </c>
      <c r="I1787">
        <v>101473422</v>
      </c>
      <c r="J1787">
        <v>27</v>
      </c>
      <c r="K1787">
        <v>235</v>
      </c>
      <c r="L1787">
        <v>1</v>
      </c>
      <c r="M1787" t="s">
        <v>6371</v>
      </c>
    </row>
    <row r="1788" spans="1:13">
      <c r="A1788" t="s">
        <v>5144</v>
      </c>
      <c r="B1788" t="s">
        <v>1932</v>
      </c>
      <c r="C1788">
        <v>43966</v>
      </c>
      <c r="D1788">
        <v>200520284</v>
      </c>
      <c r="E1788">
        <v>32859</v>
      </c>
      <c r="F1788">
        <v>64</v>
      </c>
      <c r="G1788">
        <v>477774248</v>
      </c>
      <c r="H1788">
        <v>3156383</v>
      </c>
      <c r="I1788">
        <v>1255331962</v>
      </c>
      <c r="J1788">
        <v>6</v>
      </c>
      <c r="K1788">
        <v>78</v>
      </c>
      <c r="L1788">
        <v>0</v>
      </c>
      <c r="M1788" t="s">
        <v>6371</v>
      </c>
    </row>
    <row r="1789" spans="1:13">
      <c r="A1789" t="s">
        <v>5145</v>
      </c>
      <c r="B1789" t="s">
        <v>371</v>
      </c>
      <c r="C1789">
        <v>39448</v>
      </c>
      <c r="D1789">
        <v>1062571821</v>
      </c>
      <c r="E1789">
        <v>183102</v>
      </c>
      <c r="F1789">
        <v>74</v>
      </c>
      <c r="G1789">
        <v>566585521</v>
      </c>
      <c r="H1789">
        <v>2999671</v>
      </c>
      <c r="I1789">
        <v>623454990</v>
      </c>
      <c r="J1789">
        <v>166</v>
      </c>
      <c r="K1789">
        <v>425</v>
      </c>
      <c r="L1789">
        <v>0</v>
      </c>
      <c r="M1789" t="s">
        <v>6372</v>
      </c>
    </row>
    <row r="1790" spans="1:13">
      <c r="A1790" t="s">
        <v>5146</v>
      </c>
      <c r="B1790" t="s">
        <v>5147</v>
      </c>
      <c r="C1790">
        <v>43644</v>
      </c>
      <c r="D1790">
        <v>296543065</v>
      </c>
      <c r="E1790">
        <v>117924</v>
      </c>
      <c r="F1790">
        <v>68</v>
      </c>
      <c r="G1790">
        <v>205245834</v>
      </c>
      <c r="H1790">
        <v>3566571</v>
      </c>
      <c r="I1790">
        <v>2473547695</v>
      </c>
      <c r="J1790">
        <v>12</v>
      </c>
      <c r="K1790">
        <v>148</v>
      </c>
      <c r="L1790">
        <v>0</v>
      </c>
      <c r="M1790" t="s">
        <v>6371</v>
      </c>
    </row>
    <row r="1791" spans="1:13">
      <c r="A1791" t="s">
        <v>5150</v>
      </c>
      <c r="B1791" t="s">
        <v>295</v>
      </c>
      <c r="C1791">
        <v>40746</v>
      </c>
      <c r="D1791">
        <v>597923434</v>
      </c>
      <c r="E1791">
        <v>102247</v>
      </c>
      <c r="F1791">
        <v>68</v>
      </c>
      <c r="G1791">
        <v>201599895</v>
      </c>
      <c r="H1791">
        <v>1427945</v>
      </c>
      <c r="I1791">
        <v>138482890</v>
      </c>
      <c r="J1791">
        <v>81</v>
      </c>
      <c r="K1791">
        <v>16</v>
      </c>
      <c r="L1791">
        <v>1</v>
      </c>
      <c r="M1791" t="s">
        <v>6371</v>
      </c>
    </row>
    <row r="1792" spans="1:13">
      <c r="A1792" t="s">
        <v>877</v>
      </c>
      <c r="B1792" t="s">
        <v>295</v>
      </c>
      <c r="C1792">
        <v>40862</v>
      </c>
      <c r="D1792">
        <v>549699659</v>
      </c>
      <c r="E1792">
        <v>89323</v>
      </c>
      <c r="F1792">
        <v>68</v>
      </c>
      <c r="G1792">
        <v>76930754</v>
      </c>
      <c r="H1792">
        <v>622540</v>
      </c>
      <c r="I1792">
        <v>13825915</v>
      </c>
      <c r="J1792">
        <v>89</v>
      </c>
      <c r="K1792">
        <v>118</v>
      </c>
      <c r="L1792">
        <v>1</v>
      </c>
      <c r="M1792" t="s">
        <v>6371</v>
      </c>
    </row>
    <row r="1793" spans="1:13">
      <c r="A1793" t="s">
        <v>5156</v>
      </c>
      <c r="B1793" t="s">
        <v>1643</v>
      </c>
      <c r="C1793">
        <v>44666</v>
      </c>
      <c r="D1793">
        <v>248202976</v>
      </c>
      <c r="E1793">
        <v>55197</v>
      </c>
      <c r="F1793">
        <v>71</v>
      </c>
      <c r="G1793">
        <v>59788261</v>
      </c>
      <c r="H1793">
        <v>351230</v>
      </c>
      <c r="I1793">
        <v>36131031</v>
      </c>
      <c r="J1793">
        <v>50</v>
      </c>
      <c r="K1793">
        <v>347</v>
      </c>
      <c r="L1793">
        <v>0</v>
      </c>
      <c r="M1793" t="s">
        <v>6370</v>
      </c>
    </row>
    <row r="1794" spans="1:13">
      <c r="A1794" t="s">
        <v>5166</v>
      </c>
      <c r="B1794" t="s">
        <v>5167</v>
      </c>
      <c r="C1794">
        <v>44253</v>
      </c>
      <c r="D1794">
        <v>198817832</v>
      </c>
      <c r="E1794">
        <v>29696</v>
      </c>
      <c r="F1794">
        <v>61</v>
      </c>
      <c r="G1794">
        <v>72494045</v>
      </c>
      <c r="H1794">
        <v>589638</v>
      </c>
      <c r="I1794">
        <v>88185708</v>
      </c>
      <c r="J1794">
        <v>53</v>
      </c>
      <c r="K1794">
        <v>97</v>
      </c>
      <c r="L1794">
        <v>0</v>
      </c>
      <c r="M1794" t="s">
        <v>6370</v>
      </c>
    </row>
    <row r="1795" spans="1:13">
      <c r="A1795" t="s">
        <v>5168</v>
      </c>
      <c r="B1795" t="s">
        <v>47</v>
      </c>
      <c r="C1795">
        <v>45121</v>
      </c>
      <c r="D1795">
        <v>130236751</v>
      </c>
      <c r="E1795">
        <v>27992</v>
      </c>
      <c r="F1795">
        <v>63</v>
      </c>
      <c r="G1795">
        <v>9721972</v>
      </c>
      <c r="H1795">
        <v>104453</v>
      </c>
      <c r="I1795">
        <v>52127762</v>
      </c>
      <c r="J1795">
        <v>17</v>
      </c>
      <c r="K1795">
        <v>3</v>
      </c>
      <c r="L1795">
        <v>0</v>
      </c>
      <c r="M1795" t="s">
        <v>6370</v>
      </c>
    </row>
    <row r="1796" spans="1:13">
      <c r="A1796" t="s">
        <v>5172</v>
      </c>
      <c r="B1796" t="s">
        <v>1320</v>
      </c>
      <c r="C1796">
        <v>44953</v>
      </c>
      <c r="D1796">
        <v>178523233</v>
      </c>
      <c r="E1796">
        <v>14560</v>
      </c>
      <c r="F1796">
        <v>67</v>
      </c>
      <c r="G1796">
        <v>140763661</v>
      </c>
      <c r="H1796">
        <v>2394273</v>
      </c>
      <c r="I1796">
        <v>697618053</v>
      </c>
      <c r="J1796">
        <v>11</v>
      </c>
      <c r="K1796">
        <v>23</v>
      </c>
      <c r="L1796">
        <v>0</v>
      </c>
      <c r="M1796" t="s">
        <v>6370</v>
      </c>
    </row>
    <row r="1797" spans="1:13">
      <c r="A1797" t="s">
        <v>5177</v>
      </c>
      <c r="B1797" t="s">
        <v>723</v>
      </c>
      <c r="C1797">
        <v>42957</v>
      </c>
      <c r="D1797">
        <v>1074175360</v>
      </c>
      <c r="E1797">
        <v>135290</v>
      </c>
      <c r="F1797">
        <v>73</v>
      </c>
      <c r="G1797">
        <v>293084186</v>
      </c>
      <c r="H1797">
        <v>2973334</v>
      </c>
      <c r="I1797">
        <v>229614343</v>
      </c>
      <c r="J1797">
        <v>82</v>
      </c>
      <c r="K1797">
        <v>119</v>
      </c>
      <c r="L1797">
        <v>1</v>
      </c>
      <c r="M1797" t="s">
        <v>6371</v>
      </c>
    </row>
    <row r="1798" spans="1:13">
      <c r="A1798" t="s">
        <v>5180</v>
      </c>
      <c r="B1798" t="s">
        <v>112</v>
      </c>
      <c r="C1798">
        <v>42888</v>
      </c>
      <c r="D1798">
        <v>1583012380</v>
      </c>
      <c r="E1798">
        <v>108894</v>
      </c>
      <c r="F1798">
        <v>71</v>
      </c>
      <c r="G1798">
        <v>223607979</v>
      </c>
      <c r="H1798">
        <v>2045247</v>
      </c>
      <c r="I1798">
        <v>135618240</v>
      </c>
      <c r="J1798">
        <v>129</v>
      </c>
      <c r="K1798">
        <v>56</v>
      </c>
      <c r="L1798">
        <v>1</v>
      </c>
      <c r="M1798" t="s">
        <v>6371</v>
      </c>
    </row>
    <row r="1799" spans="1:13">
      <c r="A1799" t="s">
        <v>5181</v>
      </c>
      <c r="B1799" t="s">
        <v>1955</v>
      </c>
      <c r="C1799">
        <v>43763</v>
      </c>
      <c r="D1799">
        <v>845222205</v>
      </c>
      <c r="E1799">
        <v>109624</v>
      </c>
      <c r="F1799">
        <v>71</v>
      </c>
      <c r="G1799">
        <v>108306968</v>
      </c>
      <c r="H1799">
        <v>2342473</v>
      </c>
      <c r="I1799">
        <v>316355255</v>
      </c>
      <c r="J1799">
        <v>58</v>
      </c>
      <c r="K1799">
        <v>125</v>
      </c>
      <c r="L1799">
        <v>0</v>
      </c>
      <c r="M1799" t="s">
        <v>6371</v>
      </c>
    </row>
    <row r="1800" spans="1:13">
      <c r="A1800" t="s">
        <v>5182</v>
      </c>
      <c r="B1800" t="s">
        <v>81</v>
      </c>
      <c r="C1800">
        <v>41640</v>
      </c>
      <c r="D1800">
        <v>917284463</v>
      </c>
      <c r="E1800">
        <v>80957</v>
      </c>
      <c r="F1800">
        <v>73</v>
      </c>
      <c r="G1800">
        <v>930161541</v>
      </c>
      <c r="H1800">
        <v>5513057</v>
      </c>
      <c r="I1800">
        <v>18428812</v>
      </c>
      <c r="J1800">
        <v>84</v>
      </c>
      <c r="K1800">
        <v>12</v>
      </c>
      <c r="L1800">
        <v>0</v>
      </c>
      <c r="M1800" t="s">
        <v>6371</v>
      </c>
    </row>
    <row r="1801" spans="1:13">
      <c r="A1801" t="s">
        <v>5183</v>
      </c>
      <c r="B1801" t="s">
        <v>418</v>
      </c>
      <c r="C1801">
        <v>43644</v>
      </c>
      <c r="D1801">
        <v>306404848</v>
      </c>
      <c r="E1801">
        <v>33666</v>
      </c>
      <c r="F1801">
        <v>63</v>
      </c>
      <c r="G1801">
        <v>605370523</v>
      </c>
      <c r="H1801">
        <v>2987290</v>
      </c>
      <c r="I1801">
        <v>56631793</v>
      </c>
      <c r="J1801">
        <v>47</v>
      </c>
      <c r="K1801">
        <v>8</v>
      </c>
      <c r="L1801">
        <v>0</v>
      </c>
      <c r="M1801" t="s">
        <v>6371</v>
      </c>
    </row>
    <row r="1802" spans="1:13">
      <c r="A1802" t="s">
        <v>5188</v>
      </c>
      <c r="B1802" t="s">
        <v>1534</v>
      </c>
      <c r="C1802">
        <v>43616</v>
      </c>
      <c r="D1802">
        <v>320136804</v>
      </c>
      <c r="E1802">
        <v>70340</v>
      </c>
      <c r="F1802">
        <v>62</v>
      </c>
      <c r="G1802">
        <v>300606606</v>
      </c>
      <c r="H1802">
        <v>2725053</v>
      </c>
      <c r="I1802">
        <v>415394142</v>
      </c>
      <c r="J1802">
        <v>24</v>
      </c>
      <c r="K1802">
        <v>177</v>
      </c>
      <c r="L1802">
        <v>1</v>
      </c>
      <c r="M1802" t="s">
        <v>6371</v>
      </c>
    </row>
    <row r="1803" spans="1:13">
      <c r="A1803" t="s">
        <v>5191</v>
      </c>
      <c r="B1803" t="s">
        <v>291</v>
      </c>
      <c r="C1803">
        <v>43196</v>
      </c>
      <c r="D1803">
        <v>242105356</v>
      </c>
      <c r="E1803">
        <v>25649</v>
      </c>
      <c r="F1803">
        <v>59</v>
      </c>
      <c r="G1803">
        <v>327705174</v>
      </c>
      <c r="H1803">
        <v>2907887</v>
      </c>
      <c r="I1803">
        <v>38979215</v>
      </c>
      <c r="J1803">
        <v>21</v>
      </c>
      <c r="K1803">
        <v>40</v>
      </c>
      <c r="L1803">
        <v>1</v>
      </c>
      <c r="M1803" t="s">
        <v>6371</v>
      </c>
    </row>
    <row r="1804" spans="1:13">
      <c r="A1804" t="s">
        <v>5192</v>
      </c>
      <c r="B1804" t="s">
        <v>631</v>
      </c>
      <c r="C1804">
        <v>44708</v>
      </c>
      <c r="D1804">
        <v>221965013</v>
      </c>
      <c r="E1804">
        <v>38872</v>
      </c>
      <c r="F1804">
        <v>60</v>
      </c>
      <c r="G1804">
        <v>51083768</v>
      </c>
      <c r="H1804">
        <v>550181</v>
      </c>
      <c r="I1804">
        <v>4096148</v>
      </c>
      <c r="J1804">
        <v>58</v>
      </c>
      <c r="K1804">
        <v>345</v>
      </c>
      <c r="L1804">
        <v>1</v>
      </c>
      <c r="M1804" t="s">
        <v>6370</v>
      </c>
    </row>
    <row r="1805" spans="1:13">
      <c r="A1805" t="s">
        <v>5196</v>
      </c>
      <c r="B1805" t="s">
        <v>5197</v>
      </c>
      <c r="C1805">
        <v>43574</v>
      </c>
      <c r="D1805">
        <v>324575469</v>
      </c>
      <c r="E1805">
        <v>84886</v>
      </c>
      <c r="F1805">
        <v>66</v>
      </c>
      <c r="G1805">
        <v>84490948</v>
      </c>
      <c r="H1805">
        <v>834256</v>
      </c>
      <c r="I1805">
        <v>4875609910</v>
      </c>
      <c r="J1805">
        <v>25</v>
      </c>
      <c r="K1805">
        <v>3</v>
      </c>
      <c r="L1805">
        <v>0</v>
      </c>
      <c r="M1805" t="s">
        <v>6371</v>
      </c>
    </row>
    <row r="1806" spans="1:13">
      <c r="A1806" t="s">
        <v>5200</v>
      </c>
      <c r="B1806" t="s">
        <v>30</v>
      </c>
      <c r="C1806">
        <v>44687</v>
      </c>
      <c r="D1806">
        <v>153857576</v>
      </c>
      <c r="E1806">
        <v>59992</v>
      </c>
      <c r="F1806">
        <v>61</v>
      </c>
      <c r="G1806">
        <v>77159004</v>
      </c>
      <c r="H1806">
        <v>877109</v>
      </c>
      <c r="I1806">
        <v>72804876</v>
      </c>
      <c r="J1806">
        <v>11</v>
      </c>
      <c r="K1806">
        <v>156</v>
      </c>
      <c r="L1806">
        <v>1</v>
      </c>
      <c r="M1806" t="s">
        <v>6370</v>
      </c>
    </row>
    <row r="1807" spans="1:13">
      <c r="A1807" t="s">
        <v>5201</v>
      </c>
      <c r="B1807" t="s">
        <v>479</v>
      </c>
      <c r="C1807">
        <v>40909</v>
      </c>
      <c r="D1807">
        <v>447997798</v>
      </c>
      <c r="E1807">
        <v>47976</v>
      </c>
      <c r="F1807">
        <v>73</v>
      </c>
      <c r="G1807">
        <v>1129883893</v>
      </c>
      <c r="H1807">
        <v>5231385</v>
      </c>
      <c r="I1807">
        <v>63097743</v>
      </c>
      <c r="J1807">
        <v>29</v>
      </c>
      <c r="K1807">
        <v>115</v>
      </c>
      <c r="L1807">
        <v>0</v>
      </c>
      <c r="M1807" t="s">
        <v>6371</v>
      </c>
    </row>
    <row r="1808" spans="1:13">
      <c r="A1808" t="s">
        <v>5203</v>
      </c>
      <c r="B1808" t="s">
        <v>1789</v>
      </c>
      <c r="C1808">
        <v>42160</v>
      </c>
      <c r="D1808">
        <v>1429205245</v>
      </c>
      <c r="E1808">
        <v>151855</v>
      </c>
      <c r="F1808">
        <v>78</v>
      </c>
      <c r="G1808">
        <v>156015402</v>
      </c>
      <c r="H1808">
        <v>1540316</v>
      </c>
      <c r="I1808">
        <v>323351717</v>
      </c>
      <c r="J1808">
        <v>200</v>
      </c>
      <c r="K1808">
        <v>1</v>
      </c>
      <c r="L1808">
        <v>0</v>
      </c>
      <c r="M1808" t="s">
        <v>6371</v>
      </c>
    </row>
    <row r="1809" spans="1:13">
      <c r="A1809" t="s">
        <v>5208</v>
      </c>
      <c r="B1809" t="s">
        <v>1488</v>
      </c>
      <c r="C1809">
        <v>45069</v>
      </c>
      <c r="D1809">
        <v>68990989</v>
      </c>
      <c r="E1809">
        <v>21556</v>
      </c>
      <c r="F1809">
        <v>63</v>
      </c>
      <c r="G1809">
        <v>29014150</v>
      </c>
      <c r="H1809">
        <v>237930</v>
      </c>
      <c r="I1809">
        <v>240070262</v>
      </c>
      <c r="J1809">
        <v>53</v>
      </c>
      <c r="K1809">
        <v>79</v>
      </c>
      <c r="L1809">
        <v>1</v>
      </c>
      <c r="M1809" t="s">
        <v>6370</v>
      </c>
    </row>
    <row r="1810" spans="1:13">
      <c r="A1810" t="s">
        <v>5212</v>
      </c>
      <c r="B1810" t="s">
        <v>3613</v>
      </c>
      <c r="C1810">
        <v>43805</v>
      </c>
      <c r="D1810">
        <v>289196126</v>
      </c>
      <c r="E1810">
        <v>56563</v>
      </c>
      <c r="F1810">
        <v>64</v>
      </c>
      <c r="G1810">
        <v>403607329</v>
      </c>
      <c r="H1810">
        <v>2363349</v>
      </c>
      <c r="I1810">
        <v>758684528</v>
      </c>
      <c r="J1810">
        <v>72</v>
      </c>
      <c r="K1810">
        <v>64</v>
      </c>
      <c r="L1810">
        <v>1</v>
      </c>
      <c r="M1810" t="s">
        <v>6371</v>
      </c>
    </row>
    <row r="1811" spans="1:13">
      <c r="A1811" t="s">
        <v>5213</v>
      </c>
      <c r="B1811" t="s">
        <v>258</v>
      </c>
      <c r="C1811">
        <v>42736</v>
      </c>
      <c r="D1811">
        <v>388986035</v>
      </c>
      <c r="E1811">
        <v>32035</v>
      </c>
      <c r="F1811">
        <v>61</v>
      </c>
      <c r="G1811">
        <v>1029205329</v>
      </c>
      <c r="H1811">
        <v>5258522</v>
      </c>
      <c r="I1811">
        <v>138694370</v>
      </c>
      <c r="J1811">
        <v>52</v>
      </c>
      <c r="K1811">
        <v>33</v>
      </c>
      <c r="L1811">
        <v>0</v>
      </c>
      <c r="M1811" t="s">
        <v>6371</v>
      </c>
    </row>
    <row r="1812" spans="1:13">
      <c r="A1812" t="s">
        <v>5216</v>
      </c>
      <c r="B1812" t="s">
        <v>5217</v>
      </c>
      <c r="C1812">
        <v>44988</v>
      </c>
      <c r="D1812">
        <v>183683364</v>
      </c>
      <c r="E1812">
        <v>21804</v>
      </c>
      <c r="F1812">
        <v>63</v>
      </c>
      <c r="G1812">
        <v>67664152</v>
      </c>
      <c r="H1812">
        <v>3768577</v>
      </c>
      <c r="I1812">
        <v>803916984</v>
      </c>
      <c r="J1812">
        <v>15</v>
      </c>
      <c r="K1812">
        <v>12</v>
      </c>
      <c r="L1812">
        <v>1</v>
      </c>
      <c r="M1812" t="s">
        <v>6370</v>
      </c>
    </row>
    <row r="1813" spans="1:13">
      <c r="A1813" t="s">
        <v>5218</v>
      </c>
      <c r="B1813" t="s">
        <v>236</v>
      </c>
      <c r="C1813">
        <v>45135</v>
      </c>
      <c r="D1813">
        <v>66878719</v>
      </c>
      <c r="E1813">
        <v>33290</v>
      </c>
      <c r="F1813">
        <v>62</v>
      </c>
      <c r="G1813">
        <v>2866171</v>
      </c>
      <c r="H1813">
        <v>33960</v>
      </c>
      <c r="I1813">
        <v>4277522</v>
      </c>
      <c r="J1813">
        <v>5</v>
      </c>
      <c r="K1813">
        <v>128</v>
      </c>
      <c r="L1813">
        <v>1</v>
      </c>
      <c r="M1813" t="s">
        <v>6370</v>
      </c>
    </row>
    <row r="1814" spans="1:13">
      <c r="A1814" t="s">
        <v>5219</v>
      </c>
      <c r="B1814" t="s">
        <v>1373</v>
      </c>
      <c r="C1814">
        <v>42706</v>
      </c>
      <c r="D1814">
        <v>516523975</v>
      </c>
      <c r="E1814">
        <v>45773</v>
      </c>
      <c r="F1814">
        <v>67</v>
      </c>
      <c r="G1814">
        <v>407784529</v>
      </c>
      <c r="H1814">
        <v>2047661</v>
      </c>
      <c r="I1814">
        <v>10506569</v>
      </c>
      <c r="J1814">
        <v>39</v>
      </c>
      <c r="K1814">
        <v>56</v>
      </c>
      <c r="L1814">
        <v>0</v>
      </c>
      <c r="M1814" t="s">
        <v>6371</v>
      </c>
    </row>
    <row r="1815" spans="1:13">
      <c r="A1815" t="s">
        <v>5222</v>
      </c>
      <c r="B1815" t="s">
        <v>2047</v>
      </c>
      <c r="C1815">
        <v>44995</v>
      </c>
      <c r="D1815">
        <v>117186345</v>
      </c>
      <c r="E1815">
        <v>11752</v>
      </c>
      <c r="F1815">
        <v>62</v>
      </c>
      <c r="G1815">
        <v>137633324</v>
      </c>
      <c r="H1815">
        <v>2497620</v>
      </c>
      <c r="I1815">
        <v>580855649</v>
      </c>
      <c r="J1815">
        <v>11</v>
      </c>
      <c r="K1815">
        <v>33</v>
      </c>
      <c r="L1815">
        <v>0</v>
      </c>
      <c r="M1815" t="s">
        <v>6370</v>
      </c>
    </row>
    <row r="1816" spans="1:13">
      <c r="A1816" t="s">
        <v>5223</v>
      </c>
      <c r="B1816" t="s">
        <v>5224</v>
      </c>
      <c r="C1816">
        <v>41582</v>
      </c>
      <c r="D1816">
        <v>1064534331</v>
      </c>
      <c r="E1816">
        <v>116991</v>
      </c>
      <c r="F1816">
        <v>65</v>
      </c>
      <c r="G1816">
        <v>113298251</v>
      </c>
      <c r="H1816">
        <v>1108651</v>
      </c>
      <c r="I1816">
        <v>339277915</v>
      </c>
      <c r="J1816">
        <v>102</v>
      </c>
      <c r="K1816">
        <v>120</v>
      </c>
      <c r="L1816">
        <v>0</v>
      </c>
      <c r="M1816" t="s">
        <v>6371</v>
      </c>
    </row>
    <row r="1817" spans="1:13">
      <c r="A1817" t="s">
        <v>5226</v>
      </c>
      <c r="B1817" t="s">
        <v>61</v>
      </c>
      <c r="C1817">
        <v>39448</v>
      </c>
      <c r="D1817">
        <v>643828366</v>
      </c>
      <c r="E1817">
        <v>87942</v>
      </c>
      <c r="F1817">
        <v>66</v>
      </c>
      <c r="G1817">
        <v>1600713698</v>
      </c>
      <c r="H1817">
        <v>10233607</v>
      </c>
      <c r="I1817">
        <v>428418832</v>
      </c>
      <c r="J1817">
        <v>45</v>
      </c>
      <c r="K1817">
        <v>244</v>
      </c>
      <c r="L1817">
        <v>0</v>
      </c>
      <c r="M1817" t="s">
        <v>6372</v>
      </c>
    </row>
    <row r="1818" spans="1:13">
      <c r="A1818" t="s">
        <v>5227</v>
      </c>
      <c r="B1818" t="s">
        <v>5228</v>
      </c>
      <c r="C1818">
        <v>42678</v>
      </c>
      <c r="D1818">
        <v>818926915</v>
      </c>
      <c r="E1818">
        <v>160628</v>
      </c>
      <c r="F1818">
        <v>77</v>
      </c>
      <c r="G1818">
        <v>85879643</v>
      </c>
      <c r="H1818">
        <v>1119551</v>
      </c>
      <c r="I1818">
        <v>478999463</v>
      </c>
      <c r="J1818">
        <v>37</v>
      </c>
      <c r="K1818">
        <v>278</v>
      </c>
      <c r="L1818">
        <v>0</v>
      </c>
      <c r="M1818" t="s">
        <v>6371</v>
      </c>
    </row>
    <row r="1819" spans="1:13">
      <c r="A1819" t="s">
        <v>5231</v>
      </c>
      <c r="B1819" t="s">
        <v>5102</v>
      </c>
      <c r="C1819">
        <v>36319</v>
      </c>
      <c r="D1819">
        <v>1405353677</v>
      </c>
      <c r="E1819">
        <v>276377</v>
      </c>
      <c r="F1819">
        <v>79</v>
      </c>
      <c r="G1819">
        <v>1518596886</v>
      </c>
      <c r="H1819">
        <v>7781636</v>
      </c>
      <c r="I1819">
        <v>226008149</v>
      </c>
      <c r="J1819">
        <v>2</v>
      </c>
      <c r="K1819">
        <v>79</v>
      </c>
      <c r="L1819">
        <v>0</v>
      </c>
      <c r="M1819" t="s">
        <v>6372</v>
      </c>
    </row>
    <row r="1820" spans="1:13">
      <c r="A1820" t="s">
        <v>5232</v>
      </c>
      <c r="B1820" t="s">
        <v>2216</v>
      </c>
      <c r="C1820">
        <v>42045</v>
      </c>
      <c r="D1820">
        <v>301574752</v>
      </c>
      <c r="E1820">
        <v>35991</v>
      </c>
      <c r="F1820">
        <v>61</v>
      </c>
      <c r="G1820">
        <v>1379939508</v>
      </c>
      <c r="H1820">
        <v>3240310</v>
      </c>
      <c r="I1820">
        <v>236524309</v>
      </c>
      <c r="J1820">
        <v>45</v>
      </c>
      <c r="K1820">
        <v>30</v>
      </c>
      <c r="L1820">
        <v>0</v>
      </c>
      <c r="M1820" t="s">
        <v>6371</v>
      </c>
    </row>
    <row r="1821" spans="1:13">
      <c r="A1821" t="s">
        <v>5234</v>
      </c>
      <c r="B1821" t="s">
        <v>1280</v>
      </c>
      <c r="C1821">
        <v>45142</v>
      </c>
      <c r="D1821">
        <v>109868838</v>
      </c>
      <c r="E1821">
        <v>17147</v>
      </c>
      <c r="F1821">
        <v>70</v>
      </c>
      <c r="G1821">
        <v>6256696</v>
      </c>
      <c r="H1821">
        <v>55646</v>
      </c>
      <c r="I1821">
        <v>7034216</v>
      </c>
      <c r="J1821">
        <v>48</v>
      </c>
      <c r="K1821">
        <v>5</v>
      </c>
      <c r="L1821">
        <v>0</v>
      </c>
      <c r="M1821" t="s">
        <v>6370</v>
      </c>
    </row>
    <row r="1822" spans="1:13">
      <c r="A1822" t="s">
        <v>5235</v>
      </c>
      <c r="B1822" t="s">
        <v>4827</v>
      </c>
      <c r="C1822">
        <v>43700</v>
      </c>
      <c r="D1822">
        <v>177369022</v>
      </c>
      <c r="E1822">
        <v>26786</v>
      </c>
      <c r="F1822">
        <v>58</v>
      </c>
      <c r="G1822">
        <v>200783046</v>
      </c>
      <c r="H1822">
        <v>1614839</v>
      </c>
      <c r="I1822">
        <v>75387907</v>
      </c>
      <c r="J1822">
        <v>35</v>
      </c>
      <c r="K1822">
        <v>472</v>
      </c>
      <c r="L1822">
        <v>1</v>
      </c>
      <c r="M1822" t="s">
        <v>6371</v>
      </c>
    </row>
    <row r="1823" spans="1:13">
      <c r="A1823" t="s">
        <v>5236</v>
      </c>
      <c r="B1823" t="s">
        <v>127</v>
      </c>
      <c r="C1823">
        <v>41640</v>
      </c>
      <c r="D1823">
        <v>982399328</v>
      </c>
      <c r="E1823">
        <v>142822</v>
      </c>
      <c r="F1823">
        <v>73</v>
      </c>
      <c r="G1823">
        <v>578225770</v>
      </c>
      <c r="H1823">
        <v>3493215</v>
      </c>
      <c r="I1823">
        <v>191313816</v>
      </c>
      <c r="J1823">
        <v>47</v>
      </c>
      <c r="K1823">
        <v>38</v>
      </c>
      <c r="L1823">
        <v>1</v>
      </c>
      <c r="M1823" t="s">
        <v>6371</v>
      </c>
    </row>
    <row r="1824" spans="1:13">
      <c r="A1824" t="s">
        <v>5238</v>
      </c>
      <c r="B1824" t="s">
        <v>139</v>
      </c>
      <c r="C1824">
        <v>45156</v>
      </c>
      <c r="D1824">
        <v>72446983</v>
      </c>
      <c r="E1824">
        <v>7731</v>
      </c>
      <c r="F1824">
        <v>60</v>
      </c>
      <c r="G1824">
        <v>100786648</v>
      </c>
      <c r="H1824">
        <v>982757</v>
      </c>
      <c r="I1824">
        <v>325517526</v>
      </c>
      <c r="J1824">
        <v>20</v>
      </c>
      <c r="K1824">
        <v>3</v>
      </c>
      <c r="L1824">
        <v>0</v>
      </c>
      <c r="M1824" t="s">
        <v>6370</v>
      </c>
    </row>
    <row r="1825" spans="1:13">
      <c r="A1825" t="s">
        <v>5257</v>
      </c>
      <c r="B1825" t="s">
        <v>5258</v>
      </c>
      <c r="C1825">
        <v>43119</v>
      </c>
      <c r="D1825">
        <v>391235723</v>
      </c>
      <c r="E1825">
        <v>77293</v>
      </c>
      <c r="F1825">
        <v>6</v>
      </c>
      <c r="G1825">
        <v>133338318</v>
      </c>
      <c r="H1825">
        <v>1407929</v>
      </c>
      <c r="I1825">
        <v>193481131</v>
      </c>
      <c r="J1825">
        <v>9</v>
      </c>
      <c r="K1825">
        <v>12</v>
      </c>
      <c r="L1825">
        <v>0</v>
      </c>
      <c r="M1825" t="s">
        <v>6371</v>
      </c>
    </row>
    <row r="1826" spans="1:13">
      <c r="A1826" t="s">
        <v>5259</v>
      </c>
      <c r="B1826" t="s">
        <v>141</v>
      </c>
      <c r="C1826">
        <v>43457</v>
      </c>
      <c r="D1826">
        <v>461199840</v>
      </c>
      <c r="E1826">
        <v>57617</v>
      </c>
      <c r="F1826">
        <v>61</v>
      </c>
      <c r="G1826">
        <v>457134135</v>
      </c>
      <c r="H1826">
        <v>3745990</v>
      </c>
      <c r="I1826">
        <v>170750243</v>
      </c>
      <c r="J1826">
        <v>14</v>
      </c>
      <c r="K1826">
        <v>21</v>
      </c>
      <c r="L1826">
        <v>1</v>
      </c>
      <c r="M1826" t="s">
        <v>6371</v>
      </c>
    </row>
    <row r="1827" spans="1:13">
      <c r="A1827" t="s">
        <v>5260</v>
      </c>
      <c r="B1827" t="s">
        <v>170</v>
      </c>
      <c r="C1827">
        <v>44980</v>
      </c>
      <c r="D1827">
        <v>132811353</v>
      </c>
      <c r="E1827">
        <v>12970</v>
      </c>
      <c r="F1827">
        <v>66</v>
      </c>
      <c r="G1827">
        <v>53670834</v>
      </c>
      <c r="H1827">
        <v>569439</v>
      </c>
      <c r="I1827">
        <v>163703206</v>
      </c>
      <c r="J1827">
        <v>9</v>
      </c>
      <c r="K1827">
        <v>18</v>
      </c>
      <c r="L1827">
        <v>0</v>
      </c>
      <c r="M1827" t="s">
        <v>6370</v>
      </c>
    </row>
    <row r="1828" spans="1:13">
      <c r="A1828" t="s">
        <v>5261</v>
      </c>
      <c r="B1828" t="s">
        <v>3660</v>
      </c>
      <c r="C1828">
        <v>44428</v>
      </c>
      <c r="D1828">
        <v>300361628</v>
      </c>
      <c r="E1828">
        <v>57447</v>
      </c>
      <c r="F1828">
        <v>63</v>
      </c>
      <c r="G1828">
        <v>73752014</v>
      </c>
      <c r="H1828">
        <v>482554</v>
      </c>
      <c r="I1828">
        <v>11785929</v>
      </c>
      <c r="J1828">
        <v>94</v>
      </c>
      <c r="K1828">
        <v>25</v>
      </c>
      <c r="L1828">
        <v>0</v>
      </c>
      <c r="M1828" t="s">
        <v>6370</v>
      </c>
    </row>
    <row r="1829" spans="1:13">
      <c r="A1829" t="s">
        <v>5262</v>
      </c>
      <c r="B1829" t="s">
        <v>5263</v>
      </c>
      <c r="C1829">
        <v>38353</v>
      </c>
      <c r="D1829">
        <v>954807024</v>
      </c>
      <c r="E1829">
        <v>219091</v>
      </c>
      <c r="F1829">
        <v>75</v>
      </c>
      <c r="G1829">
        <v>1230174677</v>
      </c>
      <c r="H1829">
        <v>8016633</v>
      </c>
      <c r="I1829">
        <v>950938614</v>
      </c>
      <c r="J1829">
        <v>76</v>
      </c>
      <c r="K1829">
        <v>122</v>
      </c>
      <c r="L1829">
        <v>1</v>
      </c>
      <c r="M1829" t="s">
        <v>6372</v>
      </c>
    </row>
    <row r="1830" spans="1:13">
      <c r="A1830" t="s">
        <v>5264</v>
      </c>
      <c r="B1830" t="s">
        <v>5265</v>
      </c>
      <c r="C1830">
        <v>44435</v>
      </c>
      <c r="D1830">
        <v>335212411</v>
      </c>
      <c r="E1830">
        <v>50340</v>
      </c>
      <c r="F1830">
        <v>71</v>
      </c>
      <c r="G1830">
        <v>154369917</v>
      </c>
      <c r="H1830">
        <v>1963254</v>
      </c>
      <c r="I1830">
        <v>1513137827</v>
      </c>
      <c r="J1830">
        <v>8</v>
      </c>
      <c r="K1830">
        <v>8</v>
      </c>
      <c r="L1830">
        <v>0</v>
      </c>
      <c r="M1830" t="s">
        <v>6370</v>
      </c>
    </row>
    <row r="1831" spans="1:13">
      <c r="A1831" t="s">
        <v>5269</v>
      </c>
      <c r="B1831" t="s">
        <v>5270</v>
      </c>
      <c r="C1831">
        <v>41352</v>
      </c>
      <c r="D1831">
        <v>253903241</v>
      </c>
      <c r="E1831">
        <v>57350</v>
      </c>
      <c r="F1831">
        <v>59</v>
      </c>
      <c r="G1831">
        <v>25539550</v>
      </c>
      <c r="H1831">
        <v>321940</v>
      </c>
      <c r="I1831">
        <v>136052679</v>
      </c>
      <c r="J1831">
        <v>25</v>
      </c>
      <c r="K1831">
        <v>14</v>
      </c>
      <c r="L1831">
        <v>1</v>
      </c>
      <c r="M1831" t="s">
        <v>6371</v>
      </c>
    </row>
    <row r="1832" spans="1:13">
      <c r="A1832" t="s">
        <v>5273</v>
      </c>
      <c r="B1832" t="s">
        <v>5274</v>
      </c>
      <c r="C1832">
        <v>45044</v>
      </c>
      <c r="D1832">
        <v>54611633</v>
      </c>
      <c r="E1832">
        <v>19814</v>
      </c>
      <c r="F1832">
        <v>61</v>
      </c>
      <c r="G1832">
        <v>25626713</v>
      </c>
      <c r="H1832">
        <v>241463</v>
      </c>
      <c r="I1832">
        <v>681526979</v>
      </c>
      <c r="J1832">
        <v>38</v>
      </c>
      <c r="K1832">
        <v>21</v>
      </c>
      <c r="L1832">
        <v>1</v>
      </c>
      <c r="M1832" t="s">
        <v>6370</v>
      </c>
    </row>
    <row r="1833" spans="1:13">
      <c r="A1833" t="s">
        <v>5278</v>
      </c>
      <c r="B1833" t="s">
        <v>1355</v>
      </c>
      <c r="C1833">
        <v>44328</v>
      </c>
      <c r="D1833">
        <v>265126606</v>
      </c>
      <c r="E1833">
        <v>24857</v>
      </c>
      <c r="F1833">
        <v>53</v>
      </c>
      <c r="G1833">
        <v>336327870</v>
      </c>
      <c r="H1833">
        <v>1617604</v>
      </c>
      <c r="I1833">
        <v>92652072</v>
      </c>
      <c r="J1833">
        <v>14</v>
      </c>
      <c r="K1833">
        <v>50</v>
      </c>
      <c r="L1833">
        <v>1</v>
      </c>
      <c r="M1833" t="s">
        <v>6370</v>
      </c>
    </row>
    <row r="1834" spans="1:13">
      <c r="A1834" t="s">
        <v>5279</v>
      </c>
      <c r="B1834" t="s">
        <v>24</v>
      </c>
      <c r="C1834">
        <v>42866</v>
      </c>
      <c r="D1834">
        <v>810044838</v>
      </c>
      <c r="E1834">
        <v>87422</v>
      </c>
      <c r="F1834">
        <v>68</v>
      </c>
      <c r="G1834">
        <v>541704571</v>
      </c>
      <c r="H1834">
        <v>3988386</v>
      </c>
      <c r="I1834">
        <v>1190522330</v>
      </c>
      <c r="J1834">
        <v>136</v>
      </c>
      <c r="K1834">
        <v>132</v>
      </c>
      <c r="L1834">
        <v>0</v>
      </c>
      <c r="M1834" t="s">
        <v>6371</v>
      </c>
    </row>
    <row r="1835" spans="1:13">
      <c r="A1835" t="s">
        <v>5289</v>
      </c>
      <c r="B1835" t="s">
        <v>1102</v>
      </c>
      <c r="C1835">
        <v>44603</v>
      </c>
      <c r="D1835">
        <v>409608018</v>
      </c>
      <c r="E1835">
        <v>35760</v>
      </c>
      <c r="F1835">
        <v>70</v>
      </c>
      <c r="G1835">
        <v>144073017</v>
      </c>
      <c r="H1835">
        <v>744920</v>
      </c>
      <c r="I1835">
        <v>274609855</v>
      </c>
      <c r="J1835">
        <v>17</v>
      </c>
      <c r="K1835">
        <v>7</v>
      </c>
      <c r="L1835">
        <v>0</v>
      </c>
      <c r="M1835" t="s">
        <v>6370</v>
      </c>
    </row>
    <row r="1836" spans="1:13">
      <c r="A1836" t="s">
        <v>5295</v>
      </c>
      <c r="B1836" t="s">
        <v>2745</v>
      </c>
      <c r="C1836">
        <v>41960</v>
      </c>
      <c r="D1836">
        <v>1283683926</v>
      </c>
      <c r="E1836">
        <v>203125</v>
      </c>
      <c r="F1836">
        <v>79</v>
      </c>
      <c r="G1836">
        <v>351633773</v>
      </c>
      <c r="H1836">
        <v>2243784</v>
      </c>
      <c r="I1836">
        <v>590688494</v>
      </c>
      <c r="J1836">
        <v>140</v>
      </c>
      <c r="K1836">
        <v>182</v>
      </c>
      <c r="L1836">
        <v>1</v>
      </c>
      <c r="M1836" t="s">
        <v>6371</v>
      </c>
    </row>
    <row r="1837" spans="1:13">
      <c r="A1837" t="s">
        <v>5296</v>
      </c>
      <c r="B1837" t="s">
        <v>5297</v>
      </c>
      <c r="C1837">
        <v>43035</v>
      </c>
      <c r="D1837">
        <v>658966178</v>
      </c>
      <c r="E1837">
        <v>132079</v>
      </c>
      <c r="F1837">
        <v>68</v>
      </c>
      <c r="G1837">
        <v>218493561</v>
      </c>
      <c r="H1837">
        <v>3016621</v>
      </c>
      <c r="I1837">
        <v>1291420904</v>
      </c>
      <c r="J1837">
        <v>10</v>
      </c>
      <c r="K1837">
        <v>7</v>
      </c>
      <c r="L1837">
        <v>0</v>
      </c>
      <c r="M1837" t="s">
        <v>6371</v>
      </c>
    </row>
    <row r="1838" spans="1:13">
      <c r="A1838" t="s">
        <v>5301</v>
      </c>
      <c r="B1838" t="s">
        <v>2653</v>
      </c>
      <c r="C1838">
        <v>42642</v>
      </c>
      <c r="D1838">
        <v>957810500</v>
      </c>
      <c r="E1838">
        <v>107486</v>
      </c>
      <c r="F1838">
        <v>74</v>
      </c>
      <c r="G1838">
        <v>174370096</v>
      </c>
      <c r="H1838">
        <v>2856158</v>
      </c>
      <c r="I1838">
        <v>159860013</v>
      </c>
      <c r="J1838">
        <v>104</v>
      </c>
      <c r="K1838">
        <v>69</v>
      </c>
      <c r="L1838">
        <v>0</v>
      </c>
      <c r="M1838" t="s">
        <v>6371</v>
      </c>
    </row>
    <row r="1839" spans="1:13">
      <c r="A1839" t="s">
        <v>5302</v>
      </c>
      <c r="B1839" t="s">
        <v>617</v>
      </c>
      <c r="C1839">
        <v>44679</v>
      </c>
      <c r="D1839">
        <v>181659395</v>
      </c>
      <c r="E1839">
        <v>24137</v>
      </c>
      <c r="F1839">
        <v>62</v>
      </c>
      <c r="G1839">
        <v>50640948</v>
      </c>
      <c r="H1839">
        <v>470130</v>
      </c>
      <c r="I1839">
        <v>87012707</v>
      </c>
      <c r="J1839">
        <v>53</v>
      </c>
      <c r="K1839">
        <v>732</v>
      </c>
      <c r="L1839">
        <v>0</v>
      </c>
      <c r="M1839" t="s">
        <v>6370</v>
      </c>
    </row>
    <row r="1840" spans="1:13">
      <c r="A1840" t="s">
        <v>5303</v>
      </c>
      <c r="B1840" t="s">
        <v>3726</v>
      </c>
      <c r="C1840">
        <v>44127</v>
      </c>
      <c r="D1840">
        <v>250828412</v>
      </c>
      <c r="E1840">
        <v>40989</v>
      </c>
      <c r="F1840">
        <v>61</v>
      </c>
      <c r="G1840">
        <v>47811498</v>
      </c>
      <c r="H1840">
        <v>451406</v>
      </c>
      <c r="I1840">
        <v>158825909</v>
      </c>
      <c r="J1840">
        <v>47</v>
      </c>
      <c r="K1840">
        <v>156</v>
      </c>
      <c r="L1840">
        <v>1</v>
      </c>
      <c r="M1840" t="s">
        <v>6371</v>
      </c>
    </row>
    <row r="1841" spans="1:13">
      <c r="A1841" t="s">
        <v>5306</v>
      </c>
      <c r="B1841" t="s">
        <v>1852</v>
      </c>
      <c r="C1841">
        <v>45149</v>
      </c>
      <c r="D1841">
        <v>253540909</v>
      </c>
      <c r="E1841">
        <v>10383</v>
      </c>
      <c r="F1841">
        <v>70</v>
      </c>
      <c r="G1841">
        <v>67113019</v>
      </c>
      <c r="H1841">
        <v>3432701</v>
      </c>
      <c r="I1841">
        <v>5236353</v>
      </c>
      <c r="J1841">
        <v>4</v>
      </c>
      <c r="K1841">
        <v>17</v>
      </c>
      <c r="L1841">
        <v>0</v>
      </c>
      <c r="M1841" t="s">
        <v>6370</v>
      </c>
    </row>
    <row r="1842" spans="1:13">
      <c r="A1842" t="s">
        <v>5312</v>
      </c>
      <c r="B1842" t="s">
        <v>1312</v>
      </c>
      <c r="C1842">
        <v>44834</v>
      </c>
      <c r="D1842">
        <v>332741927</v>
      </c>
      <c r="E1842">
        <v>23892</v>
      </c>
      <c r="F1842">
        <v>72</v>
      </c>
      <c r="G1842">
        <v>150888295</v>
      </c>
      <c r="H1842">
        <v>609166</v>
      </c>
      <c r="I1842">
        <v>86648762</v>
      </c>
      <c r="J1842">
        <v>5</v>
      </c>
      <c r="K1842">
        <v>11</v>
      </c>
      <c r="L1842">
        <v>0</v>
      </c>
      <c r="M1842" t="s">
        <v>6370</v>
      </c>
    </row>
    <row r="1843" spans="1:13">
      <c r="A1843" t="s">
        <v>5315</v>
      </c>
      <c r="B1843" t="s">
        <v>5316</v>
      </c>
      <c r="C1843">
        <v>39787</v>
      </c>
      <c r="D1843">
        <v>923932404</v>
      </c>
      <c r="E1843">
        <v>261469</v>
      </c>
      <c r="F1843">
        <v>63</v>
      </c>
      <c r="G1843">
        <v>589202937</v>
      </c>
      <c r="H1843">
        <v>3297320</v>
      </c>
      <c r="I1843">
        <v>1972131587</v>
      </c>
      <c r="J1843">
        <v>64</v>
      </c>
      <c r="K1843">
        <v>20</v>
      </c>
      <c r="L1843">
        <v>0</v>
      </c>
      <c r="M1843" t="s">
        <v>6372</v>
      </c>
    </row>
    <row r="1844" spans="1:13">
      <c r="A1844" t="s">
        <v>5330</v>
      </c>
      <c r="B1844" t="s">
        <v>2949</v>
      </c>
      <c r="C1844">
        <v>42005</v>
      </c>
      <c r="D1844">
        <v>622198235</v>
      </c>
      <c r="E1844">
        <v>53548</v>
      </c>
      <c r="F1844">
        <v>66</v>
      </c>
      <c r="G1844">
        <v>281739663</v>
      </c>
      <c r="H1844">
        <v>1138264</v>
      </c>
      <c r="I1844">
        <v>18928214</v>
      </c>
      <c r="J1844">
        <v>56</v>
      </c>
      <c r="K1844">
        <v>88</v>
      </c>
      <c r="L1844">
        <v>0</v>
      </c>
      <c r="M1844" t="s">
        <v>6371</v>
      </c>
    </row>
    <row r="1845" spans="1:13">
      <c r="A1845" t="s">
        <v>5331</v>
      </c>
      <c r="B1845" t="s">
        <v>1113</v>
      </c>
      <c r="C1845">
        <v>44764</v>
      </c>
      <c r="D1845">
        <v>142262820</v>
      </c>
      <c r="E1845">
        <v>53038</v>
      </c>
      <c r="F1845">
        <v>63</v>
      </c>
      <c r="G1845">
        <v>35675859</v>
      </c>
      <c r="H1845">
        <v>373352</v>
      </c>
      <c r="I1845">
        <v>365465494</v>
      </c>
      <c r="J1845">
        <v>18</v>
      </c>
      <c r="K1845">
        <v>125</v>
      </c>
      <c r="L1845">
        <v>1</v>
      </c>
      <c r="M1845" t="s">
        <v>6370</v>
      </c>
    </row>
    <row r="1846" spans="1:13">
      <c r="A1846" t="s">
        <v>5332</v>
      </c>
      <c r="B1846" t="s">
        <v>5333</v>
      </c>
      <c r="C1846">
        <v>45156</v>
      </c>
      <c r="D1846">
        <v>11614161</v>
      </c>
      <c r="E1846">
        <v>2375</v>
      </c>
      <c r="F1846">
        <v>55</v>
      </c>
      <c r="G1846">
        <v>3113363</v>
      </c>
      <c r="H1846">
        <v>29826</v>
      </c>
      <c r="I1846">
        <v>1218414</v>
      </c>
      <c r="J1846">
        <v>3</v>
      </c>
      <c r="K1846">
        <v>3</v>
      </c>
      <c r="L1846">
        <v>0</v>
      </c>
      <c r="M1846" t="s">
        <v>6370</v>
      </c>
    </row>
    <row r="1847" spans="1:13">
      <c r="A1847" t="s">
        <v>5334</v>
      </c>
      <c r="B1847" t="s">
        <v>633</v>
      </c>
      <c r="C1847">
        <v>44518</v>
      </c>
      <c r="D1847">
        <v>200764254</v>
      </c>
      <c r="E1847">
        <v>45002</v>
      </c>
      <c r="F1847">
        <v>57</v>
      </c>
      <c r="G1847">
        <v>217898959</v>
      </c>
      <c r="H1847">
        <v>1101215</v>
      </c>
      <c r="I1847">
        <v>28799405</v>
      </c>
      <c r="J1847">
        <v>35</v>
      </c>
      <c r="K1847">
        <v>24</v>
      </c>
      <c r="L1847">
        <v>1</v>
      </c>
      <c r="M1847" t="s">
        <v>6370</v>
      </c>
    </row>
    <row r="1848" spans="1:13">
      <c r="A1848" t="s">
        <v>5336</v>
      </c>
      <c r="B1848" t="s">
        <v>5337</v>
      </c>
      <c r="C1848">
        <v>44125</v>
      </c>
      <c r="D1848">
        <v>219841054</v>
      </c>
      <c r="E1848">
        <v>71843</v>
      </c>
      <c r="F1848">
        <v>64</v>
      </c>
      <c r="G1848">
        <v>128686770</v>
      </c>
      <c r="H1848">
        <v>2638466</v>
      </c>
      <c r="I1848">
        <v>1206875855</v>
      </c>
      <c r="J1848">
        <v>3</v>
      </c>
      <c r="K1848">
        <v>9</v>
      </c>
      <c r="L1848">
        <v>1</v>
      </c>
      <c r="M1848" t="s">
        <v>6371</v>
      </c>
    </row>
    <row r="1849" spans="1:13">
      <c r="A1849" t="s">
        <v>5023</v>
      </c>
      <c r="B1849" t="s">
        <v>3867</v>
      </c>
      <c r="C1849">
        <v>43735</v>
      </c>
      <c r="D1849">
        <v>224529894</v>
      </c>
      <c r="E1849">
        <v>50674</v>
      </c>
      <c r="F1849">
        <v>53</v>
      </c>
      <c r="G1849">
        <v>268061194</v>
      </c>
      <c r="H1849">
        <v>2237400</v>
      </c>
      <c r="I1849">
        <v>112923227</v>
      </c>
      <c r="J1849">
        <v>43</v>
      </c>
      <c r="K1849">
        <v>9</v>
      </c>
      <c r="L1849">
        <v>1</v>
      </c>
      <c r="M1849" t="s">
        <v>6371</v>
      </c>
    </row>
    <row r="1850" spans="1:13">
      <c r="A1850" t="s">
        <v>5340</v>
      </c>
      <c r="B1850" t="s">
        <v>5341</v>
      </c>
      <c r="C1850">
        <v>45016</v>
      </c>
      <c r="D1850">
        <v>75309953</v>
      </c>
      <c r="E1850">
        <v>34283</v>
      </c>
      <c r="F1850">
        <v>67</v>
      </c>
      <c r="G1850">
        <v>9963983</v>
      </c>
      <c r="H1850">
        <v>111125</v>
      </c>
      <c r="I1850">
        <v>22133936</v>
      </c>
      <c r="J1850">
        <v>20</v>
      </c>
      <c r="K1850">
        <v>39</v>
      </c>
      <c r="L1850">
        <v>0</v>
      </c>
      <c r="M1850" t="s">
        <v>6370</v>
      </c>
    </row>
    <row r="1851" spans="1:13">
      <c r="A1851" t="s">
        <v>5343</v>
      </c>
      <c r="B1851" t="s">
        <v>5344</v>
      </c>
      <c r="C1851">
        <v>43119</v>
      </c>
      <c r="D1851">
        <v>633467655</v>
      </c>
      <c r="E1851">
        <v>74321</v>
      </c>
      <c r="F1851">
        <v>63</v>
      </c>
      <c r="G1851">
        <v>26434293</v>
      </c>
      <c r="H1851">
        <v>260550</v>
      </c>
      <c r="I1851">
        <v>1120361528</v>
      </c>
      <c r="J1851">
        <v>109</v>
      </c>
      <c r="K1851">
        <v>83</v>
      </c>
      <c r="L1851">
        <v>0</v>
      </c>
      <c r="M1851" t="s">
        <v>6371</v>
      </c>
    </row>
    <row r="1852" spans="1:13">
      <c r="A1852" t="s">
        <v>5358</v>
      </c>
      <c r="B1852" t="s">
        <v>5359</v>
      </c>
      <c r="C1852">
        <v>43462</v>
      </c>
      <c r="D1852">
        <v>417257612</v>
      </c>
      <c r="E1852">
        <v>76682</v>
      </c>
      <c r="F1852">
        <v>62</v>
      </c>
      <c r="G1852">
        <v>301418451</v>
      </c>
      <c r="H1852">
        <v>2797161</v>
      </c>
      <c r="I1852">
        <v>219625896</v>
      </c>
      <c r="J1852">
        <v>71</v>
      </c>
      <c r="K1852">
        <v>40</v>
      </c>
      <c r="L1852">
        <v>0</v>
      </c>
      <c r="M1852" t="s">
        <v>6371</v>
      </c>
    </row>
    <row r="1853" spans="1:13">
      <c r="A1853" t="s">
        <v>5361</v>
      </c>
      <c r="B1853" t="s">
        <v>1401</v>
      </c>
      <c r="C1853">
        <v>43301</v>
      </c>
      <c r="D1853">
        <v>727014998</v>
      </c>
      <c r="E1853">
        <v>114135</v>
      </c>
      <c r="F1853">
        <v>65</v>
      </c>
      <c r="G1853">
        <v>348078879</v>
      </c>
      <c r="H1853">
        <v>3056099</v>
      </c>
      <c r="I1853">
        <v>25640147</v>
      </c>
      <c r="J1853">
        <v>13</v>
      </c>
      <c r="K1853">
        <v>84</v>
      </c>
      <c r="L1853">
        <v>1</v>
      </c>
      <c r="M1853" t="s">
        <v>6371</v>
      </c>
    </row>
    <row r="1854" spans="1:13">
      <c r="A1854" t="s">
        <v>5362</v>
      </c>
      <c r="B1854" t="s">
        <v>1781</v>
      </c>
      <c r="C1854">
        <v>43231</v>
      </c>
      <c r="D1854">
        <v>686323132</v>
      </c>
      <c r="E1854">
        <v>165691</v>
      </c>
      <c r="F1854">
        <v>70</v>
      </c>
      <c r="G1854">
        <v>168225696</v>
      </c>
      <c r="H1854">
        <v>1829885</v>
      </c>
      <c r="I1854">
        <v>343926725</v>
      </c>
      <c r="J1854">
        <v>48</v>
      </c>
      <c r="K1854">
        <v>45</v>
      </c>
      <c r="L1854">
        <v>1</v>
      </c>
      <c r="M1854" t="s">
        <v>6371</v>
      </c>
    </row>
    <row r="1855" spans="1:13">
      <c r="A1855" t="s">
        <v>5365</v>
      </c>
      <c r="B1855" t="s">
        <v>892</v>
      </c>
      <c r="C1855">
        <v>42370</v>
      </c>
      <c r="D1855">
        <v>669427500</v>
      </c>
      <c r="E1855">
        <v>66668</v>
      </c>
      <c r="F1855">
        <v>62</v>
      </c>
      <c r="G1855">
        <v>864787930</v>
      </c>
      <c r="H1855">
        <v>6096976</v>
      </c>
      <c r="I1855">
        <v>363488557</v>
      </c>
      <c r="J1855">
        <v>49</v>
      </c>
      <c r="K1855">
        <v>60</v>
      </c>
      <c r="L1855">
        <v>0</v>
      </c>
      <c r="M1855" t="s">
        <v>6371</v>
      </c>
    </row>
    <row r="1856" spans="1:13">
      <c r="A1856" t="s">
        <v>5367</v>
      </c>
      <c r="B1856" t="s">
        <v>2031</v>
      </c>
      <c r="C1856">
        <v>44435</v>
      </c>
      <c r="D1856">
        <v>172558590</v>
      </c>
      <c r="E1856">
        <v>71478</v>
      </c>
      <c r="F1856">
        <v>53</v>
      </c>
      <c r="G1856">
        <v>74993454</v>
      </c>
      <c r="H1856">
        <v>802824</v>
      </c>
      <c r="I1856">
        <v>80999687</v>
      </c>
      <c r="J1856">
        <v>49</v>
      </c>
      <c r="K1856">
        <v>294</v>
      </c>
      <c r="L1856">
        <v>1</v>
      </c>
      <c r="M1856" t="s">
        <v>6370</v>
      </c>
    </row>
    <row r="1857" spans="1:13">
      <c r="A1857" t="s">
        <v>5373</v>
      </c>
      <c r="B1857" t="s">
        <v>5374</v>
      </c>
      <c r="C1857">
        <v>44008</v>
      </c>
      <c r="D1857">
        <v>189175699</v>
      </c>
      <c r="E1857">
        <v>49325</v>
      </c>
      <c r="F1857">
        <v>62</v>
      </c>
      <c r="G1857">
        <v>14575452</v>
      </c>
      <c r="H1857">
        <v>497747</v>
      </c>
      <c r="I1857">
        <v>2001548087</v>
      </c>
      <c r="J1857">
        <v>14</v>
      </c>
      <c r="K1857">
        <v>163</v>
      </c>
      <c r="L1857">
        <v>0</v>
      </c>
      <c r="M1857" t="s">
        <v>6371</v>
      </c>
    </row>
    <row r="1858" spans="1:13">
      <c r="A1858" t="s">
        <v>5375</v>
      </c>
      <c r="B1858" t="s">
        <v>322</v>
      </c>
      <c r="C1858">
        <v>42438</v>
      </c>
      <c r="D1858">
        <v>627625151</v>
      </c>
      <c r="E1858">
        <v>76581</v>
      </c>
      <c r="F1858">
        <v>66</v>
      </c>
      <c r="G1858">
        <v>275081528</v>
      </c>
      <c r="H1858">
        <v>3556731</v>
      </c>
      <c r="I1858">
        <v>1187485509</v>
      </c>
      <c r="J1858">
        <v>41</v>
      </c>
      <c r="K1858">
        <v>1496</v>
      </c>
      <c r="L1858">
        <v>0</v>
      </c>
      <c r="M1858" t="s">
        <v>6371</v>
      </c>
    </row>
    <row r="1859" spans="1:13">
      <c r="A1859" t="s">
        <v>5376</v>
      </c>
      <c r="B1859" t="s">
        <v>5377</v>
      </c>
      <c r="C1859">
        <v>42438</v>
      </c>
      <c r="D1859">
        <v>761038233</v>
      </c>
      <c r="E1859">
        <v>121158</v>
      </c>
      <c r="F1859">
        <v>64</v>
      </c>
      <c r="G1859">
        <v>71245011</v>
      </c>
      <c r="H1859">
        <v>686801</v>
      </c>
      <c r="I1859">
        <v>131813469</v>
      </c>
      <c r="J1859">
        <v>129</v>
      </c>
      <c r="K1859">
        <v>3</v>
      </c>
      <c r="L1859">
        <v>1</v>
      </c>
      <c r="M1859" t="s">
        <v>6371</v>
      </c>
    </row>
    <row r="1860" spans="1:13">
      <c r="A1860" t="s">
        <v>5381</v>
      </c>
      <c r="B1860" t="s">
        <v>418</v>
      </c>
      <c r="C1860">
        <v>43413</v>
      </c>
      <c r="D1860">
        <v>428271245</v>
      </c>
      <c r="E1860">
        <v>50261</v>
      </c>
      <c r="F1860">
        <v>62</v>
      </c>
      <c r="G1860">
        <v>587689921</v>
      </c>
      <c r="H1860">
        <v>2696020</v>
      </c>
      <c r="I1860">
        <v>67856339</v>
      </c>
      <c r="J1860">
        <v>34</v>
      </c>
      <c r="K1860">
        <v>36</v>
      </c>
      <c r="L1860">
        <v>0</v>
      </c>
      <c r="M1860" t="s">
        <v>6371</v>
      </c>
    </row>
    <row r="1861" spans="1:13">
      <c r="A1861" t="s">
        <v>5382</v>
      </c>
      <c r="B1861" t="s">
        <v>920</v>
      </c>
      <c r="C1861">
        <v>45012</v>
      </c>
      <c r="D1861">
        <v>146489854</v>
      </c>
      <c r="E1861">
        <v>12540</v>
      </c>
      <c r="F1861">
        <v>64</v>
      </c>
      <c r="G1861">
        <v>136400964</v>
      </c>
      <c r="H1861">
        <v>1361854</v>
      </c>
      <c r="I1861">
        <v>293588190</v>
      </c>
      <c r="J1861">
        <v>16</v>
      </c>
      <c r="K1861">
        <v>9</v>
      </c>
      <c r="L1861">
        <v>0</v>
      </c>
      <c r="M1861" t="s">
        <v>6370</v>
      </c>
    </row>
    <row r="1862" spans="1:13">
      <c r="A1862" t="s">
        <v>5385</v>
      </c>
      <c r="B1862" t="s">
        <v>411</v>
      </c>
      <c r="C1862">
        <v>44774</v>
      </c>
      <c r="D1862">
        <v>541018402</v>
      </c>
      <c r="E1862">
        <v>37204</v>
      </c>
      <c r="F1862">
        <v>74</v>
      </c>
      <c r="G1862">
        <v>35777367</v>
      </c>
      <c r="H1862">
        <v>911054</v>
      </c>
      <c r="I1862">
        <v>1096877338</v>
      </c>
      <c r="J1862">
        <v>32</v>
      </c>
      <c r="K1862">
        <v>106</v>
      </c>
      <c r="L1862">
        <v>0</v>
      </c>
      <c r="M1862" t="s">
        <v>6370</v>
      </c>
    </row>
    <row r="1863" spans="1:13">
      <c r="A1863" t="s">
        <v>5393</v>
      </c>
      <c r="B1863" t="s">
        <v>2583</v>
      </c>
      <c r="C1863">
        <v>42398</v>
      </c>
      <c r="D1863">
        <v>322003779</v>
      </c>
      <c r="E1863">
        <v>25025</v>
      </c>
      <c r="F1863">
        <v>59</v>
      </c>
      <c r="G1863">
        <v>1326260675</v>
      </c>
      <c r="H1863">
        <v>3999448</v>
      </c>
      <c r="I1863">
        <v>77792182</v>
      </c>
      <c r="J1863">
        <v>27</v>
      </c>
      <c r="K1863">
        <v>6</v>
      </c>
      <c r="L1863">
        <v>0</v>
      </c>
      <c r="M1863" t="s">
        <v>6371</v>
      </c>
    </row>
    <row r="1864" spans="1:13">
      <c r="A1864" t="s">
        <v>5394</v>
      </c>
      <c r="B1864" t="s">
        <v>723</v>
      </c>
      <c r="C1864">
        <v>43565</v>
      </c>
      <c r="D1864">
        <v>763658190</v>
      </c>
      <c r="E1864">
        <v>99429</v>
      </c>
      <c r="F1864">
        <v>66</v>
      </c>
      <c r="G1864">
        <v>155980021</v>
      </c>
      <c r="H1864">
        <v>1735488</v>
      </c>
      <c r="I1864">
        <v>258338520</v>
      </c>
      <c r="J1864">
        <v>143</v>
      </c>
      <c r="K1864">
        <v>187</v>
      </c>
      <c r="L1864">
        <v>0</v>
      </c>
      <c r="M1864" t="s">
        <v>6371</v>
      </c>
    </row>
    <row r="1865" spans="1:13">
      <c r="A1865" t="s">
        <v>5397</v>
      </c>
      <c r="B1865" t="s">
        <v>236</v>
      </c>
      <c r="C1865">
        <v>44099</v>
      </c>
      <c r="D1865">
        <v>278032053</v>
      </c>
      <c r="E1865">
        <v>79755</v>
      </c>
      <c r="F1865">
        <v>63</v>
      </c>
      <c r="G1865">
        <v>179207995</v>
      </c>
      <c r="H1865">
        <v>2529783</v>
      </c>
      <c r="I1865">
        <v>170949508</v>
      </c>
      <c r="J1865">
        <v>58</v>
      </c>
      <c r="K1865">
        <v>19</v>
      </c>
      <c r="L1865">
        <v>1</v>
      </c>
      <c r="M1865" t="s">
        <v>6371</v>
      </c>
    </row>
    <row r="1866" spans="1:13">
      <c r="A1866" t="s">
        <v>5401</v>
      </c>
      <c r="B1866" t="s">
        <v>3678</v>
      </c>
      <c r="C1866">
        <v>44120</v>
      </c>
      <c r="D1866">
        <v>113153819</v>
      </c>
      <c r="E1866">
        <v>35421</v>
      </c>
      <c r="F1866">
        <v>65</v>
      </c>
      <c r="G1866">
        <v>14448833</v>
      </c>
      <c r="H1866">
        <v>138564</v>
      </c>
      <c r="I1866">
        <v>47272619</v>
      </c>
      <c r="J1866">
        <v>21</v>
      </c>
      <c r="K1866">
        <v>37</v>
      </c>
      <c r="L1866">
        <v>1</v>
      </c>
      <c r="M1866" t="s">
        <v>6371</v>
      </c>
    </row>
    <row r="1867" spans="1:13">
      <c r="A1867" t="s">
        <v>5404</v>
      </c>
      <c r="B1867" t="s">
        <v>5405</v>
      </c>
      <c r="C1867">
        <v>44470</v>
      </c>
      <c r="D1867">
        <v>315336758</v>
      </c>
      <c r="E1867">
        <v>79303</v>
      </c>
      <c r="F1867">
        <v>70</v>
      </c>
      <c r="G1867">
        <v>29058447</v>
      </c>
      <c r="H1867">
        <v>408335</v>
      </c>
      <c r="I1867">
        <v>1234944902</v>
      </c>
      <c r="J1867">
        <v>30</v>
      </c>
      <c r="K1867">
        <v>117</v>
      </c>
      <c r="L1867">
        <v>1</v>
      </c>
      <c r="M1867" t="s">
        <v>6370</v>
      </c>
    </row>
    <row r="1868" spans="1:13">
      <c r="A1868" t="s">
        <v>5406</v>
      </c>
      <c r="B1868" t="s">
        <v>4616</v>
      </c>
      <c r="C1868">
        <v>43233</v>
      </c>
      <c r="D1868">
        <v>310742518</v>
      </c>
      <c r="E1868">
        <v>20307</v>
      </c>
      <c r="F1868">
        <v>65</v>
      </c>
      <c r="G1868">
        <v>811416034</v>
      </c>
      <c r="H1868">
        <v>2074845</v>
      </c>
      <c r="I1868">
        <v>32767411</v>
      </c>
      <c r="J1868">
        <v>10</v>
      </c>
      <c r="K1868">
        <v>10</v>
      </c>
      <c r="L1868">
        <v>0</v>
      </c>
      <c r="M1868" t="s">
        <v>6371</v>
      </c>
    </row>
    <row r="1869" spans="1:13">
      <c r="A1869" t="s">
        <v>5409</v>
      </c>
      <c r="B1869" t="s">
        <v>520</v>
      </c>
      <c r="C1869">
        <v>43847</v>
      </c>
      <c r="D1869">
        <v>664972754</v>
      </c>
      <c r="E1869">
        <v>67417</v>
      </c>
      <c r="F1869">
        <v>67</v>
      </c>
      <c r="G1869">
        <v>148754253</v>
      </c>
      <c r="H1869">
        <v>2371235</v>
      </c>
      <c r="I1869">
        <v>275420611</v>
      </c>
      <c r="J1869">
        <v>139</v>
      </c>
      <c r="K1869">
        <v>251</v>
      </c>
      <c r="L1869">
        <v>0</v>
      </c>
      <c r="M1869" t="s">
        <v>6371</v>
      </c>
    </row>
    <row r="1870" spans="1:13">
      <c r="A1870" t="s">
        <v>5413</v>
      </c>
      <c r="B1870" t="s">
        <v>5240</v>
      </c>
      <c r="C1870">
        <v>45051</v>
      </c>
      <c r="D1870">
        <v>205855278</v>
      </c>
      <c r="E1870">
        <v>15475</v>
      </c>
      <c r="F1870">
        <v>67</v>
      </c>
      <c r="G1870">
        <v>78474072</v>
      </c>
      <c r="H1870">
        <v>419209</v>
      </c>
      <c r="I1870">
        <v>253126168</v>
      </c>
      <c r="J1870">
        <v>12</v>
      </c>
      <c r="K1870">
        <v>14</v>
      </c>
      <c r="L1870">
        <v>0</v>
      </c>
      <c r="M1870" t="s">
        <v>6370</v>
      </c>
    </row>
    <row r="1871" spans="1:13">
      <c r="A1871" t="s">
        <v>5418</v>
      </c>
      <c r="B1871" t="s">
        <v>5419</v>
      </c>
      <c r="C1871">
        <v>41953</v>
      </c>
      <c r="D1871">
        <v>1088889743</v>
      </c>
      <c r="E1871">
        <v>190953</v>
      </c>
      <c r="F1871">
        <v>75</v>
      </c>
      <c r="G1871">
        <v>271796914</v>
      </c>
      <c r="H1871">
        <v>3319576</v>
      </c>
      <c r="I1871">
        <v>1412148968</v>
      </c>
      <c r="J1871">
        <v>91</v>
      </c>
      <c r="K1871">
        <v>89</v>
      </c>
      <c r="L1871">
        <v>0</v>
      </c>
      <c r="M1871" t="s">
        <v>6371</v>
      </c>
    </row>
    <row r="1872" spans="1:13">
      <c r="A1872" t="s">
        <v>5429</v>
      </c>
      <c r="B1872" t="s">
        <v>2594</v>
      </c>
      <c r="C1872">
        <v>44995</v>
      </c>
      <c r="D1872">
        <v>223617742</v>
      </c>
      <c r="E1872">
        <v>28508</v>
      </c>
      <c r="F1872">
        <v>73</v>
      </c>
      <c r="G1872">
        <v>57156070</v>
      </c>
      <c r="H1872">
        <v>432032</v>
      </c>
      <c r="I1872">
        <v>51766245</v>
      </c>
      <c r="J1872">
        <v>4</v>
      </c>
      <c r="K1872">
        <v>5</v>
      </c>
      <c r="L1872">
        <v>0</v>
      </c>
      <c r="M1872" t="s">
        <v>6370</v>
      </c>
    </row>
    <row r="1873" spans="1:13">
      <c r="A1873" t="s">
        <v>5438</v>
      </c>
      <c r="B1873" t="s">
        <v>5439</v>
      </c>
      <c r="C1873">
        <v>41845</v>
      </c>
      <c r="D1873">
        <v>491313680</v>
      </c>
      <c r="E1873">
        <v>122568</v>
      </c>
      <c r="F1873">
        <v>64</v>
      </c>
      <c r="G1873">
        <v>1058207974</v>
      </c>
      <c r="H1873">
        <v>7605627</v>
      </c>
      <c r="I1873">
        <v>300243753</v>
      </c>
      <c r="J1873">
        <v>70</v>
      </c>
      <c r="K1873">
        <v>13</v>
      </c>
      <c r="L1873">
        <v>1</v>
      </c>
      <c r="M1873" t="s">
        <v>6371</v>
      </c>
    </row>
    <row r="1874" spans="1:13">
      <c r="A1874" t="s">
        <v>5442</v>
      </c>
      <c r="B1874" t="s">
        <v>1067</v>
      </c>
      <c r="C1874">
        <v>44463</v>
      </c>
      <c r="D1874">
        <v>259405297</v>
      </c>
      <c r="E1874">
        <v>46330</v>
      </c>
      <c r="F1874">
        <v>59</v>
      </c>
      <c r="G1874">
        <v>68379159</v>
      </c>
      <c r="H1874">
        <v>772098</v>
      </c>
      <c r="I1874">
        <v>71844871</v>
      </c>
      <c r="J1874">
        <v>49</v>
      </c>
      <c r="K1874">
        <v>714</v>
      </c>
      <c r="L1874">
        <v>0</v>
      </c>
      <c r="M1874" t="s">
        <v>6370</v>
      </c>
    </row>
    <row r="1875" spans="1:13">
      <c r="A1875" t="s">
        <v>5443</v>
      </c>
      <c r="B1875" t="s">
        <v>781</v>
      </c>
      <c r="C1875">
        <v>45156</v>
      </c>
      <c r="D1875">
        <v>49246411</v>
      </c>
      <c r="E1875">
        <v>22225</v>
      </c>
      <c r="F1875">
        <v>59</v>
      </c>
      <c r="G1875">
        <v>17029916</v>
      </c>
      <c r="H1875">
        <v>393829</v>
      </c>
      <c r="I1875">
        <v>27395460</v>
      </c>
      <c r="J1875">
        <v>7</v>
      </c>
      <c r="K1875">
        <v>155</v>
      </c>
      <c r="L1875">
        <v>1</v>
      </c>
      <c r="M1875" t="s">
        <v>6370</v>
      </c>
    </row>
    <row r="1876" spans="1:13">
      <c r="A1876" t="s">
        <v>5451</v>
      </c>
      <c r="B1876" t="s">
        <v>281</v>
      </c>
      <c r="C1876">
        <v>43952</v>
      </c>
      <c r="D1876">
        <v>467670966</v>
      </c>
      <c r="E1876">
        <v>38826</v>
      </c>
      <c r="F1876">
        <v>66</v>
      </c>
      <c r="G1876">
        <v>347013964</v>
      </c>
      <c r="H1876">
        <v>1956639</v>
      </c>
      <c r="I1876">
        <v>306310424</v>
      </c>
      <c r="J1876">
        <v>26</v>
      </c>
      <c r="K1876">
        <v>10</v>
      </c>
      <c r="L1876">
        <v>0</v>
      </c>
      <c r="M1876" t="s">
        <v>6371</v>
      </c>
    </row>
    <row r="1877" spans="1:13">
      <c r="A1877" t="s">
        <v>5452</v>
      </c>
      <c r="B1877" t="s">
        <v>4243</v>
      </c>
      <c r="C1877">
        <v>45086</v>
      </c>
      <c r="D1877">
        <v>68189858</v>
      </c>
      <c r="E1877">
        <v>14429</v>
      </c>
      <c r="F1877">
        <v>61</v>
      </c>
      <c r="G1877">
        <v>15853723</v>
      </c>
      <c r="H1877">
        <v>71513</v>
      </c>
      <c r="I1877">
        <v>4189925</v>
      </c>
      <c r="J1877">
        <v>44</v>
      </c>
      <c r="K1877">
        <v>205</v>
      </c>
      <c r="L1877">
        <v>0</v>
      </c>
      <c r="M1877" t="s">
        <v>6370</v>
      </c>
    </row>
    <row r="1878" spans="1:13">
      <c r="A1878" t="s">
        <v>5453</v>
      </c>
      <c r="B1878" t="s">
        <v>444</v>
      </c>
      <c r="C1878">
        <v>43916</v>
      </c>
      <c r="D1878">
        <v>439049524</v>
      </c>
      <c r="E1878">
        <v>57496</v>
      </c>
      <c r="F1878">
        <v>63</v>
      </c>
      <c r="G1878">
        <v>378728492</v>
      </c>
      <c r="H1878">
        <v>2017344</v>
      </c>
      <c r="I1878">
        <v>1774594</v>
      </c>
      <c r="J1878">
        <v>44</v>
      </c>
      <c r="K1878">
        <v>13</v>
      </c>
      <c r="L1878">
        <v>0</v>
      </c>
      <c r="M1878" t="s">
        <v>6371</v>
      </c>
    </row>
    <row r="1879" spans="1:13">
      <c r="A1879" t="s">
        <v>5457</v>
      </c>
      <c r="B1879" t="s">
        <v>53</v>
      </c>
      <c r="C1879">
        <v>42084</v>
      </c>
      <c r="D1879">
        <v>169574765</v>
      </c>
      <c r="E1879">
        <v>46212</v>
      </c>
      <c r="F1879">
        <v>61</v>
      </c>
      <c r="G1879">
        <v>64115813</v>
      </c>
      <c r="H1879">
        <v>532711</v>
      </c>
      <c r="I1879">
        <v>29701332</v>
      </c>
      <c r="J1879">
        <v>72</v>
      </c>
      <c r="K1879">
        <v>5</v>
      </c>
      <c r="L1879">
        <v>1</v>
      </c>
      <c r="M1879" t="s">
        <v>6371</v>
      </c>
    </row>
    <row r="1880" spans="1:13">
      <c r="A1880" t="s">
        <v>5459</v>
      </c>
      <c r="B1880" t="s">
        <v>1347</v>
      </c>
      <c r="C1880">
        <v>43392</v>
      </c>
      <c r="D1880">
        <v>433664050</v>
      </c>
      <c r="E1880">
        <v>78546</v>
      </c>
      <c r="F1880">
        <v>59</v>
      </c>
      <c r="G1880">
        <v>235890905</v>
      </c>
      <c r="H1880">
        <v>2265284</v>
      </c>
      <c r="I1880">
        <v>1344891926</v>
      </c>
      <c r="J1880">
        <v>126</v>
      </c>
      <c r="K1880">
        <v>277</v>
      </c>
      <c r="L1880">
        <v>0</v>
      </c>
      <c r="M1880" t="s">
        <v>6371</v>
      </c>
    </row>
    <row r="1881" spans="1:13">
      <c r="A1881" t="s">
        <v>5460</v>
      </c>
      <c r="B1881" t="s">
        <v>2394</v>
      </c>
      <c r="C1881">
        <v>43749</v>
      </c>
      <c r="D1881">
        <v>404692736</v>
      </c>
      <c r="E1881">
        <v>117843</v>
      </c>
      <c r="F1881">
        <v>69</v>
      </c>
      <c r="G1881">
        <v>122850735</v>
      </c>
      <c r="H1881">
        <v>1344633</v>
      </c>
      <c r="I1881">
        <v>338188316</v>
      </c>
      <c r="J1881">
        <v>31</v>
      </c>
      <c r="K1881">
        <v>108</v>
      </c>
      <c r="L1881">
        <v>1</v>
      </c>
      <c r="M1881" t="s">
        <v>6371</v>
      </c>
    </row>
    <row r="1882" spans="1:13">
      <c r="A1882" t="s">
        <v>5461</v>
      </c>
      <c r="B1882" t="s">
        <v>236</v>
      </c>
      <c r="C1882">
        <v>43315</v>
      </c>
      <c r="D1882">
        <v>740409304</v>
      </c>
      <c r="E1882">
        <v>140977</v>
      </c>
      <c r="F1882">
        <v>70</v>
      </c>
      <c r="G1882">
        <v>211251366</v>
      </c>
      <c r="H1882">
        <v>2171021</v>
      </c>
      <c r="I1882">
        <v>50313512</v>
      </c>
      <c r="J1882">
        <v>50</v>
      </c>
      <c r="K1882">
        <v>5</v>
      </c>
      <c r="L1882">
        <v>1</v>
      </c>
      <c r="M1882" t="s">
        <v>6371</v>
      </c>
    </row>
    <row r="1883" spans="1:13">
      <c r="A1883" t="s">
        <v>5464</v>
      </c>
      <c r="B1883" t="s">
        <v>1887</v>
      </c>
      <c r="C1883">
        <v>44783</v>
      </c>
      <c r="D1883">
        <v>133459011</v>
      </c>
      <c r="E1883">
        <v>35905</v>
      </c>
      <c r="F1883">
        <v>60</v>
      </c>
      <c r="G1883">
        <v>62093393</v>
      </c>
      <c r="H1883">
        <v>780391</v>
      </c>
      <c r="I1883">
        <v>1961457700</v>
      </c>
      <c r="J1883">
        <v>36</v>
      </c>
      <c r="K1883">
        <v>1691</v>
      </c>
      <c r="L1883">
        <v>1</v>
      </c>
      <c r="M1883" t="s">
        <v>6370</v>
      </c>
    </row>
    <row r="1884" spans="1:13">
      <c r="A1884" t="s">
        <v>5468</v>
      </c>
      <c r="B1884" t="s">
        <v>47</v>
      </c>
      <c r="C1884">
        <v>41438</v>
      </c>
      <c r="D1884">
        <v>1135209969</v>
      </c>
      <c r="E1884">
        <v>158507</v>
      </c>
      <c r="F1884">
        <v>70</v>
      </c>
      <c r="G1884">
        <v>40791444</v>
      </c>
      <c r="H1884">
        <v>313792</v>
      </c>
      <c r="I1884">
        <v>66145174</v>
      </c>
      <c r="J1884">
        <v>115</v>
      </c>
      <c r="K1884">
        <v>36</v>
      </c>
      <c r="L1884">
        <v>1</v>
      </c>
      <c r="M1884" t="s">
        <v>6371</v>
      </c>
    </row>
    <row r="1885" spans="1:13">
      <c r="A1885" t="s">
        <v>5469</v>
      </c>
      <c r="B1885" t="s">
        <v>3604</v>
      </c>
      <c r="C1885">
        <v>43770</v>
      </c>
      <c r="D1885">
        <v>708615717</v>
      </c>
      <c r="E1885">
        <v>87957</v>
      </c>
      <c r="F1885">
        <v>64</v>
      </c>
      <c r="G1885">
        <v>258358932</v>
      </c>
      <c r="H1885">
        <v>749483</v>
      </c>
      <c r="I1885">
        <v>62179337</v>
      </c>
      <c r="J1885">
        <v>38</v>
      </c>
      <c r="K1885">
        <v>16</v>
      </c>
      <c r="L1885">
        <v>0</v>
      </c>
      <c r="M1885" t="s">
        <v>6371</v>
      </c>
    </row>
    <row r="1886" spans="1:13">
      <c r="A1886" t="s">
        <v>5471</v>
      </c>
      <c r="B1886" t="s">
        <v>338</v>
      </c>
      <c r="C1886">
        <v>43125</v>
      </c>
      <c r="D1886">
        <v>505748520</v>
      </c>
      <c r="E1886">
        <v>60774</v>
      </c>
      <c r="F1886">
        <v>64</v>
      </c>
      <c r="G1886">
        <v>468137682</v>
      </c>
      <c r="H1886">
        <v>2074706</v>
      </c>
      <c r="I1886">
        <v>7107254</v>
      </c>
      <c r="J1886">
        <v>61</v>
      </c>
      <c r="K1886">
        <v>31</v>
      </c>
      <c r="L1886">
        <v>0</v>
      </c>
      <c r="M1886" t="s">
        <v>6371</v>
      </c>
    </row>
    <row r="1887" spans="1:13">
      <c r="A1887" t="s">
        <v>5474</v>
      </c>
      <c r="B1887" t="s">
        <v>5107</v>
      </c>
      <c r="C1887">
        <v>44995</v>
      </c>
      <c r="D1887">
        <v>49939720</v>
      </c>
      <c r="E1887">
        <v>15725</v>
      </c>
      <c r="F1887">
        <v>54</v>
      </c>
      <c r="G1887">
        <v>48845907</v>
      </c>
      <c r="H1887">
        <v>743713</v>
      </c>
      <c r="I1887">
        <v>1646887640</v>
      </c>
      <c r="J1887">
        <v>4</v>
      </c>
      <c r="K1887">
        <v>1056</v>
      </c>
      <c r="L1887">
        <v>1</v>
      </c>
      <c r="M1887" t="s">
        <v>6370</v>
      </c>
    </row>
    <row r="1888" spans="1:13">
      <c r="A1888" t="s">
        <v>5475</v>
      </c>
      <c r="B1888" t="s">
        <v>1480</v>
      </c>
      <c r="C1888">
        <v>44461</v>
      </c>
      <c r="D1888">
        <v>206432478</v>
      </c>
      <c r="E1888">
        <v>79180</v>
      </c>
      <c r="F1888">
        <v>64</v>
      </c>
      <c r="G1888">
        <v>25049879</v>
      </c>
      <c r="H1888">
        <v>343490</v>
      </c>
      <c r="I1888">
        <v>404172</v>
      </c>
      <c r="J1888">
        <v>17</v>
      </c>
      <c r="K1888">
        <v>39</v>
      </c>
      <c r="L1888">
        <v>1</v>
      </c>
      <c r="M1888" t="s">
        <v>6370</v>
      </c>
    </row>
    <row r="1889" spans="1:13">
      <c r="A1889" t="s">
        <v>5478</v>
      </c>
      <c r="B1889" t="s">
        <v>917</v>
      </c>
      <c r="C1889">
        <v>43049</v>
      </c>
      <c r="D1889">
        <v>400479389</v>
      </c>
      <c r="E1889">
        <v>61255</v>
      </c>
      <c r="F1889">
        <v>68</v>
      </c>
      <c r="G1889">
        <v>63905136</v>
      </c>
      <c r="H1889">
        <v>626102</v>
      </c>
      <c r="I1889">
        <v>552721460</v>
      </c>
      <c r="J1889">
        <v>141</v>
      </c>
      <c r="K1889">
        <v>113</v>
      </c>
      <c r="L1889">
        <v>0</v>
      </c>
      <c r="M1889" t="s">
        <v>6371</v>
      </c>
    </row>
    <row r="1890" spans="1:13">
      <c r="A1890" t="s">
        <v>5481</v>
      </c>
      <c r="B1890" t="s">
        <v>139</v>
      </c>
      <c r="C1890">
        <v>44750</v>
      </c>
      <c r="D1890">
        <v>115406939</v>
      </c>
      <c r="E1890">
        <v>11617</v>
      </c>
      <c r="F1890">
        <v>62</v>
      </c>
      <c r="G1890">
        <v>267348363</v>
      </c>
      <c r="H1890">
        <v>3146913</v>
      </c>
      <c r="I1890">
        <v>401260794</v>
      </c>
      <c r="J1890">
        <v>13</v>
      </c>
      <c r="K1890">
        <v>10</v>
      </c>
      <c r="L1890">
        <v>0</v>
      </c>
      <c r="M1890" t="s">
        <v>6370</v>
      </c>
    </row>
    <row r="1891" spans="1:13">
      <c r="A1891" t="s">
        <v>5482</v>
      </c>
      <c r="B1891" t="s">
        <v>5483</v>
      </c>
      <c r="C1891">
        <v>40909</v>
      </c>
      <c r="D1891">
        <v>1350428257</v>
      </c>
      <c r="E1891">
        <v>172980</v>
      </c>
      <c r="F1891">
        <v>78</v>
      </c>
      <c r="G1891">
        <v>343526777</v>
      </c>
      <c r="H1891">
        <v>3193437</v>
      </c>
      <c r="I1891">
        <v>3172500312</v>
      </c>
      <c r="J1891">
        <v>73</v>
      </c>
      <c r="K1891">
        <v>489</v>
      </c>
      <c r="L1891">
        <v>0</v>
      </c>
      <c r="M1891" t="s">
        <v>6371</v>
      </c>
    </row>
    <row r="1892" spans="1:13">
      <c r="A1892" t="s">
        <v>5484</v>
      </c>
      <c r="B1892" t="s">
        <v>5485</v>
      </c>
      <c r="C1892">
        <v>44600</v>
      </c>
      <c r="D1892">
        <v>122957173</v>
      </c>
      <c r="E1892">
        <v>65839</v>
      </c>
      <c r="F1892">
        <v>58</v>
      </c>
      <c r="G1892">
        <v>35159391</v>
      </c>
      <c r="H1892">
        <v>434406</v>
      </c>
      <c r="I1892">
        <v>1408619017</v>
      </c>
      <c r="J1892">
        <v>27</v>
      </c>
      <c r="K1892">
        <v>19</v>
      </c>
      <c r="L1892">
        <v>0</v>
      </c>
      <c r="M1892" t="s">
        <v>6370</v>
      </c>
    </row>
    <row r="1893" spans="1:13">
      <c r="A1893" t="s">
        <v>5486</v>
      </c>
      <c r="B1893" t="s">
        <v>148</v>
      </c>
      <c r="C1893">
        <v>42895</v>
      </c>
      <c r="D1893">
        <v>537523729</v>
      </c>
      <c r="E1893">
        <v>71149</v>
      </c>
      <c r="F1893">
        <v>70</v>
      </c>
      <c r="G1893">
        <v>366197654</v>
      </c>
      <c r="H1893">
        <v>2942916</v>
      </c>
      <c r="I1893">
        <v>103430758</v>
      </c>
      <c r="J1893">
        <v>98</v>
      </c>
      <c r="K1893">
        <v>65</v>
      </c>
      <c r="L1893">
        <v>1</v>
      </c>
      <c r="M1893" t="s">
        <v>6371</v>
      </c>
    </row>
    <row r="1894" spans="1:13">
      <c r="A1894" t="s">
        <v>5491</v>
      </c>
      <c r="B1894" t="s">
        <v>360</v>
      </c>
      <c r="C1894">
        <v>42086</v>
      </c>
      <c r="D1894">
        <v>964765127</v>
      </c>
      <c r="E1894">
        <v>131842</v>
      </c>
      <c r="F1894">
        <v>70</v>
      </c>
      <c r="G1894">
        <v>530786123</v>
      </c>
      <c r="H1894">
        <v>3134158</v>
      </c>
      <c r="I1894">
        <v>69198449</v>
      </c>
      <c r="J1894">
        <v>124</v>
      </c>
      <c r="K1894">
        <v>14</v>
      </c>
      <c r="L1894">
        <v>0</v>
      </c>
      <c r="M1894" t="s">
        <v>6371</v>
      </c>
    </row>
    <row r="1895" spans="1:13">
      <c r="A1895" t="s">
        <v>5494</v>
      </c>
      <c r="B1895" t="s">
        <v>5495</v>
      </c>
      <c r="C1895">
        <v>44239</v>
      </c>
      <c r="D1895">
        <v>198942707</v>
      </c>
      <c r="E1895">
        <v>22915</v>
      </c>
      <c r="F1895">
        <v>56</v>
      </c>
      <c r="G1895">
        <v>61690062</v>
      </c>
      <c r="H1895">
        <v>458819</v>
      </c>
      <c r="I1895">
        <v>30889183</v>
      </c>
      <c r="J1895">
        <v>43</v>
      </c>
      <c r="K1895">
        <v>29</v>
      </c>
      <c r="L1895">
        <v>0</v>
      </c>
      <c r="M1895" t="s">
        <v>6370</v>
      </c>
    </row>
    <row r="1896" spans="1:13">
      <c r="A1896" t="s">
        <v>5501</v>
      </c>
      <c r="B1896" t="s">
        <v>129</v>
      </c>
      <c r="C1896">
        <v>43406</v>
      </c>
      <c r="D1896">
        <v>630863087</v>
      </c>
      <c r="E1896">
        <v>164540</v>
      </c>
      <c r="F1896">
        <v>71</v>
      </c>
      <c r="G1896">
        <v>93297998</v>
      </c>
      <c r="H1896">
        <v>924489</v>
      </c>
      <c r="I1896">
        <v>9867664</v>
      </c>
      <c r="J1896">
        <v>34</v>
      </c>
      <c r="K1896">
        <v>62</v>
      </c>
      <c r="L1896">
        <v>1</v>
      </c>
      <c r="M1896" t="s">
        <v>6371</v>
      </c>
    </row>
    <row r="1897" spans="1:13">
      <c r="A1897" t="s">
        <v>5508</v>
      </c>
      <c r="B1897" t="s">
        <v>522</v>
      </c>
      <c r="C1897">
        <v>45219</v>
      </c>
      <c r="D1897">
        <v>159876075</v>
      </c>
      <c r="E1897">
        <v>8225</v>
      </c>
      <c r="F1897">
        <v>79</v>
      </c>
      <c r="G1897">
        <v>36524769</v>
      </c>
      <c r="H1897">
        <v>320572</v>
      </c>
      <c r="I1897">
        <v>14846248</v>
      </c>
      <c r="J1897">
        <v>14</v>
      </c>
      <c r="K1897">
        <v>2</v>
      </c>
      <c r="L1897">
        <v>1</v>
      </c>
      <c r="M1897" t="s">
        <v>6370</v>
      </c>
    </row>
    <row r="1898" spans="1:13">
      <c r="A1898" t="s">
        <v>5510</v>
      </c>
      <c r="B1898" t="s">
        <v>674</v>
      </c>
      <c r="C1898">
        <v>44491</v>
      </c>
      <c r="D1898">
        <v>289013053</v>
      </c>
      <c r="E1898">
        <v>32179</v>
      </c>
      <c r="F1898">
        <v>63</v>
      </c>
      <c r="G1898">
        <v>256030564</v>
      </c>
      <c r="H1898">
        <v>6371436</v>
      </c>
      <c r="I1898">
        <v>358391850</v>
      </c>
      <c r="J1898">
        <v>29</v>
      </c>
      <c r="K1898">
        <v>155</v>
      </c>
      <c r="L1898">
        <v>1</v>
      </c>
      <c r="M1898" t="s">
        <v>6370</v>
      </c>
    </row>
    <row r="1899" spans="1:13">
      <c r="A1899" t="s">
        <v>5515</v>
      </c>
      <c r="B1899" t="s">
        <v>5516</v>
      </c>
      <c r="C1899">
        <v>42909</v>
      </c>
      <c r="D1899">
        <v>365789171</v>
      </c>
      <c r="E1899">
        <v>47875</v>
      </c>
      <c r="F1899">
        <v>58</v>
      </c>
      <c r="G1899">
        <v>347981506</v>
      </c>
      <c r="H1899">
        <v>2544004</v>
      </c>
      <c r="I1899">
        <v>75103695</v>
      </c>
      <c r="J1899">
        <v>75</v>
      </c>
      <c r="K1899">
        <v>51</v>
      </c>
      <c r="L1899">
        <v>1</v>
      </c>
      <c r="M1899" t="s">
        <v>6371</v>
      </c>
    </row>
    <row r="1900" spans="1:13">
      <c r="A1900" t="s">
        <v>5517</v>
      </c>
      <c r="B1900" t="s">
        <v>418</v>
      </c>
      <c r="C1900">
        <v>44175</v>
      </c>
      <c r="D1900">
        <v>164788147</v>
      </c>
      <c r="E1900">
        <v>23301</v>
      </c>
      <c r="F1900">
        <v>62</v>
      </c>
      <c r="G1900">
        <v>426336235</v>
      </c>
      <c r="H1900">
        <v>1881474</v>
      </c>
      <c r="I1900">
        <v>44074315</v>
      </c>
      <c r="J1900">
        <v>23</v>
      </c>
      <c r="K1900">
        <v>21</v>
      </c>
      <c r="L1900">
        <v>0</v>
      </c>
      <c r="M1900" t="s">
        <v>6371</v>
      </c>
    </row>
    <row r="1901" spans="1:13">
      <c r="A1901" t="s">
        <v>4773</v>
      </c>
      <c r="B1901" t="s">
        <v>245</v>
      </c>
      <c r="C1901">
        <v>44510</v>
      </c>
      <c r="D1901">
        <v>426609723</v>
      </c>
      <c r="E1901">
        <v>59377</v>
      </c>
      <c r="F1901">
        <v>73</v>
      </c>
      <c r="G1901">
        <v>21063557</v>
      </c>
      <c r="H1901">
        <v>222445</v>
      </c>
      <c r="I1901">
        <v>85043400</v>
      </c>
      <c r="J1901">
        <v>58</v>
      </c>
      <c r="K1901">
        <v>37</v>
      </c>
      <c r="L1901">
        <v>0</v>
      </c>
      <c r="M1901" t="s">
        <v>6370</v>
      </c>
    </row>
    <row r="1902" spans="1:13">
      <c r="A1902" t="s">
        <v>5518</v>
      </c>
      <c r="B1902" t="s">
        <v>1083</v>
      </c>
      <c r="C1902">
        <v>44820</v>
      </c>
      <c r="D1902">
        <v>62323136</v>
      </c>
      <c r="E1902">
        <v>33941</v>
      </c>
      <c r="F1902">
        <v>54</v>
      </c>
      <c r="G1902">
        <v>34075392</v>
      </c>
      <c r="H1902">
        <v>466729</v>
      </c>
      <c r="I1902">
        <v>25342217</v>
      </c>
      <c r="J1902">
        <v>6</v>
      </c>
      <c r="K1902">
        <v>544</v>
      </c>
      <c r="L1902">
        <v>1</v>
      </c>
      <c r="M1902" t="s">
        <v>6370</v>
      </c>
    </row>
    <row r="1903" spans="1:13">
      <c r="A1903" t="s">
        <v>5521</v>
      </c>
      <c r="B1903" t="s">
        <v>305</v>
      </c>
      <c r="C1903">
        <v>42691</v>
      </c>
      <c r="D1903">
        <v>797648369</v>
      </c>
      <c r="E1903">
        <v>64011</v>
      </c>
      <c r="F1903">
        <v>72</v>
      </c>
      <c r="G1903">
        <v>733721686</v>
      </c>
      <c r="H1903">
        <v>4991700</v>
      </c>
      <c r="I1903">
        <v>99524212</v>
      </c>
      <c r="J1903">
        <v>73</v>
      </c>
      <c r="K1903">
        <v>2</v>
      </c>
      <c r="L1903">
        <v>0</v>
      </c>
      <c r="M1903" t="s">
        <v>6371</v>
      </c>
    </row>
    <row r="1904" spans="1:13">
      <c r="A1904" t="s">
        <v>5525</v>
      </c>
      <c r="B1904" t="s">
        <v>5000</v>
      </c>
      <c r="C1904">
        <v>45006</v>
      </c>
      <c r="D1904">
        <v>96439278</v>
      </c>
      <c r="E1904">
        <v>9999</v>
      </c>
      <c r="F1904">
        <v>64</v>
      </c>
      <c r="G1904">
        <v>153565263</v>
      </c>
      <c r="H1904">
        <v>1299976</v>
      </c>
      <c r="I1904">
        <v>208385821</v>
      </c>
      <c r="J1904">
        <v>6</v>
      </c>
      <c r="K1904">
        <v>11</v>
      </c>
      <c r="L1904">
        <v>0</v>
      </c>
      <c r="M1904" t="s">
        <v>6370</v>
      </c>
    </row>
    <row r="1905" spans="1:13">
      <c r="A1905" t="s">
        <v>5526</v>
      </c>
      <c r="B1905" t="s">
        <v>5527</v>
      </c>
      <c r="C1905">
        <v>43966</v>
      </c>
      <c r="D1905">
        <v>145000664</v>
      </c>
      <c r="E1905">
        <v>32202</v>
      </c>
      <c r="F1905">
        <v>53</v>
      </c>
      <c r="G1905">
        <v>114367853</v>
      </c>
      <c r="H1905">
        <v>1294275</v>
      </c>
      <c r="I1905">
        <v>7546931289</v>
      </c>
      <c r="J1905">
        <v>34</v>
      </c>
      <c r="K1905">
        <v>144</v>
      </c>
      <c r="L1905">
        <v>1</v>
      </c>
      <c r="M1905" t="s">
        <v>6371</v>
      </c>
    </row>
    <row r="1906" spans="1:13">
      <c r="A1906" t="s">
        <v>5531</v>
      </c>
      <c r="B1906" t="s">
        <v>2321</v>
      </c>
      <c r="C1906">
        <v>44771</v>
      </c>
      <c r="D1906">
        <v>162889846</v>
      </c>
      <c r="E1906">
        <v>45505</v>
      </c>
      <c r="F1906">
        <v>69</v>
      </c>
      <c r="G1906">
        <v>82186979</v>
      </c>
      <c r="H1906">
        <v>804789</v>
      </c>
      <c r="I1906">
        <v>49371617</v>
      </c>
      <c r="J1906">
        <v>1</v>
      </c>
      <c r="K1906">
        <v>22</v>
      </c>
      <c r="L1906">
        <v>1</v>
      </c>
      <c r="M1906" t="s">
        <v>6370</v>
      </c>
    </row>
    <row r="1907" spans="1:13">
      <c r="A1907" t="s">
        <v>2640</v>
      </c>
      <c r="B1907" t="s">
        <v>1025</v>
      </c>
      <c r="C1907">
        <v>41275</v>
      </c>
      <c r="D1907">
        <v>413855724</v>
      </c>
      <c r="E1907">
        <v>67911</v>
      </c>
      <c r="F1907">
        <v>61</v>
      </c>
      <c r="G1907">
        <v>62878984</v>
      </c>
      <c r="H1907">
        <v>569920</v>
      </c>
      <c r="I1907">
        <v>170836810</v>
      </c>
      <c r="J1907">
        <v>80</v>
      </c>
      <c r="K1907">
        <v>375</v>
      </c>
      <c r="L1907">
        <v>1</v>
      </c>
      <c r="M1907" t="s">
        <v>6371</v>
      </c>
    </row>
    <row r="1908" spans="1:13">
      <c r="A1908" t="s">
        <v>5535</v>
      </c>
      <c r="B1908" t="s">
        <v>332</v>
      </c>
      <c r="C1908">
        <v>44540</v>
      </c>
      <c r="D1908">
        <v>255973824</v>
      </c>
      <c r="E1908">
        <v>28166</v>
      </c>
      <c r="F1908">
        <v>71</v>
      </c>
      <c r="G1908">
        <v>230466044</v>
      </c>
      <c r="H1908">
        <v>1013942</v>
      </c>
      <c r="I1908">
        <v>333978136</v>
      </c>
      <c r="J1908">
        <v>30</v>
      </c>
      <c r="K1908">
        <v>265</v>
      </c>
      <c r="L1908">
        <v>0</v>
      </c>
      <c r="M1908" t="s">
        <v>6370</v>
      </c>
    </row>
    <row r="1909" spans="1:13">
      <c r="A1909" t="s">
        <v>5539</v>
      </c>
      <c r="B1909" t="s">
        <v>1002</v>
      </c>
      <c r="C1909">
        <v>44995</v>
      </c>
      <c r="D1909">
        <v>240686521</v>
      </c>
      <c r="E1909">
        <v>33016</v>
      </c>
      <c r="F1909">
        <v>75</v>
      </c>
      <c r="G1909">
        <v>21619</v>
      </c>
      <c r="H1909">
        <v>626</v>
      </c>
      <c r="I1909">
        <v>349168412</v>
      </c>
      <c r="J1909">
        <v>3</v>
      </c>
      <c r="K1909">
        <v>22</v>
      </c>
      <c r="L1909">
        <v>0</v>
      </c>
      <c r="M1909" t="s">
        <v>6370</v>
      </c>
    </row>
    <row r="1910" spans="1:13">
      <c r="A1910" t="s">
        <v>5542</v>
      </c>
      <c r="B1910" t="s">
        <v>3669</v>
      </c>
      <c r="C1910">
        <v>45296</v>
      </c>
      <c r="D1910">
        <v>40415304</v>
      </c>
      <c r="E1910">
        <v>2509</v>
      </c>
      <c r="F1910">
        <v>59</v>
      </c>
      <c r="G1910">
        <v>56771181</v>
      </c>
      <c r="H1910">
        <v>675344</v>
      </c>
      <c r="I1910">
        <v>3801500</v>
      </c>
      <c r="J1910">
        <v>10</v>
      </c>
      <c r="K1910">
        <v>13</v>
      </c>
      <c r="L1910">
        <v>0</v>
      </c>
      <c r="M1910" t="s">
        <v>6370</v>
      </c>
    </row>
    <row r="1911" spans="1:13">
      <c r="A1911" t="s">
        <v>5543</v>
      </c>
      <c r="B1911" t="s">
        <v>1500</v>
      </c>
      <c r="C1911">
        <v>40386</v>
      </c>
      <c r="D1911">
        <v>534874667</v>
      </c>
      <c r="E1911">
        <v>65494</v>
      </c>
      <c r="F1911">
        <v>65</v>
      </c>
      <c r="G1911">
        <v>562197656</v>
      </c>
      <c r="H1911">
        <v>3376379</v>
      </c>
      <c r="I1911">
        <v>109689471</v>
      </c>
      <c r="J1911">
        <v>42</v>
      </c>
      <c r="K1911">
        <v>98</v>
      </c>
      <c r="L1911">
        <v>0</v>
      </c>
      <c r="M1911" t="s">
        <v>6371</v>
      </c>
    </row>
    <row r="1912" spans="1:13">
      <c r="A1912" t="s">
        <v>5550</v>
      </c>
      <c r="B1912" t="s">
        <v>1932</v>
      </c>
      <c r="C1912">
        <v>44776</v>
      </c>
      <c r="D1912">
        <v>137720938</v>
      </c>
      <c r="E1912">
        <v>30579</v>
      </c>
      <c r="F1912">
        <v>65</v>
      </c>
      <c r="G1912">
        <v>153725209</v>
      </c>
      <c r="H1912">
        <v>1337733</v>
      </c>
      <c r="I1912">
        <v>950882</v>
      </c>
      <c r="J1912">
        <v>12</v>
      </c>
      <c r="K1912">
        <v>40</v>
      </c>
      <c r="L1912">
        <v>0</v>
      </c>
      <c r="M1912" t="s">
        <v>6370</v>
      </c>
    </row>
    <row r="1913" spans="1:13">
      <c r="A1913" t="s">
        <v>5552</v>
      </c>
      <c r="B1913" t="s">
        <v>3133</v>
      </c>
      <c r="C1913">
        <v>40909</v>
      </c>
      <c r="D1913">
        <v>850863163</v>
      </c>
      <c r="E1913">
        <v>91617</v>
      </c>
      <c r="F1913">
        <v>62</v>
      </c>
      <c r="G1913">
        <v>21096118</v>
      </c>
      <c r="H1913">
        <v>126444</v>
      </c>
      <c r="I1913">
        <v>77268402</v>
      </c>
      <c r="J1913">
        <v>70</v>
      </c>
      <c r="K1913">
        <v>27</v>
      </c>
      <c r="L1913">
        <v>0</v>
      </c>
      <c r="M1913" t="s">
        <v>6371</v>
      </c>
    </row>
    <row r="1914" spans="1:13">
      <c r="A1914" t="s">
        <v>5553</v>
      </c>
      <c r="B1914" t="s">
        <v>5554</v>
      </c>
      <c r="C1914">
        <v>44428</v>
      </c>
      <c r="D1914">
        <v>416972132</v>
      </c>
      <c r="E1914">
        <v>75352</v>
      </c>
      <c r="F1914">
        <v>63</v>
      </c>
      <c r="G1914">
        <v>27881902</v>
      </c>
      <c r="H1914">
        <v>283314</v>
      </c>
      <c r="I1914">
        <v>1003766991</v>
      </c>
      <c r="J1914">
        <v>37</v>
      </c>
      <c r="K1914">
        <v>4</v>
      </c>
      <c r="L1914">
        <v>0</v>
      </c>
      <c r="M1914" t="s">
        <v>6370</v>
      </c>
    </row>
    <row r="1915" spans="1:13">
      <c r="A1915" t="s">
        <v>5560</v>
      </c>
      <c r="B1915" t="s">
        <v>849</v>
      </c>
      <c r="C1915">
        <v>40909</v>
      </c>
      <c r="D1915">
        <v>662971898</v>
      </c>
      <c r="E1915">
        <v>94974</v>
      </c>
      <c r="F1915">
        <v>74</v>
      </c>
      <c r="G1915">
        <v>990716604</v>
      </c>
      <c r="H1915">
        <v>4801576</v>
      </c>
      <c r="I1915">
        <v>689599858</v>
      </c>
      <c r="J1915">
        <v>57</v>
      </c>
      <c r="K1915">
        <v>82</v>
      </c>
      <c r="L1915">
        <v>0</v>
      </c>
      <c r="M1915" t="s">
        <v>6371</v>
      </c>
    </row>
    <row r="1916" spans="1:13">
      <c r="A1916" t="s">
        <v>5564</v>
      </c>
      <c r="B1916" t="s">
        <v>5565</v>
      </c>
      <c r="C1916">
        <v>43126</v>
      </c>
      <c r="D1916">
        <v>596164214</v>
      </c>
      <c r="E1916">
        <v>158639</v>
      </c>
      <c r="F1916">
        <v>71</v>
      </c>
      <c r="G1916">
        <v>207640042</v>
      </c>
      <c r="H1916">
        <v>2700851</v>
      </c>
      <c r="I1916">
        <v>155192084</v>
      </c>
      <c r="J1916">
        <v>30</v>
      </c>
      <c r="K1916">
        <v>125</v>
      </c>
      <c r="L1916">
        <v>0</v>
      </c>
      <c r="M1916" t="s">
        <v>6371</v>
      </c>
    </row>
    <row r="1917" spans="1:13">
      <c r="A1917" t="s">
        <v>5566</v>
      </c>
      <c r="B1917" t="s">
        <v>3527</v>
      </c>
      <c r="C1917">
        <v>31979</v>
      </c>
      <c r="D1917">
        <v>1879386440</v>
      </c>
      <c r="E1917">
        <v>295491</v>
      </c>
      <c r="F1917">
        <v>80</v>
      </c>
      <c r="G1917">
        <v>2007460784</v>
      </c>
      <c r="H1917">
        <v>11222080</v>
      </c>
      <c r="I1917">
        <v>673282408</v>
      </c>
      <c r="J1917">
        <v>212</v>
      </c>
      <c r="K1917">
        <v>416</v>
      </c>
      <c r="L1917">
        <v>1</v>
      </c>
      <c r="M1917" t="s">
        <v>6372</v>
      </c>
    </row>
    <row r="1918" spans="1:13">
      <c r="A1918" t="s">
        <v>5575</v>
      </c>
      <c r="B1918" t="s">
        <v>1217</v>
      </c>
      <c r="C1918">
        <v>44214</v>
      </c>
      <c r="D1918">
        <v>185362995</v>
      </c>
      <c r="E1918">
        <v>19981</v>
      </c>
      <c r="F1918">
        <v>50</v>
      </c>
      <c r="G1918">
        <v>315331221</v>
      </c>
      <c r="H1918">
        <v>3732558</v>
      </c>
      <c r="I1918">
        <v>1309968091</v>
      </c>
      <c r="J1918">
        <v>43</v>
      </c>
      <c r="K1918">
        <v>203</v>
      </c>
      <c r="L1918">
        <v>0</v>
      </c>
      <c r="M1918" t="s">
        <v>6370</v>
      </c>
    </row>
    <row r="1919" spans="1:13">
      <c r="A1919" t="s">
        <v>5576</v>
      </c>
      <c r="B1919" t="s">
        <v>2004</v>
      </c>
      <c r="C1919">
        <v>44330</v>
      </c>
      <c r="D1919">
        <v>135665686</v>
      </c>
      <c r="E1919">
        <v>61959</v>
      </c>
      <c r="F1919">
        <v>51</v>
      </c>
      <c r="G1919">
        <v>158341543</v>
      </c>
      <c r="H1919">
        <v>1541456</v>
      </c>
      <c r="I1919">
        <v>98085095</v>
      </c>
      <c r="J1919">
        <v>67</v>
      </c>
      <c r="K1919">
        <v>2</v>
      </c>
      <c r="L1919">
        <v>1</v>
      </c>
      <c r="M1919" t="s">
        <v>6370</v>
      </c>
    </row>
    <row r="1920" spans="1:13">
      <c r="A1920" t="s">
        <v>5578</v>
      </c>
      <c r="B1920" t="s">
        <v>5579</v>
      </c>
      <c r="C1920">
        <v>37622</v>
      </c>
      <c r="D1920">
        <v>1129346989</v>
      </c>
      <c r="E1920">
        <v>229491</v>
      </c>
      <c r="F1920">
        <v>79</v>
      </c>
      <c r="G1920">
        <v>1380253721</v>
      </c>
      <c r="H1920">
        <v>9926891</v>
      </c>
      <c r="I1920">
        <v>906228976</v>
      </c>
      <c r="J1920">
        <v>91</v>
      </c>
      <c r="K1920">
        <v>277</v>
      </c>
      <c r="L1920">
        <v>0</v>
      </c>
      <c r="M1920" t="s">
        <v>6372</v>
      </c>
    </row>
    <row r="1921" spans="1:13">
      <c r="A1921" t="s">
        <v>5581</v>
      </c>
      <c r="B1921" t="s">
        <v>258</v>
      </c>
      <c r="C1921">
        <v>43843</v>
      </c>
      <c r="D1921">
        <v>353815769</v>
      </c>
      <c r="E1921">
        <v>49237</v>
      </c>
      <c r="F1921">
        <v>61</v>
      </c>
      <c r="G1921">
        <v>392297415</v>
      </c>
      <c r="H1921">
        <v>3298273</v>
      </c>
      <c r="I1921">
        <v>108385612</v>
      </c>
      <c r="J1921">
        <v>95</v>
      </c>
      <c r="K1921">
        <v>10</v>
      </c>
      <c r="L1921">
        <v>0</v>
      </c>
      <c r="M1921" t="s">
        <v>6371</v>
      </c>
    </row>
    <row r="1922" spans="1:13">
      <c r="A1922" t="s">
        <v>5582</v>
      </c>
      <c r="B1922" t="s">
        <v>674</v>
      </c>
      <c r="C1922">
        <v>42293</v>
      </c>
      <c r="D1922">
        <v>1068023888</v>
      </c>
      <c r="E1922">
        <v>136601</v>
      </c>
      <c r="F1922">
        <v>70</v>
      </c>
      <c r="G1922">
        <v>43143589</v>
      </c>
      <c r="H1922">
        <v>435488</v>
      </c>
      <c r="I1922">
        <v>288028736</v>
      </c>
      <c r="J1922">
        <v>193</v>
      </c>
      <c r="K1922">
        <v>21</v>
      </c>
      <c r="L1922">
        <v>0</v>
      </c>
      <c r="M1922" t="s">
        <v>6371</v>
      </c>
    </row>
    <row r="1923" spans="1:13">
      <c r="A1923" t="s">
        <v>5583</v>
      </c>
      <c r="B1923" t="s">
        <v>5584</v>
      </c>
      <c r="C1923">
        <v>44965</v>
      </c>
      <c r="D1923">
        <v>63725545</v>
      </c>
      <c r="E1923">
        <v>28846</v>
      </c>
      <c r="F1923">
        <v>65</v>
      </c>
      <c r="G1923">
        <v>17655608</v>
      </c>
      <c r="H1923">
        <v>162513</v>
      </c>
      <c r="I1923">
        <v>243757</v>
      </c>
      <c r="J1923">
        <v>5</v>
      </c>
      <c r="K1923">
        <v>242</v>
      </c>
      <c r="L1923">
        <v>1</v>
      </c>
      <c r="M1923" t="s">
        <v>6370</v>
      </c>
    </row>
    <row r="1924" spans="1:13">
      <c r="A1924" t="s">
        <v>5591</v>
      </c>
      <c r="B1924" t="s">
        <v>28</v>
      </c>
      <c r="C1924">
        <v>38303</v>
      </c>
      <c r="D1924">
        <v>1680919413</v>
      </c>
      <c r="E1924">
        <v>293385</v>
      </c>
      <c r="F1924">
        <v>82</v>
      </c>
      <c r="G1924">
        <v>244059770</v>
      </c>
      <c r="H1924">
        <v>2900004</v>
      </c>
      <c r="I1924">
        <v>76886329</v>
      </c>
      <c r="J1924">
        <v>79</v>
      </c>
      <c r="K1924">
        <v>5</v>
      </c>
      <c r="L1924">
        <v>1</v>
      </c>
      <c r="M1924" t="s">
        <v>6372</v>
      </c>
    </row>
    <row r="1925" spans="1:13">
      <c r="A1925" t="s">
        <v>5604</v>
      </c>
      <c r="B1925" t="s">
        <v>5605</v>
      </c>
      <c r="C1925">
        <v>43159</v>
      </c>
      <c r="D1925">
        <v>466462034</v>
      </c>
      <c r="E1925">
        <v>145278</v>
      </c>
      <c r="F1925">
        <v>20</v>
      </c>
      <c r="G1925">
        <v>91890599</v>
      </c>
      <c r="H1925">
        <v>1551928</v>
      </c>
      <c r="I1925">
        <v>1503260547</v>
      </c>
      <c r="J1925">
        <v>25</v>
      </c>
      <c r="K1925">
        <v>102</v>
      </c>
      <c r="L1925">
        <v>0</v>
      </c>
      <c r="M1925" t="s">
        <v>6371</v>
      </c>
    </row>
    <row r="1926" spans="1:13">
      <c r="A1926" t="s">
        <v>5606</v>
      </c>
      <c r="B1926" t="s">
        <v>912</v>
      </c>
      <c r="C1926">
        <v>40909</v>
      </c>
      <c r="D1926">
        <v>417616725</v>
      </c>
      <c r="E1926">
        <v>59548</v>
      </c>
      <c r="F1926">
        <v>64</v>
      </c>
      <c r="G1926">
        <v>498382704</v>
      </c>
      <c r="H1926">
        <v>2551106</v>
      </c>
      <c r="I1926">
        <v>9984519</v>
      </c>
      <c r="J1926">
        <v>53</v>
      </c>
      <c r="K1926">
        <v>40</v>
      </c>
      <c r="L1926">
        <v>1</v>
      </c>
      <c r="M1926" t="s">
        <v>6371</v>
      </c>
    </row>
    <row r="1927" spans="1:13">
      <c r="A1927" t="s">
        <v>1068</v>
      </c>
      <c r="B1927" t="s">
        <v>4688</v>
      </c>
      <c r="C1927">
        <v>44785</v>
      </c>
      <c r="D1927">
        <v>36861625</v>
      </c>
      <c r="E1927">
        <v>18739</v>
      </c>
      <c r="F1927">
        <v>48</v>
      </c>
      <c r="G1927">
        <v>45862527</v>
      </c>
      <c r="H1927">
        <v>493206</v>
      </c>
      <c r="I1927">
        <v>146110913</v>
      </c>
      <c r="J1927">
        <v>7</v>
      </c>
      <c r="K1927">
        <v>626</v>
      </c>
      <c r="L1927">
        <v>1</v>
      </c>
      <c r="M1927" t="s">
        <v>6370</v>
      </c>
    </row>
    <row r="1928" spans="1:13">
      <c r="A1928" t="s">
        <v>5624</v>
      </c>
      <c r="B1928" t="s">
        <v>1407</v>
      </c>
      <c r="C1928">
        <v>43738</v>
      </c>
      <c r="D1928">
        <v>117819788</v>
      </c>
      <c r="E1928">
        <v>59052</v>
      </c>
      <c r="F1928">
        <v>59</v>
      </c>
      <c r="G1928">
        <v>312077132</v>
      </c>
      <c r="H1928">
        <v>1773615</v>
      </c>
      <c r="I1928">
        <v>1866473503</v>
      </c>
      <c r="J1928">
        <v>59</v>
      </c>
      <c r="K1928">
        <v>1</v>
      </c>
      <c r="L1928">
        <v>0</v>
      </c>
      <c r="M1928" t="s">
        <v>6371</v>
      </c>
    </row>
    <row r="1929" spans="1:13">
      <c r="A1929" t="s">
        <v>5630</v>
      </c>
      <c r="B1929" t="s">
        <v>51</v>
      </c>
      <c r="C1929">
        <v>43553</v>
      </c>
      <c r="D1929">
        <v>640099263</v>
      </c>
      <c r="E1929">
        <v>74072</v>
      </c>
      <c r="F1929">
        <v>68</v>
      </c>
      <c r="G1929">
        <v>342695701</v>
      </c>
      <c r="H1929">
        <v>7870079</v>
      </c>
      <c r="I1929">
        <v>204727914</v>
      </c>
      <c r="J1929">
        <v>40</v>
      </c>
      <c r="K1929">
        <v>87</v>
      </c>
      <c r="L1929">
        <v>0</v>
      </c>
      <c r="M1929" t="s">
        <v>6371</v>
      </c>
    </row>
    <row r="1930" spans="1:13">
      <c r="A1930" t="s">
        <v>5634</v>
      </c>
      <c r="B1930" t="s">
        <v>1013</v>
      </c>
      <c r="C1930">
        <v>43518</v>
      </c>
      <c r="D1930">
        <v>76516847</v>
      </c>
      <c r="E1930">
        <v>14310</v>
      </c>
      <c r="F1930">
        <v>48</v>
      </c>
      <c r="G1930">
        <v>865812768</v>
      </c>
      <c r="H1930">
        <v>3458107</v>
      </c>
      <c r="I1930">
        <v>4319903</v>
      </c>
      <c r="J1930">
        <v>3</v>
      </c>
      <c r="K1930">
        <v>10</v>
      </c>
      <c r="L1930">
        <v>1</v>
      </c>
      <c r="M1930" t="s">
        <v>6371</v>
      </c>
    </row>
    <row r="1931" spans="1:13">
      <c r="A1931" t="s">
        <v>5637</v>
      </c>
      <c r="B1931" t="s">
        <v>1857</v>
      </c>
      <c r="C1931">
        <v>42461</v>
      </c>
      <c r="D1931">
        <v>1102322992</v>
      </c>
      <c r="E1931">
        <v>191719</v>
      </c>
      <c r="F1931">
        <v>79</v>
      </c>
      <c r="G1931">
        <v>98389487</v>
      </c>
      <c r="H1931">
        <v>1056464</v>
      </c>
      <c r="I1931">
        <v>243179588</v>
      </c>
      <c r="J1931">
        <v>88</v>
      </c>
      <c r="K1931">
        <v>60</v>
      </c>
      <c r="L1931">
        <v>1</v>
      </c>
      <c r="M1931" t="s">
        <v>6371</v>
      </c>
    </row>
    <row r="1932" spans="1:13">
      <c r="A1932">
        <v>505</v>
      </c>
      <c r="B1932" t="s">
        <v>2728</v>
      </c>
      <c r="C1932">
        <v>39193</v>
      </c>
      <c r="D1932">
        <v>1660504577</v>
      </c>
      <c r="E1932">
        <v>315657</v>
      </c>
      <c r="F1932">
        <v>80</v>
      </c>
      <c r="G1932">
        <v>611110729</v>
      </c>
      <c r="H1932">
        <v>4963235</v>
      </c>
      <c r="I1932">
        <v>229596064</v>
      </c>
      <c r="J1932">
        <v>33</v>
      </c>
      <c r="K1932">
        <v>21</v>
      </c>
      <c r="L1932">
        <v>0</v>
      </c>
      <c r="M1932" t="s">
        <v>6372</v>
      </c>
    </row>
    <row r="1933" spans="1:13">
      <c r="A1933" t="s">
        <v>5642</v>
      </c>
      <c r="B1933" t="s">
        <v>1814</v>
      </c>
      <c r="C1933">
        <v>42964</v>
      </c>
      <c r="D1933">
        <v>554022596</v>
      </c>
      <c r="E1933">
        <v>98431</v>
      </c>
      <c r="F1933">
        <v>64</v>
      </c>
      <c r="G1933">
        <v>609183858</v>
      </c>
      <c r="H1933">
        <v>2885179</v>
      </c>
      <c r="I1933">
        <v>178883578</v>
      </c>
      <c r="J1933">
        <v>8</v>
      </c>
      <c r="K1933">
        <v>23</v>
      </c>
      <c r="L1933">
        <v>1</v>
      </c>
      <c r="M1933" t="s">
        <v>6371</v>
      </c>
    </row>
    <row r="1934" spans="1:13">
      <c r="A1934" t="s">
        <v>5644</v>
      </c>
      <c r="B1934" t="s">
        <v>5645</v>
      </c>
      <c r="C1934">
        <v>43571</v>
      </c>
      <c r="D1934">
        <v>215492373</v>
      </c>
      <c r="E1934">
        <v>91317</v>
      </c>
      <c r="F1934">
        <v>67</v>
      </c>
      <c r="G1934">
        <v>291742629</v>
      </c>
      <c r="H1934">
        <v>2585653</v>
      </c>
      <c r="I1934">
        <v>64559724</v>
      </c>
      <c r="J1934">
        <v>36</v>
      </c>
      <c r="K1934">
        <v>231</v>
      </c>
      <c r="L1934">
        <v>0</v>
      </c>
      <c r="M1934" t="s">
        <v>6371</v>
      </c>
    </row>
    <row r="1935" spans="1:13">
      <c r="A1935" t="s">
        <v>5650</v>
      </c>
      <c r="B1935" t="s">
        <v>912</v>
      </c>
      <c r="C1935">
        <v>40179</v>
      </c>
      <c r="D1935">
        <v>520418822</v>
      </c>
      <c r="E1935">
        <v>88906</v>
      </c>
      <c r="F1935">
        <v>69</v>
      </c>
      <c r="G1935">
        <v>1049777851</v>
      </c>
      <c r="H1935">
        <v>3714062</v>
      </c>
      <c r="I1935">
        <v>32366</v>
      </c>
      <c r="J1935">
        <v>76</v>
      </c>
      <c r="K1935">
        <v>136</v>
      </c>
      <c r="L1935">
        <v>0</v>
      </c>
      <c r="M1935" t="s">
        <v>6371</v>
      </c>
    </row>
    <row r="1936" spans="1:13">
      <c r="A1936" t="s">
        <v>23</v>
      </c>
      <c r="B1936" t="s">
        <v>2655</v>
      </c>
      <c r="C1936">
        <v>44665</v>
      </c>
      <c r="D1936">
        <v>260183209</v>
      </c>
      <c r="E1936">
        <v>36176</v>
      </c>
      <c r="F1936">
        <v>65</v>
      </c>
      <c r="G1936">
        <v>64169463</v>
      </c>
      <c r="H1936">
        <v>486007</v>
      </c>
      <c r="I1936">
        <v>295540554</v>
      </c>
      <c r="J1936">
        <v>31</v>
      </c>
      <c r="K1936">
        <v>62</v>
      </c>
      <c r="L1936">
        <v>1</v>
      </c>
      <c r="M1936" t="s">
        <v>6370</v>
      </c>
    </row>
    <row r="1937" spans="1:13">
      <c r="A1937" t="s">
        <v>5653</v>
      </c>
      <c r="B1937" t="s">
        <v>2004</v>
      </c>
      <c r="C1937">
        <v>43089</v>
      </c>
      <c r="D1937">
        <v>680431508</v>
      </c>
      <c r="E1937">
        <v>107585</v>
      </c>
      <c r="F1937">
        <v>68</v>
      </c>
      <c r="G1937">
        <v>179781280</v>
      </c>
      <c r="H1937">
        <v>1878811</v>
      </c>
      <c r="I1937">
        <v>249432966</v>
      </c>
      <c r="J1937">
        <v>111</v>
      </c>
      <c r="K1937">
        <v>84</v>
      </c>
      <c r="L1937">
        <v>1</v>
      </c>
      <c r="M1937" t="s">
        <v>6371</v>
      </c>
    </row>
    <row r="1938" spans="1:13">
      <c r="A1938" t="s">
        <v>5654</v>
      </c>
      <c r="B1938" t="s">
        <v>19</v>
      </c>
      <c r="C1938">
        <v>40909</v>
      </c>
      <c r="D1938">
        <v>721771477</v>
      </c>
      <c r="E1938">
        <v>182518</v>
      </c>
      <c r="F1938">
        <v>67</v>
      </c>
      <c r="G1938">
        <v>459189834</v>
      </c>
      <c r="H1938">
        <v>3603381</v>
      </c>
      <c r="I1938">
        <v>78341646</v>
      </c>
      <c r="J1938">
        <v>73</v>
      </c>
      <c r="K1938">
        <v>10</v>
      </c>
      <c r="L1938">
        <v>1</v>
      </c>
      <c r="M1938" t="s">
        <v>6371</v>
      </c>
    </row>
    <row r="1939" spans="1:13">
      <c r="A1939" t="s">
        <v>5655</v>
      </c>
      <c r="B1939" t="s">
        <v>99</v>
      </c>
      <c r="C1939">
        <v>43973</v>
      </c>
      <c r="D1939">
        <v>390498074</v>
      </c>
      <c r="E1939">
        <v>113725</v>
      </c>
      <c r="F1939">
        <v>64</v>
      </c>
      <c r="G1939">
        <v>85842981</v>
      </c>
      <c r="H1939">
        <v>807191</v>
      </c>
      <c r="I1939">
        <v>268907515</v>
      </c>
      <c r="J1939">
        <v>37</v>
      </c>
      <c r="K1939">
        <v>66</v>
      </c>
      <c r="L1939">
        <v>1</v>
      </c>
      <c r="M1939" t="s">
        <v>6371</v>
      </c>
    </row>
    <row r="1940" spans="1:13">
      <c r="A1940" t="s">
        <v>5658</v>
      </c>
      <c r="B1940" t="s">
        <v>301</v>
      </c>
      <c r="C1940">
        <v>44057</v>
      </c>
      <c r="D1940">
        <v>433429705</v>
      </c>
      <c r="E1940">
        <v>47966</v>
      </c>
      <c r="F1940">
        <v>73</v>
      </c>
      <c r="G1940">
        <v>108280492</v>
      </c>
      <c r="H1940">
        <v>418212</v>
      </c>
      <c r="I1940">
        <v>273205308</v>
      </c>
      <c r="J1940">
        <v>33</v>
      </c>
      <c r="K1940">
        <v>14</v>
      </c>
      <c r="L1940">
        <v>0</v>
      </c>
      <c r="M1940" t="s">
        <v>6371</v>
      </c>
    </row>
    <row r="1941" spans="1:13">
      <c r="A1941" t="s">
        <v>5662</v>
      </c>
      <c r="B1941" t="s">
        <v>5663</v>
      </c>
      <c r="C1941">
        <v>42846</v>
      </c>
      <c r="D1941">
        <v>473059298</v>
      </c>
      <c r="E1941">
        <v>108732</v>
      </c>
      <c r="F1941">
        <v>62</v>
      </c>
      <c r="G1941">
        <v>302782709</v>
      </c>
      <c r="H1941">
        <v>3261634</v>
      </c>
      <c r="I1941">
        <v>793624604</v>
      </c>
      <c r="J1941">
        <v>39</v>
      </c>
      <c r="K1941">
        <v>59</v>
      </c>
      <c r="L1941">
        <v>0</v>
      </c>
      <c r="M1941" t="s">
        <v>6371</v>
      </c>
    </row>
    <row r="1942" spans="1:13">
      <c r="A1942" t="s">
        <v>4035</v>
      </c>
      <c r="B1942" t="s">
        <v>24</v>
      </c>
      <c r="C1942">
        <v>44995</v>
      </c>
      <c r="D1942">
        <v>132653623</v>
      </c>
      <c r="E1942">
        <v>15227</v>
      </c>
      <c r="F1942">
        <v>59</v>
      </c>
      <c r="G1942">
        <v>51695313</v>
      </c>
      <c r="H1942">
        <v>709774</v>
      </c>
      <c r="I1942">
        <v>65838521</v>
      </c>
      <c r="J1942">
        <v>40</v>
      </c>
      <c r="K1942">
        <v>634</v>
      </c>
      <c r="L1942">
        <v>0</v>
      </c>
      <c r="M1942" t="s">
        <v>6370</v>
      </c>
    </row>
    <row r="1943" spans="1:13">
      <c r="A1943" t="s">
        <v>5666</v>
      </c>
      <c r="B1943" t="s">
        <v>1949</v>
      </c>
      <c r="C1943">
        <v>43742</v>
      </c>
      <c r="D1943">
        <v>836491531</v>
      </c>
      <c r="E1943">
        <v>114619</v>
      </c>
      <c r="F1943">
        <v>79</v>
      </c>
      <c r="G1943">
        <v>95215206</v>
      </c>
      <c r="H1943">
        <v>1310860</v>
      </c>
      <c r="I1943">
        <v>1679330230</v>
      </c>
      <c r="J1943">
        <v>27</v>
      </c>
      <c r="K1943">
        <v>303</v>
      </c>
      <c r="L1943">
        <v>0</v>
      </c>
      <c r="M1943" t="s">
        <v>6371</v>
      </c>
    </row>
    <row r="1944" spans="1:13">
      <c r="A1944" t="s">
        <v>5669</v>
      </c>
      <c r="B1944" t="s">
        <v>5670</v>
      </c>
      <c r="C1944">
        <v>43619</v>
      </c>
      <c r="D1944">
        <v>204337911</v>
      </c>
      <c r="E1944">
        <v>29832</v>
      </c>
      <c r="F1944">
        <v>65</v>
      </c>
      <c r="G1944">
        <v>640084081</v>
      </c>
      <c r="H1944">
        <v>3105166</v>
      </c>
      <c r="I1944">
        <v>157858644</v>
      </c>
      <c r="J1944">
        <v>9</v>
      </c>
      <c r="K1944">
        <v>1</v>
      </c>
      <c r="L1944">
        <v>1</v>
      </c>
      <c r="M1944" t="s">
        <v>6371</v>
      </c>
    </row>
    <row r="1945" spans="1:13">
      <c r="A1945" t="s">
        <v>5673</v>
      </c>
      <c r="B1945" t="s">
        <v>258</v>
      </c>
      <c r="C1945">
        <v>45106</v>
      </c>
      <c r="D1945">
        <v>147537573</v>
      </c>
      <c r="E1945">
        <v>17322</v>
      </c>
      <c r="F1945">
        <v>63</v>
      </c>
      <c r="G1945">
        <v>13918496</v>
      </c>
      <c r="H1945">
        <v>120215</v>
      </c>
      <c r="I1945">
        <v>68517237</v>
      </c>
      <c r="J1945">
        <v>46</v>
      </c>
      <c r="K1945">
        <v>317</v>
      </c>
      <c r="L1945">
        <v>0</v>
      </c>
      <c r="M1945" t="s">
        <v>6370</v>
      </c>
    </row>
    <row r="1946" spans="1:13">
      <c r="A1946" t="s">
        <v>5675</v>
      </c>
      <c r="B1946" t="s">
        <v>449</v>
      </c>
      <c r="C1946">
        <v>44844</v>
      </c>
      <c r="D1946">
        <v>66617153</v>
      </c>
      <c r="E1946">
        <v>34503</v>
      </c>
      <c r="F1946">
        <v>51</v>
      </c>
      <c r="G1946">
        <v>29347420</v>
      </c>
      <c r="H1946">
        <v>343023</v>
      </c>
      <c r="I1946">
        <v>139786101</v>
      </c>
      <c r="J1946">
        <v>11</v>
      </c>
      <c r="K1946">
        <v>319</v>
      </c>
      <c r="L1946">
        <v>1</v>
      </c>
      <c r="M1946" t="s">
        <v>6370</v>
      </c>
    </row>
    <row r="1947" spans="1:13">
      <c r="A1947" t="s">
        <v>5682</v>
      </c>
      <c r="B1947" t="s">
        <v>451</v>
      </c>
      <c r="C1947">
        <v>44564</v>
      </c>
      <c r="D1947">
        <v>172657413</v>
      </c>
      <c r="E1947">
        <v>16436</v>
      </c>
      <c r="F1947">
        <v>54</v>
      </c>
      <c r="G1947">
        <v>272201730</v>
      </c>
      <c r="H1947">
        <v>4399092</v>
      </c>
      <c r="I1947">
        <v>1992357477</v>
      </c>
      <c r="J1947">
        <v>17</v>
      </c>
      <c r="K1947">
        <v>148</v>
      </c>
      <c r="L1947">
        <v>0</v>
      </c>
      <c r="M1947" t="s">
        <v>6370</v>
      </c>
    </row>
    <row r="1948" spans="1:13">
      <c r="A1948" t="s">
        <v>5683</v>
      </c>
      <c r="B1948" t="s">
        <v>5684</v>
      </c>
      <c r="C1948">
        <v>37622</v>
      </c>
      <c r="D1948">
        <v>1657866786</v>
      </c>
      <c r="E1948">
        <v>206953</v>
      </c>
      <c r="F1948">
        <v>81</v>
      </c>
      <c r="G1948">
        <v>339571990</v>
      </c>
      <c r="H1948">
        <v>4052894</v>
      </c>
      <c r="I1948">
        <v>1394903550</v>
      </c>
      <c r="J1948">
        <v>275</v>
      </c>
      <c r="K1948">
        <v>124</v>
      </c>
      <c r="L1948">
        <v>0</v>
      </c>
      <c r="M1948" t="s">
        <v>6372</v>
      </c>
    </row>
    <row r="1949" spans="1:13">
      <c r="A1949" t="s">
        <v>5685</v>
      </c>
      <c r="B1949" t="s">
        <v>187</v>
      </c>
      <c r="C1949">
        <v>44614</v>
      </c>
      <c r="D1949">
        <v>104411097</v>
      </c>
      <c r="E1949">
        <v>51535</v>
      </c>
      <c r="F1949">
        <v>54</v>
      </c>
      <c r="G1949">
        <v>128163786</v>
      </c>
      <c r="H1949">
        <v>1321268</v>
      </c>
      <c r="I1949">
        <v>64467510</v>
      </c>
      <c r="J1949">
        <v>19</v>
      </c>
      <c r="K1949">
        <v>320</v>
      </c>
      <c r="L1949">
        <v>1</v>
      </c>
      <c r="M1949" t="s">
        <v>6370</v>
      </c>
    </row>
    <row r="1950" spans="1:13">
      <c r="A1950" t="s">
        <v>5686</v>
      </c>
      <c r="B1950" t="s">
        <v>1320</v>
      </c>
      <c r="C1950">
        <v>45114</v>
      </c>
      <c r="D1950">
        <v>102643968</v>
      </c>
      <c r="E1950">
        <v>11419</v>
      </c>
      <c r="F1950">
        <v>59</v>
      </c>
      <c r="G1950">
        <v>64931319</v>
      </c>
      <c r="H1950">
        <v>1474575</v>
      </c>
      <c r="I1950">
        <v>432572281</v>
      </c>
      <c r="J1950">
        <v>7</v>
      </c>
      <c r="K1950">
        <v>360</v>
      </c>
      <c r="L1950">
        <v>0</v>
      </c>
      <c r="M1950" t="s">
        <v>6370</v>
      </c>
    </row>
    <row r="1951" spans="1:13">
      <c r="A1951" t="s">
        <v>5693</v>
      </c>
      <c r="B1951" t="s">
        <v>5694</v>
      </c>
      <c r="C1951">
        <v>44357</v>
      </c>
      <c r="D1951">
        <v>225256279</v>
      </c>
      <c r="E1951">
        <v>53441</v>
      </c>
      <c r="F1951">
        <v>60</v>
      </c>
      <c r="G1951">
        <v>76742047</v>
      </c>
      <c r="H1951">
        <v>1632194</v>
      </c>
      <c r="I1951">
        <v>3664416923</v>
      </c>
      <c r="J1951">
        <v>11</v>
      </c>
      <c r="K1951">
        <v>291</v>
      </c>
      <c r="L1951">
        <v>1</v>
      </c>
      <c r="M1951" t="s">
        <v>6370</v>
      </c>
    </row>
    <row r="1952" spans="1:13">
      <c r="A1952" t="s">
        <v>5695</v>
      </c>
      <c r="B1952" t="s">
        <v>912</v>
      </c>
      <c r="C1952">
        <v>40544</v>
      </c>
      <c r="D1952">
        <v>699439249</v>
      </c>
      <c r="E1952">
        <v>120535</v>
      </c>
      <c r="F1952">
        <v>69</v>
      </c>
      <c r="G1952">
        <v>821028883</v>
      </c>
      <c r="H1952">
        <v>4207574</v>
      </c>
      <c r="I1952">
        <v>824607003</v>
      </c>
      <c r="J1952">
        <v>72</v>
      </c>
      <c r="K1952">
        <v>113</v>
      </c>
      <c r="L1952">
        <v>0</v>
      </c>
      <c r="M1952" t="s">
        <v>6371</v>
      </c>
    </row>
    <row r="1953" spans="1:13">
      <c r="A1953" t="s">
        <v>5696</v>
      </c>
      <c r="B1953" t="s">
        <v>187</v>
      </c>
      <c r="C1953">
        <v>45071</v>
      </c>
      <c r="D1953">
        <v>25898720</v>
      </c>
      <c r="E1953">
        <v>17854</v>
      </c>
      <c r="F1953">
        <v>50</v>
      </c>
      <c r="G1953">
        <v>21808363</v>
      </c>
      <c r="H1953">
        <v>173005</v>
      </c>
      <c r="I1953">
        <v>16324229</v>
      </c>
      <c r="J1953">
        <v>30</v>
      </c>
      <c r="K1953">
        <v>4</v>
      </c>
      <c r="L1953">
        <v>1</v>
      </c>
      <c r="M1953" t="s">
        <v>6370</v>
      </c>
    </row>
    <row r="1954" spans="1:13">
      <c r="A1954" t="s">
        <v>5698</v>
      </c>
      <c r="B1954" t="s">
        <v>4827</v>
      </c>
      <c r="C1954">
        <v>44505</v>
      </c>
      <c r="D1954">
        <v>265040914</v>
      </c>
      <c r="E1954">
        <v>45783</v>
      </c>
      <c r="F1954">
        <v>69</v>
      </c>
      <c r="G1954">
        <v>103282847</v>
      </c>
      <c r="H1954">
        <v>1061969</v>
      </c>
      <c r="I1954">
        <v>131770714</v>
      </c>
      <c r="J1954">
        <v>47</v>
      </c>
      <c r="K1954">
        <v>393</v>
      </c>
      <c r="L1954">
        <v>1</v>
      </c>
      <c r="M1954" t="s">
        <v>6370</v>
      </c>
    </row>
    <row r="1955" spans="1:13">
      <c r="A1955" t="s">
        <v>5705</v>
      </c>
      <c r="B1955" t="s">
        <v>981</v>
      </c>
      <c r="C1955">
        <v>41666</v>
      </c>
      <c r="D1955">
        <v>308811426</v>
      </c>
      <c r="E1955">
        <v>35237</v>
      </c>
      <c r="F1955">
        <v>61</v>
      </c>
      <c r="G1955">
        <v>1182676666</v>
      </c>
      <c r="H1955">
        <v>3048769</v>
      </c>
      <c r="I1955">
        <v>24662350</v>
      </c>
      <c r="J1955">
        <v>46</v>
      </c>
      <c r="K1955">
        <v>89</v>
      </c>
      <c r="L1955">
        <v>0</v>
      </c>
      <c r="M1955" t="s">
        <v>6371</v>
      </c>
    </row>
    <row r="1956" spans="1:13">
      <c r="A1956" t="s">
        <v>5715</v>
      </c>
      <c r="B1956" t="s">
        <v>531</v>
      </c>
      <c r="C1956">
        <v>44435</v>
      </c>
      <c r="D1956">
        <v>318061543</v>
      </c>
      <c r="E1956">
        <v>75726</v>
      </c>
      <c r="F1956">
        <v>73</v>
      </c>
      <c r="G1956">
        <v>44097619</v>
      </c>
      <c r="H1956">
        <v>664394</v>
      </c>
      <c r="I1956">
        <v>300555534</v>
      </c>
      <c r="J1956">
        <v>4</v>
      </c>
      <c r="K1956">
        <v>11</v>
      </c>
      <c r="L1956">
        <v>0</v>
      </c>
      <c r="M1956" t="s">
        <v>6370</v>
      </c>
    </row>
    <row r="1957" spans="1:13">
      <c r="A1957" t="s">
        <v>5719</v>
      </c>
      <c r="B1957" t="s">
        <v>5720</v>
      </c>
      <c r="C1957">
        <v>43112</v>
      </c>
      <c r="D1957">
        <v>597167984</v>
      </c>
      <c r="E1957">
        <v>106817</v>
      </c>
      <c r="F1957">
        <v>65</v>
      </c>
      <c r="G1957">
        <v>229946161</v>
      </c>
      <c r="H1957">
        <v>2833259</v>
      </c>
      <c r="I1957">
        <v>1101118641</v>
      </c>
      <c r="J1957">
        <v>84</v>
      </c>
      <c r="K1957">
        <v>38</v>
      </c>
      <c r="L1957">
        <v>1</v>
      </c>
      <c r="M1957" t="s">
        <v>6371</v>
      </c>
    </row>
    <row r="1958" spans="1:13">
      <c r="A1958" t="s">
        <v>5723</v>
      </c>
      <c r="B1958" t="s">
        <v>688</v>
      </c>
      <c r="C1958">
        <v>44946</v>
      </c>
      <c r="D1958">
        <v>166942258</v>
      </c>
      <c r="E1958">
        <v>24993</v>
      </c>
      <c r="F1958">
        <v>71</v>
      </c>
      <c r="G1958">
        <v>23143608</v>
      </c>
      <c r="H1958">
        <v>205874</v>
      </c>
      <c r="I1958">
        <v>39481015</v>
      </c>
      <c r="J1958">
        <v>26</v>
      </c>
      <c r="K1958">
        <v>17</v>
      </c>
      <c r="L1958">
        <v>0</v>
      </c>
      <c r="M1958" t="s">
        <v>6370</v>
      </c>
    </row>
    <row r="1959" spans="1:13">
      <c r="A1959" t="s">
        <v>5725</v>
      </c>
      <c r="B1959" t="s">
        <v>295</v>
      </c>
      <c r="C1959">
        <v>42489</v>
      </c>
      <c r="D1959">
        <v>1052473730</v>
      </c>
      <c r="E1959">
        <v>126251</v>
      </c>
      <c r="F1959">
        <v>68</v>
      </c>
      <c r="G1959">
        <v>10990620</v>
      </c>
      <c r="H1959">
        <v>127032</v>
      </c>
      <c r="I1959">
        <v>308797315</v>
      </c>
      <c r="J1959">
        <v>176</v>
      </c>
      <c r="K1959">
        <v>1</v>
      </c>
      <c r="L1959">
        <v>1</v>
      </c>
      <c r="M1959" t="s">
        <v>6371</v>
      </c>
    </row>
    <row r="1960" spans="1:13">
      <c r="A1960" t="s">
        <v>1236</v>
      </c>
      <c r="B1960" t="s">
        <v>1534</v>
      </c>
      <c r="C1960">
        <v>44782</v>
      </c>
      <c r="D1960">
        <v>64562541</v>
      </c>
      <c r="E1960">
        <v>14704</v>
      </c>
      <c r="F1960">
        <v>55</v>
      </c>
      <c r="G1960">
        <v>63051891</v>
      </c>
      <c r="H1960">
        <v>588504</v>
      </c>
      <c r="I1960">
        <v>38123007</v>
      </c>
      <c r="J1960">
        <v>11</v>
      </c>
      <c r="K1960">
        <v>181</v>
      </c>
      <c r="L1960">
        <v>1</v>
      </c>
      <c r="M1960" t="s">
        <v>6370</v>
      </c>
    </row>
    <row r="1961" spans="1:13">
      <c r="A1961" t="s">
        <v>5727</v>
      </c>
      <c r="B1961" t="s">
        <v>43</v>
      </c>
      <c r="C1961">
        <v>44847</v>
      </c>
      <c r="D1961">
        <v>130784398</v>
      </c>
      <c r="E1961">
        <v>51124</v>
      </c>
      <c r="F1961">
        <v>62</v>
      </c>
      <c r="G1961">
        <v>36578844</v>
      </c>
      <c r="H1961">
        <v>497282</v>
      </c>
      <c r="I1961">
        <v>32710454</v>
      </c>
      <c r="J1961">
        <v>10</v>
      </c>
      <c r="K1961">
        <v>484</v>
      </c>
      <c r="L1961">
        <v>0</v>
      </c>
      <c r="M1961" t="s">
        <v>6370</v>
      </c>
    </row>
    <row r="1962" spans="1:13">
      <c r="A1962" t="s">
        <v>5728</v>
      </c>
      <c r="B1962" t="s">
        <v>1064</v>
      </c>
      <c r="C1962">
        <v>41938</v>
      </c>
      <c r="D1962">
        <v>703008289</v>
      </c>
      <c r="E1962">
        <v>107737</v>
      </c>
      <c r="F1962">
        <v>65</v>
      </c>
      <c r="G1962">
        <v>676519290</v>
      </c>
      <c r="H1962">
        <v>8302787</v>
      </c>
      <c r="I1962">
        <v>1202118262</v>
      </c>
      <c r="J1962">
        <v>13</v>
      </c>
      <c r="K1962">
        <v>4</v>
      </c>
      <c r="L1962">
        <v>1</v>
      </c>
      <c r="M1962" t="s">
        <v>6371</v>
      </c>
    </row>
    <row r="1963" spans="1:13">
      <c r="A1963" t="s">
        <v>5732</v>
      </c>
      <c r="B1963" t="s">
        <v>912</v>
      </c>
      <c r="C1963">
        <v>40179</v>
      </c>
      <c r="D1963">
        <v>1085436198</v>
      </c>
      <c r="E1963">
        <v>192284</v>
      </c>
      <c r="F1963">
        <v>78</v>
      </c>
      <c r="G1963">
        <v>162454294</v>
      </c>
      <c r="H1963">
        <v>1193141</v>
      </c>
      <c r="I1963">
        <v>1513290</v>
      </c>
      <c r="J1963">
        <v>113</v>
      </c>
      <c r="K1963">
        <v>212</v>
      </c>
      <c r="L1963">
        <v>0</v>
      </c>
      <c r="M1963" t="s">
        <v>6371</v>
      </c>
    </row>
    <row r="1964" spans="1:13">
      <c r="A1964" t="s">
        <v>5733</v>
      </c>
      <c r="B1964" t="s">
        <v>1174</v>
      </c>
      <c r="C1964">
        <v>43210</v>
      </c>
      <c r="D1964">
        <v>623201391</v>
      </c>
      <c r="E1964">
        <v>89059</v>
      </c>
      <c r="F1964">
        <v>63</v>
      </c>
      <c r="G1964">
        <v>221457313</v>
      </c>
      <c r="H1964">
        <v>1349006</v>
      </c>
      <c r="I1964">
        <v>10583591</v>
      </c>
      <c r="J1964">
        <v>57</v>
      </c>
      <c r="K1964">
        <v>11</v>
      </c>
      <c r="L1964">
        <v>1</v>
      </c>
      <c r="M1964" t="s">
        <v>6371</v>
      </c>
    </row>
    <row r="1965" spans="1:13">
      <c r="A1965" t="s">
        <v>5737</v>
      </c>
      <c r="B1965" t="s">
        <v>148</v>
      </c>
      <c r="C1965">
        <v>44078</v>
      </c>
      <c r="D1965">
        <v>254979267</v>
      </c>
      <c r="E1965">
        <v>50550</v>
      </c>
      <c r="F1965">
        <v>63</v>
      </c>
      <c r="G1965">
        <v>234785367</v>
      </c>
      <c r="H1965">
        <v>2333652</v>
      </c>
      <c r="I1965">
        <v>76024269</v>
      </c>
      <c r="J1965">
        <v>86</v>
      </c>
      <c r="K1965">
        <v>19</v>
      </c>
      <c r="L1965">
        <v>1</v>
      </c>
      <c r="M1965" t="s">
        <v>6371</v>
      </c>
    </row>
    <row r="1966" spans="1:13">
      <c r="A1966" t="s">
        <v>5742</v>
      </c>
      <c r="B1966" t="s">
        <v>2991</v>
      </c>
      <c r="C1966">
        <v>45050</v>
      </c>
      <c r="D1966">
        <v>113402349</v>
      </c>
      <c r="E1966">
        <v>14752</v>
      </c>
      <c r="F1966">
        <v>66</v>
      </c>
      <c r="G1966">
        <v>69436829</v>
      </c>
      <c r="H1966">
        <v>416921</v>
      </c>
      <c r="I1966">
        <v>32900841</v>
      </c>
      <c r="J1966">
        <v>15</v>
      </c>
      <c r="K1966">
        <v>208</v>
      </c>
      <c r="L1966">
        <v>0</v>
      </c>
      <c r="M1966" t="s">
        <v>6370</v>
      </c>
    </row>
    <row r="1967" spans="1:13">
      <c r="A1967" t="s">
        <v>5745</v>
      </c>
      <c r="B1967" t="s">
        <v>5746</v>
      </c>
      <c r="C1967">
        <v>39814</v>
      </c>
      <c r="D1967">
        <v>481414844</v>
      </c>
      <c r="E1967">
        <v>93752</v>
      </c>
      <c r="F1967">
        <v>65</v>
      </c>
      <c r="G1967">
        <v>324947792</v>
      </c>
      <c r="H1967">
        <v>2954295</v>
      </c>
      <c r="I1967">
        <v>258300</v>
      </c>
      <c r="J1967">
        <v>36</v>
      </c>
      <c r="K1967">
        <v>8</v>
      </c>
      <c r="L1967">
        <v>0</v>
      </c>
      <c r="M1967" t="s">
        <v>6372</v>
      </c>
    </row>
    <row r="1968" spans="1:13">
      <c r="A1968" t="s">
        <v>5750</v>
      </c>
      <c r="B1968" t="s">
        <v>1555</v>
      </c>
      <c r="C1968">
        <v>45365</v>
      </c>
      <c r="D1968">
        <v>11328011</v>
      </c>
      <c r="E1968">
        <v>1389</v>
      </c>
      <c r="F1968">
        <v>64</v>
      </c>
      <c r="G1968">
        <v>30326697</v>
      </c>
      <c r="H1968">
        <v>282371</v>
      </c>
      <c r="I1968">
        <v>165220930</v>
      </c>
      <c r="J1968">
        <v>8</v>
      </c>
      <c r="K1968">
        <v>588</v>
      </c>
      <c r="L1968">
        <v>1</v>
      </c>
      <c r="M1968" t="s">
        <v>6370</v>
      </c>
    </row>
    <row r="1969" spans="1:13">
      <c r="A1969" t="s">
        <v>5754</v>
      </c>
      <c r="B1969" t="s">
        <v>4596</v>
      </c>
      <c r="C1969">
        <v>43110</v>
      </c>
      <c r="D1969">
        <v>601987422</v>
      </c>
      <c r="E1969">
        <v>52580</v>
      </c>
      <c r="F1969">
        <v>65</v>
      </c>
      <c r="G1969">
        <v>54165764</v>
      </c>
      <c r="H1969">
        <v>456799</v>
      </c>
      <c r="I1969">
        <v>43174144</v>
      </c>
      <c r="J1969">
        <v>3</v>
      </c>
      <c r="K1969">
        <v>138</v>
      </c>
      <c r="L1969">
        <v>0</v>
      </c>
      <c r="M1969" t="s">
        <v>6371</v>
      </c>
    </row>
    <row r="1970" spans="1:13">
      <c r="A1970" t="s">
        <v>5755</v>
      </c>
      <c r="B1970" t="s">
        <v>5756</v>
      </c>
      <c r="C1970">
        <v>44994</v>
      </c>
      <c r="D1970">
        <v>43078993</v>
      </c>
      <c r="E1970">
        <v>31275</v>
      </c>
      <c r="F1970">
        <v>52</v>
      </c>
      <c r="G1970">
        <v>10699230</v>
      </c>
      <c r="H1970">
        <v>123634</v>
      </c>
      <c r="I1970">
        <v>306310318</v>
      </c>
      <c r="J1970">
        <v>9</v>
      </c>
      <c r="K1970">
        <v>103</v>
      </c>
      <c r="L1970">
        <v>1</v>
      </c>
      <c r="M1970" t="s">
        <v>6370</v>
      </c>
    </row>
    <row r="1971" spans="1:13">
      <c r="A1971" t="s">
        <v>5760</v>
      </c>
      <c r="B1971" t="s">
        <v>2553</v>
      </c>
      <c r="C1971">
        <v>44571</v>
      </c>
      <c r="D1971">
        <v>283455095</v>
      </c>
      <c r="E1971">
        <v>30103</v>
      </c>
      <c r="F1971">
        <v>68</v>
      </c>
      <c r="G1971">
        <v>153119745</v>
      </c>
      <c r="H1971">
        <v>2763024</v>
      </c>
      <c r="I1971">
        <v>2468865989</v>
      </c>
      <c r="J1971">
        <v>9</v>
      </c>
      <c r="K1971">
        <v>21</v>
      </c>
      <c r="L1971">
        <v>0</v>
      </c>
      <c r="M1971" t="s">
        <v>6370</v>
      </c>
    </row>
    <row r="1972" spans="1:13">
      <c r="A1972" t="s">
        <v>5762</v>
      </c>
      <c r="B1972" t="s">
        <v>1235</v>
      </c>
      <c r="C1972">
        <v>43847</v>
      </c>
      <c r="D1972">
        <v>505295731</v>
      </c>
      <c r="E1972">
        <v>47908</v>
      </c>
      <c r="F1972">
        <v>64</v>
      </c>
      <c r="G1972">
        <v>151335556</v>
      </c>
      <c r="H1972">
        <v>1772300</v>
      </c>
      <c r="I1972">
        <v>48126470</v>
      </c>
      <c r="J1972">
        <v>76</v>
      </c>
      <c r="K1972">
        <v>222</v>
      </c>
      <c r="L1972">
        <v>0</v>
      </c>
      <c r="M1972" t="s">
        <v>6371</v>
      </c>
    </row>
    <row r="1973" spans="1:13">
      <c r="A1973" t="s">
        <v>5774</v>
      </c>
      <c r="B1973" t="s">
        <v>1680</v>
      </c>
      <c r="C1973">
        <v>40544</v>
      </c>
      <c r="D1973">
        <v>302419750</v>
      </c>
      <c r="E1973">
        <v>54906</v>
      </c>
      <c r="F1973">
        <v>61</v>
      </c>
      <c r="G1973">
        <v>369321004</v>
      </c>
      <c r="H1973">
        <v>2498223</v>
      </c>
      <c r="I1973">
        <v>64070340</v>
      </c>
      <c r="J1973">
        <v>25</v>
      </c>
      <c r="K1973">
        <v>7</v>
      </c>
      <c r="L1973">
        <v>0</v>
      </c>
      <c r="M1973" t="s">
        <v>6371</v>
      </c>
    </row>
    <row r="1974" spans="1:13">
      <c r="A1974" t="s">
        <v>5776</v>
      </c>
      <c r="B1974" t="s">
        <v>4067</v>
      </c>
      <c r="C1974">
        <v>44757</v>
      </c>
      <c r="D1974">
        <v>95952617</v>
      </c>
      <c r="E1974">
        <v>10516</v>
      </c>
      <c r="F1974">
        <v>56</v>
      </c>
      <c r="G1974">
        <v>259567120</v>
      </c>
      <c r="H1974">
        <v>4792675</v>
      </c>
      <c r="I1974">
        <v>745339618</v>
      </c>
      <c r="J1974">
        <v>7</v>
      </c>
      <c r="K1974">
        <v>54</v>
      </c>
      <c r="L1974">
        <v>0</v>
      </c>
      <c r="M1974" t="s">
        <v>6370</v>
      </c>
    </row>
    <row r="1975" spans="1:13">
      <c r="A1975" t="s">
        <v>5783</v>
      </c>
      <c r="B1975" t="s">
        <v>411</v>
      </c>
      <c r="C1975">
        <v>45128</v>
      </c>
      <c r="D1975">
        <v>112730335</v>
      </c>
      <c r="E1975">
        <v>14089</v>
      </c>
      <c r="F1975">
        <v>67</v>
      </c>
      <c r="G1975">
        <v>60693447</v>
      </c>
      <c r="H1975">
        <v>1433258</v>
      </c>
      <c r="I1975">
        <v>205967218</v>
      </c>
      <c r="J1975">
        <v>5</v>
      </c>
      <c r="K1975">
        <v>2</v>
      </c>
      <c r="L1975">
        <v>0</v>
      </c>
      <c r="M1975" t="s">
        <v>6370</v>
      </c>
    </row>
    <row r="1976" spans="1:13">
      <c r="A1976" t="s">
        <v>5794</v>
      </c>
      <c r="B1976" t="s">
        <v>5795</v>
      </c>
      <c r="C1976">
        <v>44771</v>
      </c>
      <c r="D1976">
        <v>130902100</v>
      </c>
      <c r="E1976">
        <v>56267</v>
      </c>
      <c r="F1976">
        <v>56</v>
      </c>
      <c r="G1976">
        <v>24521973</v>
      </c>
      <c r="H1976">
        <v>347778</v>
      </c>
      <c r="I1976">
        <v>505539</v>
      </c>
      <c r="J1976">
        <v>29</v>
      </c>
      <c r="K1976">
        <v>165</v>
      </c>
      <c r="L1976">
        <v>1</v>
      </c>
      <c r="M1976" t="s">
        <v>6370</v>
      </c>
    </row>
    <row r="1977" spans="1:13">
      <c r="A1977" t="s">
        <v>5796</v>
      </c>
      <c r="B1977" t="s">
        <v>5797</v>
      </c>
      <c r="C1977">
        <v>45128</v>
      </c>
      <c r="D1977">
        <v>126219979</v>
      </c>
      <c r="E1977">
        <v>18525</v>
      </c>
      <c r="F1977">
        <v>60</v>
      </c>
      <c r="G1977">
        <v>28725678</v>
      </c>
      <c r="H1977">
        <v>608921</v>
      </c>
      <c r="I1977">
        <v>560299833</v>
      </c>
      <c r="J1977">
        <v>22</v>
      </c>
      <c r="K1977">
        <v>18</v>
      </c>
      <c r="L1977">
        <v>0</v>
      </c>
      <c r="M1977" t="s">
        <v>6370</v>
      </c>
    </row>
    <row r="1978" spans="1:13">
      <c r="A1978" t="s">
        <v>5805</v>
      </c>
      <c r="B1978" t="s">
        <v>5806</v>
      </c>
      <c r="C1978">
        <v>44057</v>
      </c>
      <c r="D1978">
        <v>271235105</v>
      </c>
      <c r="E1978">
        <v>63488</v>
      </c>
      <c r="F1978">
        <v>60</v>
      </c>
      <c r="G1978">
        <v>89752088</v>
      </c>
      <c r="H1978">
        <v>1466031</v>
      </c>
      <c r="I1978">
        <v>2633643813</v>
      </c>
      <c r="J1978">
        <v>29</v>
      </c>
      <c r="K1978">
        <v>526</v>
      </c>
      <c r="L1978">
        <v>0</v>
      </c>
      <c r="M1978" t="s">
        <v>6371</v>
      </c>
    </row>
    <row r="1979" spans="1:13">
      <c r="A1979" t="s">
        <v>5809</v>
      </c>
      <c r="B1979" t="s">
        <v>5810</v>
      </c>
      <c r="C1979">
        <v>41464</v>
      </c>
      <c r="D1979">
        <v>10019831</v>
      </c>
      <c r="E1979">
        <v>3056</v>
      </c>
      <c r="F1979">
        <v>55</v>
      </c>
      <c r="G1979">
        <v>2990740</v>
      </c>
      <c r="H1979">
        <v>46453</v>
      </c>
      <c r="I1979">
        <v>1685552133</v>
      </c>
      <c r="J1979">
        <v>1</v>
      </c>
      <c r="K1979">
        <v>79</v>
      </c>
      <c r="L1979">
        <v>0</v>
      </c>
      <c r="M1979" t="s">
        <v>6371</v>
      </c>
    </row>
    <row r="1980" spans="1:13">
      <c r="A1980" t="s">
        <v>5814</v>
      </c>
      <c r="B1980" t="s">
        <v>5815</v>
      </c>
      <c r="C1980">
        <v>35888</v>
      </c>
      <c r="D1980">
        <v>178339925</v>
      </c>
      <c r="E1980">
        <v>189706</v>
      </c>
      <c r="F1980">
        <v>72</v>
      </c>
      <c r="G1980">
        <v>1499385808</v>
      </c>
      <c r="H1980">
        <v>12220360</v>
      </c>
      <c r="I1980">
        <v>803719645</v>
      </c>
      <c r="J1980">
        <v>100</v>
      </c>
      <c r="K1980">
        <v>89</v>
      </c>
      <c r="L1980">
        <v>0</v>
      </c>
      <c r="M1980" t="s">
        <v>6372</v>
      </c>
    </row>
    <row r="1981" spans="1:13">
      <c r="A1981" t="s">
        <v>5826</v>
      </c>
      <c r="B1981" t="s">
        <v>5827</v>
      </c>
      <c r="C1981">
        <v>44610</v>
      </c>
      <c r="D1981">
        <v>164856432</v>
      </c>
      <c r="E1981">
        <v>76735</v>
      </c>
      <c r="F1981">
        <v>70</v>
      </c>
      <c r="G1981">
        <v>13263610</v>
      </c>
      <c r="H1981">
        <v>131789</v>
      </c>
      <c r="I1981">
        <v>1806528</v>
      </c>
      <c r="J1981">
        <v>10</v>
      </c>
      <c r="K1981">
        <v>51</v>
      </c>
      <c r="L1981">
        <v>0</v>
      </c>
      <c r="M1981" t="s">
        <v>6370</v>
      </c>
    </row>
    <row r="1982" spans="1:13">
      <c r="A1982" t="s">
        <v>5834</v>
      </c>
      <c r="B1982" t="s">
        <v>173</v>
      </c>
      <c r="C1982">
        <v>42300</v>
      </c>
      <c r="D1982">
        <v>366268077</v>
      </c>
      <c r="E1982">
        <v>40643</v>
      </c>
      <c r="F1982">
        <v>63</v>
      </c>
      <c r="G1982">
        <v>1013772791</v>
      </c>
      <c r="H1982">
        <v>3053038</v>
      </c>
      <c r="I1982">
        <v>600274227</v>
      </c>
      <c r="J1982">
        <v>28</v>
      </c>
      <c r="K1982">
        <v>28</v>
      </c>
      <c r="L1982">
        <v>0</v>
      </c>
      <c r="M1982" t="s">
        <v>6371</v>
      </c>
    </row>
    <row r="1983" spans="1:13">
      <c r="A1983" t="s">
        <v>5841</v>
      </c>
      <c r="B1983" t="s">
        <v>1534</v>
      </c>
      <c r="C1983">
        <v>44279</v>
      </c>
      <c r="D1983">
        <v>137924605</v>
      </c>
      <c r="E1983">
        <v>30692</v>
      </c>
      <c r="F1983">
        <v>62</v>
      </c>
      <c r="G1983">
        <v>192748584</v>
      </c>
      <c r="H1983">
        <v>1699888</v>
      </c>
      <c r="I1983">
        <v>142222723</v>
      </c>
      <c r="J1983">
        <v>26</v>
      </c>
      <c r="K1983">
        <v>91</v>
      </c>
      <c r="L1983">
        <v>1</v>
      </c>
      <c r="M1983" t="s">
        <v>6370</v>
      </c>
    </row>
    <row r="1984" spans="1:13">
      <c r="A1984" t="s">
        <v>5851</v>
      </c>
      <c r="B1984" t="s">
        <v>371</v>
      </c>
      <c r="C1984">
        <v>42649</v>
      </c>
      <c r="D1984">
        <v>825465124</v>
      </c>
      <c r="E1984">
        <v>71034</v>
      </c>
      <c r="F1984">
        <v>69</v>
      </c>
      <c r="G1984">
        <v>567425578</v>
      </c>
      <c r="H1984">
        <v>4410512</v>
      </c>
      <c r="I1984">
        <v>38088467</v>
      </c>
      <c r="J1984">
        <v>106</v>
      </c>
      <c r="K1984">
        <v>59</v>
      </c>
      <c r="L1984">
        <v>0</v>
      </c>
      <c r="M1984" t="s">
        <v>6371</v>
      </c>
    </row>
    <row r="1985" spans="1:13">
      <c r="A1985" t="s">
        <v>5852</v>
      </c>
      <c r="B1985" t="s">
        <v>4455</v>
      </c>
      <c r="C1985">
        <v>44610</v>
      </c>
      <c r="D1985">
        <v>98538888</v>
      </c>
      <c r="E1985">
        <v>14642</v>
      </c>
      <c r="F1985">
        <v>60</v>
      </c>
      <c r="G1985">
        <v>16119088</v>
      </c>
      <c r="H1985">
        <v>140631</v>
      </c>
      <c r="I1985">
        <v>66770114</v>
      </c>
      <c r="J1985">
        <v>15</v>
      </c>
      <c r="K1985">
        <v>41</v>
      </c>
      <c r="L1985">
        <v>0</v>
      </c>
      <c r="M1985" t="s">
        <v>6370</v>
      </c>
    </row>
    <row r="1986" spans="1:13">
      <c r="A1986" t="s">
        <v>5857</v>
      </c>
      <c r="B1986" t="s">
        <v>441</v>
      </c>
      <c r="C1986">
        <v>45093</v>
      </c>
      <c r="D1986">
        <v>126879048</v>
      </c>
      <c r="E1986">
        <v>19994</v>
      </c>
      <c r="F1986">
        <v>63</v>
      </c>
      <c r="G1986">
        <v>26943448</v>
      </c>
      <c r="H1986">
        <v>151763</v>
      </c>
      <c r="I1986">
        <v>389534</v>
      </c>
      <c r="J1986">
        <v>25</v>
      </c>
      <c r="K1986">
        <v>5</v>
      </c>
      <c r="L1986">
        <v>1</v>
      </c>
      <c r="M1986" t="s">
        <v>6370</v>
      </c>
    </row>
    <row r="1987" spans="1:13">
      <c r="A1987" t="s">
        <v>5859</v>
      </c>
      <c r="B1987" t="s">
        <v>479</v>
      </c>
      <c r="C1987">
        <v>40179</v>
      </c>
      <c r="D1987">
        <v>921351898</v>
      </c>
      <c r="E1987">
        <v>110426</v>
      </c>
      <c r="F1987">
        <v>67</v>
      </c>
      <c r="G1987">
        <v>1126799119</v>
      </c>
      <c r="H1987">
        <v>5603400</v>
      </c>
      <c r="I1987">
        <v>397746382</v>
      </c>
      <c r="J1987">
        <v>40</v>
      </c>
      <c r="K1987">
        <v>16</v>
      </c>
      <c r="L1987">
        <v>0</v>
      </c>
      <c r="M1987" t="s">
        <v>6371</v>
      </c>
    </row>
    <row r="1988" spans="1:13">
      <c r="A1988" t="s">
        <v>5860</v>
      </c>
      <c r="B1988" t="s">
        <v>141</v>
      </c>
      <c r="C1988">
        <v>43457</v>
      </c>
      <c r="D1988">
        <v>410897040</v>
      </c>
      <c r="E1988">
        <v>71655</v>
      </c>
      <c r="F1988">
        <v>68</v>
      </c>
      <c r="G1988">
        <v>428412819</v>
      </c>
      <c r="H1988">
        <v>3256737</v>
      </c>
      <c r="I1988">
        <v>79348588</v>
      </c>
      <c r="J1988">
        <v>37</v>
      </c>
      <c r="K1988">
        <v>19</v>
      </c>
      <c r="L1988">
        <v>1</v>
      </c>
      <c r="M1988" t="s">
        <v>6371</v>
      </c>
    </row>
    <row r="1989" spans="1:13">
      <c r="A1989" t="s">
        <v>5862</v>
      </c>
      <c r="B1989" t="s">
        <v>4480</v>
      </c>
      <c r="C1989">
        <v>45114</v>
      </c>
      <c r="D1989">
        <v>50471076</v>
      </c>
      <c r="E1989">
        <v>29417</v>
      </c>
      <c r="F1989">
        <v>65</v>
      </c>
      <c r="G1989">
        <v>6874694</v>
      </c>
      <c r="H1989">
        <v>138715</v>
      </c>
      <c r="I1989">
        <v>2893271</v>
      </c>
      <c r="J1989">
        <v>19</v>
      </c>
      <c r="K1989">
        <v>165</v>
      </c>
      <c r="L1989">
        <v>0</v>
      </c>
      <c r="M1989" t="s">
        <v>6370</v>
      </c>
    </row>
    <row r="1990" spans="1:13">
      <c r="A1990" t="s">
        <v>5867</v>
      </c>
      <c r="B1990" t="s">
        <v>4654</v>
      </c>
      <c r="C1990">
        <v>45223</v>
      </c>
      <c r="D1990">
        <v>15336055</v>
      </c>
      <c r="E1990">
        <v>4793</v>
      </c>
      <c r="F1990">
        <v>1</v>
      </c>
      <c r="G1990">
        <v>3725312</v>
      </c>
      <c r="H1990">
        <v>104259</v>
      </c>
      <c r="I1990">
        <v>13261497</v>
      </c>
      <c r="J1990">
        <v>18</v>
      </c>
      <c r="K1990">
        <v>192</v>
      </c>
      <c r="L1990">
        <v>1</v>
      </c>
      <c r="M1990" t="s">
        <v>6370</v>
      </c>
    </row>
    <row r="1991" spans="1:13">
      <c r="A1991" t="s">
        <v>5870</v>
      </c>
      <c r="B1991" t="s">
        <v>5871</v>
      </c>
      <c r="C1991">
        <v>44512</v>
      </c>
      <c r="D1991">
        <v>274559147</v>
      </c>
      <c r="E1991">
        <v>28733</v>
      </c>
      <c r="F1991">
        <v>66</v>
      </c>
      <c r="G1991">
        <v>225016104</v>
      </c>
      <c r="H1991">
        <v>1056037</v>
      </c>
      <c r="I1991">
        <v>98720581</v>
      </c>
      <c r="J1991">
        <v>7</v>
      </c>
      <c r="K1991">
        <v>4</v>
      </c>
      <c r="L1991">
        <v>1</v>
      </c>
      <c r="M1991" t="s">
        <v>6370</v>
      </c>
    </row>
    <row r="1992" spans="1:13">
      <c r="A1992" t="s">
        <v>5875</v>
      </c>
      <c r="B1992" t="s">
        <v>305</v>
      </c>
      <c r="C1992">
        <v>41250</v>
      </c>
      <c r="D1992">
        <v>2106040891</v>
      </c>
      <c r="E1992">
        <v>231184</v>
      </c>
      <c r="F1992">
        <v>81</v>
      </c>
      <c r="G1992">
        <v>275768987</v>
      </c>
      <c r="H1992">
        <v>2172034</v>
      </c>
      <c r="I1992">
        <v>624816222</v>
      </c>
      <c r="J1992">
        <v>104</v>
      </c>
      <c r="K1992">
        <v>228</v>
      </c>
      <c r="L1992">
        <v>0</v>
      </c>
      <c r="M1992" t="s">
        <v>6371</v>
      </c>
    </row>
    <row r="1993" spans="1:13">
      <c r="A1993" t="s">
        <v>5876</v>
      </c>
      <c r="B1993" t="s">
        <v>5877</v>
      </c>
      <c r="C1993">
        <v>40909</v>
      </c>
      <c r="D1993">
        <v>455780340</v>
      </c>
      <c r="E1993">
        <v>62047</v>
      </c>
      <c r="F1993">
        <v>67</v>
      </c>
      <c r="G1993">
        <v>2801769</v>
      </c>
      <c r="H1993">
        <v>34063</v>
      </c>
      <c r="I1993">
        <v>11785941</v>
      </c>
      <c r="J1993">
        <v>69</v>
      </c>
      <c r="K1993">
        <v>281</v>
      </c>
      <c r="L1993">
        <v>0</v>
      </c>
      <c r="M1993" t="s">
        <v>6371</v>
      </c>
    </row>
    <row r="1994" spans="1:13">
      <c r="A1994" t="s">
        <v>5884</v>
      </c>
      <c r="B1994" t="s">
        <v>5885</v>
      </c>
      <c r="C1994">
        <v>43447</v>
      </c>
      <c r="D1994">
        <v>358620184</v>
      </c>
      <c r="E1994">
        <v>30692</v>
      </c>
      <c r="F1994">
        <v>65</v>
      </c>
      <c r="G1994">
        <v>710463080</v>
      </c>
      <c r="H1994">
        <v>9902612</v>
      </c>
      <c r="I1994">
        <v>456814795</v>
      </c>
      <c r="J1994">
        <v>8</v>
      </c>
      <c r="K1994">
        <v>13</v>
      </c>
      <c r="L1994">
        <v>0</v>
      </c>
      <c r="M1994" t="s">
        <v>6371</v>
      </c>
    </row>
    <row r="1995" spans="1:13">
      <c r="A1995" t="s">
        <v>5888</v>
      </c>
      <c r="B1995" t="s">
        <v>787</v>
      </c>
      <c r="C1995">
        <v>44883</v>
      </c>
      <c r="D1995">
        <v>92424493</v>
      </c>
      <c r="E1995">
        <v>45053</v>
      </c>
      <c r="F1995">
        <v>58</v>
      </c>
      <c r="G1995">
        <v>9282240</v>
      </c>
      <c r="H1995">
        <v>161536</v>
      </c>
      <c r="I1995">
        <v>120998374</v>
      </c>
      <c r="J1995">
        <v>22</v>
      </c>
      <c r="K1995">
        <v>83</v>
      </c>
      <c r="L1995">
        <v>1</v>
      </c>
      <c r="M1995" t="s">
        <v>6370</v>
      </c>
    </row>
    <row r="1996" spans="1:13">
      <c r="A1996" t="s">
        <v>5889</v>
      </c>
      <c r="B1996" t="s">
        <v>59</v>
      </c>
      <c r="C1996">
        <v>44462</v>
      </c>
      <c r="D1996">
        <v>228003109</v>
      </c>
      <c r="E1996">
        <v>58288</v>
      </c>
      <c r="F1996">
        <v>63</v>
      </c>
      <c r="G1996">
        <v>106513804</v>
      </c>
      <c r="H1996">
        <v>755609</v>
      </c>
      <c r="I1996">
        <v>548393169</v>
      </c>
      <c r="J1996">
        <v>29</v>
      </c>
      <c r="K1996">
        <v>10</v>
      </c>
      <c r="L1996">
        <v>0</v>
      </c>
      <c r="M1996" t="s">
        <v>6370</v>
      </c>
    </row>
    <row r="1997" spans="1:13">
      <c r="A1997" t="s">
        <v>5891</v>
      </c>
      <c r="B1997" t="s">
        <v>5892</v>
      </c>
      <c r="C1997">
        <v>41275</v>
      </c>
      <c r="D1997">
        <v>276992369</v>
      </c>
      <c r="E1997">
        <v>105690</v>
      </c>
      <c r="F1997">
        <v>64</v>
      </c>
      <c r="G1997">
        <v>126116178</v>
      </c>
      <c r="H1997">
        <v>2585938</v>
      </c>
      <c r="I1997">
        <v>17759263793</v>
      </c>
      <c r="J1997">
        <v>10</v>
      </c>
      <c r="K1997">
        <v>423</v>
      </c>
      <c r="L1997">
        <v>1</v>
      </c>
      <c r="M1997" t="s">
        <v>6371</v>
      </c>
    </row>
    <row r="1998" spans="1:13">
      <c r="A1998" t="s">
        <v>5894</v>
      </c>
      <c r="B1998" t="s">
        <v>4021</v>
      </c>
      <c r="C1998">
        <v>42080</v>
      </c>
      <c r="D1998">
        <v>1069960318</v>
      </c>
      <c r="E1998">
        <v>164242</v>
      </c>
      <c r="F1998">
        <v>71</v>
      </c>
      <c r="G1998">
        <v>475719992</v>
      </c>
      <c r="H1998">
        <v>3512318</v>
      </c>
      <c r="I1998">
        <v>1824623443</v>
      </c>
      <c r="J1998">
        <v>81</v>
      </c>
      <c r="K1998">
        <v>405</v>
      </c>
      <c r="L1998">
        <v>0</v>
      </c>
      <c r="M1998" t="s">
        <v>6371</v>
      </c>
    </row>
    <row r="1999" spans="1:13">
      <c r="A1999" t="s">
        <v>5895</v>
      </c>
      <c r="B1999" t="s">
        <v>318</v>
      </c>
      <c r="C1999">
        <v>44701</v>
      </c>
      <c r="D1999">
        <v>307125680</v>
      </c>
      <c r="E1999">
        <v>37085</v>
      </c>
      <c r="F1999">
        <v>78</v>
      </c>
      <c r="G1999">
        <v>23958351</v>
      </c>
      <c r="H1999">
        <v>115841</v>
      </c>
      <c r="I1999">
        <v>91548493</v>
      </c>
      <c r="J1999">
        <v>5</v>
      </c>
      <c r="K1999">
        <v>24</v>
      </c>
      <c r="L1999">
        <v>0</v>
      </c>
      <c r="M1999" t="s">
        <v>6370</v>
      </c>
    </row>
    <row r="2000" spans="1:13">
      <c r="A2000" t="s">
        <v>5897</v>
      </c>
      <c r="B2000" t="s">
        <v>295</v>
      </c>
      <c r="C2000">
        <v>44869</v>
      </c>
      <c r="D2000">
        <v>147688885</v>
      </c>
      <c r="E2000">
        <v>45526</v>
      </c>
      <c r="F2000">
        <v>65</v>
      </c>
      <c r="G2000">
        <v>27720116</v>
      </c>
      <c r="H2000">
        <v>202844</v>
      </c>
      <c r="I2000">
        <v>12548958</v>
      </c>
      <c r="J2000">
        <v>11</v>
      </c>
      <c r="K2000">
        <v>2</v>
      </c>
      <c r="L2000">
        <v>1</v>
      </c>
      <c r="M2000" t="s">
        <v>6370</v>
      </c>
    </row>
    <row r="2001" spans="1:13">
      <c r="A2001" t="s">
        <v>5898</v>
      </c>
      <c r="B2001" t="s">
        <v>260</v>
      </c>
      <c r="C2001">
        <v>41891</v>
      </c>
      <c r="D2001">
        <v>205312051</v>
      </c>
      <c r="E2001">
        <v>28368</v>
      </c>
      <c r="F2001">
        <v>59</v>
      </c>
      <c r="G2001">
        <v>140553023</v>
      </c>
      <c r="H2001">
        <v>1777780</v>
      </c>
      <c r="I2001">
        <v>11018922699</v>
      </c>
      <c r="J2001">
        <v>15</v>
      </c>
      <c r="K2001">
        <v>72</v>
      </c>
      <c r="L2001">
        <v>1</v>
      </c>
      <c r="M2001" t="s">
        <v>6371</v>
      </c>
    </row>
    <row r="2002" spans="1:13">
      <c r="A2002" t="s">
        <v>5899</v>
      </c>
      <c r="B2002" t="s">
        <v>1414</v>
      </c>
      <c r="C2002">
        <v>45079</v>
      </c>
      <c r="D2002">
        <v>118689822</v>
      </c>
      <c r="E2002">
        <v>21235</v>
      </c>
      <c r="F2002">
        <v>61</v>
      </c>
      <c r="G2002">
        <v>45565540</v>
      </c>
      <c r="H2002">
        <v>435913</v>
      </c>
      <c r="I2002">
        <v>215516634</v>
      </c>
      <c r="J2002">
        <v>17</v>
      </c>
      <c r="K2002">
        <v>22</v>
      </c>
      <c r="L2002">
        <v>1</v>
      </c>
      <c r="M2002" t="s">
        <v>6370</v>
      </c>
    </row>
    <row r="2003" spans="1:13">
      <c r="A2003" t="s">
        <v>4031</v>
      </c>
      <c r="B2003" t="s">
        <v>288</v>
      </c>
      <c r="C2003">
        <v>44862</v>
      </c>
      <c r="D2003">
        <v>136878823</v>
      </c>
      <c r="E2003">
        <v>44098</v>
      </c>
      <c r="F2003">
        <v>62</v>
      </c>
      <c r="G2003">
        <v>46128261</v>
      </c>
      <c r="H2003">
        <v>705084</v>
      </c>
      <c r="I2003">
        <v>17208694</v>
      </c>
      <c r="J2003">
        <v>10</v>
      </c>
      <c r="K2003">
        <v>1</v>
      </c>
      <c r="L2003">
        <v>1</v>
      </c>
      <c r="M2003" t="s">
        <v>6370</v>
      </c>
    </row>
    <row r="2004" spans="1:13">
      <c r="A2004" t="s">
        <v>5903</v>
      </c>
      <c r="B2004" t="s">
        <v>5904</v>
      </c>
      <c r="C2004">
        <v>44141</v>
      </c>
      <c r="D2004">
        <v>363510259</v>
      </c>
      <c r="E2004">
        <v>62841</v>
      </c>
      <c r="F2004">
        <v>68</v>
      </c>
      <c r="G2004">
        <v>45636634</v>
      </c>
      <c r="H2004">
        <v>615650</v>
      </c>
      <c r="I2004">
        <v>907351760</v>
      </c>
      <c r="J2004">
        <v>51</v>
      </c>
      <c r="K2004">
        <v>17</v>
      </c>
      <c r="L2004">
        <v>0</v>
      </c>
      <c r="M2004" t="s">
        <v>6371</v>
      </c>
    </row>
    <row r="2005" spans="1:13">
      <c r="A2005" t="s">
        <v>5909</v>
      </c>
      <c r="B2005" t="s">
        <v>2307</v>
      </c>
      <c r="C2005">
        <v>42937</v>
      </c>
      <c r="D2005">
        <v>433074753</v>
      </c>
      <c r="E2005">
        <v>46083</v>
      </c>
      <c r="F2005">
        <v>69</v>
      </c>
      <c r="G2005">
        <v>733383572</v>
      </c>
      <c r="H2005">
        <v>3063277</v>
      </c>
      <c r="I2005">
        <v>271273148</v>
      </c>
      <c r="J2005">
        <v>20</v>
      </c>
      <c r="K2005">
        <v>39</v>
      </c>
      <c r="L2005">
        <v>0</v>
      </c>
      <c r="M2005" t="s">
        <v>6371</v>
      </c>
    </row>
    <row r="2006" spans="1:13">
      <c r="A2006" t="s">
        <v>5910</v>
      </c>
      <c r="B2006" t="s">
        <v>1857</v>
      </c>
      <c r="C2006">
        <v>41275</v>
      </c>
      <c r="D2006">
        <v>948562412</v>
      </c>
      <c r="E2006">
        <v>227652</v>
      </c>
      <c r="F2006">
        <v>76</v>
      </c>
      <c r="G2006">
        <v>179763989</v>
      </c>
      <c r="H2006">
        <v>1952137</v>
      </c>
      <c r="I2006">
        <v>509550794</v>
      </c>
      <c r="J2006">
        <v>52</v>
      </c>
      <c r="K2006">
        <v>23</v>
      </c>
      <c r="L2006">
        <v>1</v>
      </c>
      <c r="M2006" t="s">
        <v>6371</v>
      </c>
    </row>
    <row r="2007" spans="1:13">
      <c r="A2007" t="s">
        <v>5915</v>
      </c>
      <c r="B2007" t="s">
        <v>5916</v>
      </c>
      <c r="C2007">
        <v>44897</v>
      </c>
      <c r="D2007">
        <v>56645454</v>
      </c>
      <c r="E2007">
        <v>39890</v>
      </c>
      <c r="F2007">
        <v>67</v>
      </c>
      <c r="G2007">
        <v>9185128</v>
      </c>
      <c r="H2007">
        <v>133475</v>
      </c>
      <c r="I2007">
        <v>75363545</v>
      </c>
      <c r="J2007">
        <v>4</v>
      </c>
      <c r="K2007">
        <v>18</v>
      </c>
      <c r="L2007">
        <v>0</v>
      </c>
      <c r="M2007" t="s">
        <v>6370</v>
      </c>
    </row>
    <row r="2008" spans="1:13">
      <c r="A2008" t="s">
        <v>5921</v>
      </c>
      <c r="B2008" t="s">
        <v>2031</v>
      </c>
      <c r="C2008">
        <v>42182</v>
      </c>
      <c r="D2008">
        <v>369947896</v>
      </c>
      <c r="E2008">
        <v>53156</v>
      </c>
      <c r="F2008">
        <v>62</v>
      </c>
      <c r="G2008">
        <v>1180773743</v>
      </c>
      <c r="H2008">
        <v>5461869</v>
      </c>
      <c r="I2008">
        <v>22026802</v>
      </c>
      <c r="J2008">
        <v>26</v>
      </c>
      <c r="K2008">
        <v>48</v>
      </c>
      <c r="L2008">
        <v>1</v>
      </c>
      <c r="M2008" t="s">
        <v>6371</v>
      </c>
    </row>
    <row r="2009" spans="1:13">
      <c r="A2009" t="s">
        <v>5924</v>
      </c>
      <c r="B2009" t="s">
        <v>236</v>
      </c>
      <c r="C2009">
        <v>44505</v>
      </c>
      <c r="D2009">
        <v>200895335</v>
      </c>
      <c r="E2009">
        <v>76844</v>
      </c>
      <c r="F2009">
        <v>63</v>
      </c>
      <c r="G2009">
        <v>35120030</v>
      </c>
      <c r="H2009">
        <v>692065</v>
      </c>
      <c r="I2009">
        <v>113665392</v>
      </c>
      <c r="J2009">
        <v>28</v>
      </c>
      <c r="K2009">
        <v>52</v>
      </c>
      <c r="L2009">
        <v>1</v>
      </c>
      <c r="M2009" t="s">
        <v>6370</v>
      </c>
    </row>
    <row r="2010" spans="1:13">
      <c r="A2010" t="s">
        <v>5925</v>
      </c>
      <c r="B2010" t="s">
        <v>5926</v>
      </c>
      <c r="C2010">
        <v>40032</v>
      </c>
      <c r="D2010">
        <v>1204914998</v>
      </c>
      <c r="E2010">
        <v>198352</v>
      </c>
      <c r="F2010">
        <v>80</v>
      </c>
      <c r="G2010">
        <v>206057670</v>
      </c>
      <c r="H2010">
        <v>1772119</v>
      </c>
      <c r="I2010">
        <v>1322923785</v>
      </c>
      <c r="J2010">
        <v>194</v>
      </c>
      <c r="K2010">
        <v>130</v>
      </c>
      <c r="L2010">
        <v>0</v>
      </c>
      <c r="M2010" t="s">
        <v>6372</v>
      </c>
    </row>
    <row r="2011" spans="1:13">
      <c r="A2011" t="s">
        <v>5929</v>
      </c>
      <c r="B2011" t="s">
        <v>2745</v>
      </c>
      <c r="C2011">
        <v>39814</v>
      </c>
      <c r="D2011">
        <v>687212492</v>
      </c>
      <c r="E2011">
        <v>158127</v>
      </c>
      <c r="F2011">
        <v>74</v>
      </c>
      <c r="G2011">
        <v>830074389</v>
      </c>
      <c r="H2011">
        <v>3735861</v>
      </c>
      <c r="I2011">
        <v>388454078</v>
      </c>
      <c r="J2011">
        <v>49</v>
      </c>
      <c r="K2011">
        <v>199</v>
      </c>
      <c r="L2011">
        <v>0</v>
      </c>
      <c r="M2011" t="s">
        <v>6372</v>
      </c>
    </row>
    <row r="2012" spans="1:13">
      <c r="A2012" t="s">
        <v>5930</v>
      </c>
      <c r="B2012" t="s">
        <v>5931</v>
      </c>
      <c r="C2012">
        <v>42216</v>
      </c>
      <c r="D2012">
        <v>624262344</v>
      </c>
      <c r="E2012">
        <v>152117</v>
      </c>
      <c r="F2012">
        <v>68</v>
      </c>
      <c r="G2012">
        <v>139990813</v>
      </c>
      <c r="H2012">
        <v>953527</v>
      </c>
      <c r="I2012">
        <v>61873397</v>
      </c>
      <c r="J2012">
        <v>180</v>
      </c>
      <c r="K2012">
        <v>34</v>
      </c>
      <c r="L2012">
        <v>0</v>
      </c>
      <c r="M2012" t="s">
        <v>6371</v>
      </c>
    </row>
    <row r="2013" spans="1:13">
      <c r="A2013" t="s">
        <v>5934</v>
      </c>
      <c r="B2013" t="s">
        <v>2047</v>
      </c>
      <c r="C2013">
        <v>43731</v>
      </c>
      <c r="D2013">
        <v>361382812</v>
      </c>
      <c r="E2013">
        <v>27358</v>
      </c>
      <c r="F2013">
        <v>64</v>
      </c>
      <c r="G2013">
        <v>607728749</v>
      </c>
      <c r="H2013">
        <v>5763424</v>
      </c>
      <c r="I2013">
        <v>277620586</v>
      </c>
      <c r="J2013">
        <v>32</v>
      </c>
      <c r="K2013">
        <v>8</v>
      </c>
      <c r="L2013">
        <v>0</v>
      </c>
      <c r="M2013" t="s">
        <v>6371</v>
      </c>
    </row>
    <row r="2014" spans="1:13">
      <c r="A2014" t="s">
        <v>3152</v>
      </c>
      <c r="B2014" t="s">
        <v>631</v>
      </c>
      <c r="C2014">
        <v>44757</v>
      </c>
      <c r="D2014">
        <v>142927322</v>
      </c>
      <c r="E2014">
        <v>32810</v>
      </c>
      <c r="F2014">
        <v>56</v>
      </c>
      <c r="G2014">
        <v>11242174</v>
      </c>
      <c r="H2014">
        <v>91853</v>
      </c>
      <c r="I2014">
        <v>4614852</v>
      </c>
      <c r="J2014">
        <v>42</v>
      </c>
      <c r="K2014">
        <v>57</v>
      </c>
      <c r="L2014">
        <v>0</v>
      </c>
      <c r="M2014" t="s">
        <v>6370</v>
      </c>
    </row>
    <row r="2015" spans="1:13">
      <c r="A2015" t="s">
        <v>5938</v>
      </c>
      <c r="B2015" t="s">
        <v>5939</v>
      </c>
      <c r="C2015">
        <v>44155</v>
      </c>
      <c r="D2015">
        <v>177734775</v>
      </c>
      <c r="E2015">
        <v>25580</v>
      </c>
      <c r="F2015">
        <v>60</v>
      </c>
      <c r="G2015">
        <v>37838695</v>
      </c>
      <c r="H2015">
        <v>220814</v>
      </c>
      <c r="I2015">
        <v>62353303</v>
      </c>
      <c r="J2015">
        <v>36</v>
      </c>
      <c r="K2015">
        <v>180</v>
      </c>
      <c r="L2015">
        <v>0</v>
      </c>
      <c r="M2015" t="s">
        <v>6371</v>
      </c>
    </row>
    <row r="2016" spans="1:13">
      <c r="A2016" t="s">
        <v>5942</v>
      </c>
      <c r="B2016" t="s">
        <v>936</v>
      </c>
      <c r="C2016">
        <v>43721</v>
      </c>
      <c r="D2016">
        <v>399276193</v>
      </c>
      <c r="E2016">
        <v>102234</v>
      </c>
      <c r="F2016">
        <v>64</v>
      </c>
      <c r="G2016">
        <v>60323387</v>
      </c>
      <c r="H2016">
        <v>518058</v>
      </c>
      <c r="I2016">
        <v>36313288</v>
      </c>
      <c r="J2016">
        <v>114</v>
      </c>
      <c r="K2016">
        <v>25</v>
      </c>
      <c r="L2016">
        <v>0</v>
      </c>
      <c r="M2016" t="s">
        <v>6371</v>
      </c>
    </row>
    <row r="2017" spans="1:13">
      <c r="A2017" t="s">
        <v>5945</v>
      </c>
      <c r="B2017" t="s">
        <v>3867</v>
      </c>
      <c r="C2017">
        <v>44309</v>
      </c>
      <c r="D2017">
        <v>172986367</v>
      </c>
      <c r="E2017">
        <v>40246</v>
      </c>
      <c r="F2017">
        <v>56</v>
      </c>
      <c r="G2017">
        <v>103030772</v>
      </c>
      <c r="H2017">
        <v>1128489</v>
      </c>
      <c r="I2017">
        <v>26458622</v>
      </c>
      <c r="J2017">
        <v>72</v>
      </c>
      <c r="K2017">
        <v>156</v>
      </c>
      <c r="L2017">
        <v>1</v>
      </c>
      <c r="M2017" t="s">
        <v>6370</v>
      </c>
    </row>
    <row r="2018" spans="1:13">
      <c r="A2018" t="s">
        <v>5951</v>
      </c>
      <c r="B2018" t="s">
        <v>5952</v>
      </c>
      <c r="C2018">
        <v>45142</v>
      </c>
      <c r="D2018">
        <v>15885603</v>
      </c>
      <c r="E2018">
        <v>5781</v>
      </c>
      <c r="F2018">
        <v>53</v>
      </c>
      <c r="G2018">
        <v>9303252</v>
      </c>
      <c r="H2018">
        <v>103569</v>
      </c>
      <c r="I2018">
        <v>17072834</v>
      </c>
      <c r="J2018">
        <v>4</v>
      </c>
      <c r="K2018">
        <v>111</v>
      </c>
      <c r="L2018">
        <v>1</v>
      </c>
      <c r="M2018" t="s">
        <v>6370</v>
      </c>
    </row>
    <row r="2019" spans="1:13">
      <c r="A2019" t="s">
        <v>5956</v>
      </c>
      <c r="B2019" t="s">
        <v>5957</v>
      </c>
      <c r="C2019">
        <v>45051</v>
      </c>
      <c r="D2019">
        <v>36475819</v>
      </c>
      <c r="E2019">
        <v>6175</v>
      </c>
      <c r="F2019">
        <v>53</v>
      </c>
      <c r="G2019">
        <v>1589418</v>
      </c>
      <c r="H2019">
        <v>14475</v>
      </c>
      <c r="I2019">
        <v>8897673</v>
      </c>
      <c r="J2019">
        <v>15</v>
      </c>
      <c r="K2019">
        <v>30</v>
      </c>
      <c r="L2019">
        <v>0</v>
      </c>
      <c r="M2019" t="s">
        <v>6370</v>
      </c>
    </row>
    <row r="2020" spans="1:13">
      <c r="A2020" t="s">
        <v>5958</v>
      </c>
      <c r="B2020" t="s">
        <v>295</v>
      </c>
      <c r="C2020">
        <v>44442</v>
      </c>
      <c r="D2020">
        <v>219008713</v>
      </c>
      <c r="E2020">
        <v>75763</v>
      </c>
      <c r="F2020">
        <v>62</v>
      </c>
      <c r="G2020">
        <v>45087615</v>
      </c>
      <c r="H2020">
        <v>436734</v>
      </c>
      <c r="I2020">
        <v>99452041</v>
      </c>
      <c r="J2020">
        <v>38</v>
      </c>
      <c r="K2020">
        <v>77</v>
      </c>
      <c r="L2020">
        <v>1</v>
      </c>
      <c r="M2020" t="s">
        <v>6370</v>
      </c>
    </row>
    <row r="2021" spans="1:13">
      <c r="A2021" t="s">
        <v>5961</v>
      </c>
      <c r="B2021" t="s">
        <v>1890</v>
      </c>
      <c r="C2021">
        <v>43868</v>
      </c>
      <c r="D2021">
        <v>556176640</v>
      </c>
      <c r="E2021">
        <v>86180</v>
      </c>
      <c r="F2021">
        <v>75</v>
      </c>
      <c r="G2021">
        <v>53515473</v>
      </c>
      <c r="H2021">
        <v>406554</v>
      </c>
      <c r="I2021">
        <v>203313460</v>
      </c>
      <c r="J2021">
        <v>21</v>
      </c>
      <c r="K2021">
        <v>6</v>
      </c>
      <c r="L2021">
        <v>1</v>
      </c>
      <c r="M2021" t="s">
        <v>6371</v>
      </c>
    </row>
    <row r="2022" spans="1:13">
      <c r="A2022" t="s">
        <v>5964</v>
      </c>
      <c r="B2022" t="s">
        <v>5316</v>
      </c>
      <c r="C2022">
        <v>39814</v>
      </c>
      <c r="D2022">
        <v>836986096</v>
      </c>
      <c r="E2022">
        <v>185976</v>
      </c>
      <c r="F2022">
        <v>64</v>
      </c>
      <c r="G2022">
        <v>348950018</v>
      </c>
      <c r="H2022">
        <v>2261189</v>
      </c>
      <c r="I2022">
        <v>87179494</v>
      </c>
      <c r="J2022">
        <v>90</v>
      </c>
      <c r="K2022">
        <v>205</v>
      </c>
      <c r="L2022">
        <v>1</v>
      </c>
      <c r="M2022" t="s">
        <v>6372</v>
      </c>
    </row>
    <row r="2023" spans="1:13">
      <c r="A2023" t="s">
        <v>5966</v>
      </c>
      <c r="B2023" t="s">
        <v>5967</v>
      </c>
      <c r="C2023">
        <v>44741</v>
      </c>
      <c r="D2023">
        <v>130356067</v>
      </c>
      <c r="E2023">
        <v>36554</v>
      </c>
      <c r="F2023">
        <v>63</v>
      </c>
      <c r="G2023">
        <v>47933349</v>
      </c>
      <c r="H2023">
        <v>701867</v>
      </c>
      <c r="I2023">
        <v>912236577</v>
      </c>
      <c r="J2023">
        <v>12</v>
      </c>
      <c r="K2023">
        <v>3</v>
      </c>
      <c r="L2023">
        <v>0</v>
      </c>
      <c r="M2023" t="s">
        <v>6370</v>
      </c>
    </row>
    <row r="2024" spans="1:13">
      <c r="A2024" t="s">
        <v>1337</v>
      </c>
      <c r="B2024" t="s">
        <v>434</v>
      </c>
      <c r="C2024">
        <v>43931</v>
      </c>
      <c r="D2024">
        <v>379518360</v>
      </c>
      <c r="E2024">
        <v>101883</v>
      </c>
      <c r="F2024">
        <v>21</v>
      </c>
      <c r="G2024">
        <v>127485188</v>
      </c>
      <c r="H2024">
        <v>2075278</v>
      </c>
      <c r="I2024">
        <v>653804560</v>
      </c>
      <c r="J2024">
        <v>26</v>
      </c>
      <c r="K2024">
        <v>18</v>
      </c>
      <c r="L2024">
        <v>0</v>
      </c>
      <c r="M2024" t="s">
        <v>6371</v>
      </c>
    </row>
    <row r="2025" spans="1:13">
      <c r="A2025" t="s">
        <v>5975</v>
      </c>
      <c r="B2025" t="s">
        <v>3432</v>
      </c>
      <c r="C2025">
        <v>45014</v>
      </c>
      <c r="D2025">
        <v>121386649</v>
      </c>
      <c r="E2025">
        <v>17170</v>
      </c>
      <c r="F2025">
        <v>56</v>
      </c>
      <c r="G2025">
        <v>36712138</v>
      </c>
      <c r="H2025">
        <v>1221832</v>
      </c>
      <c r="I2025">
        <v>399701698</v>
      </c>
      <c r="J2025">
        <v>25</v>
      </c>
      <c r="K2025">
        <v>16</v>
      </c>
      <c r="L2025">
        <v>0</v>
      </c>
      <c r="M2025" t="s">
        <v>6370</v>
      </c>
    </row>
    <row r="2026" spans="1:13">
      <c r="A2026" t="s">
        <v>5976</v>
      </c>
      <c r="B2026" t="s">
        <v>5977</v>
      </c>
      <c r="C2026">
        <v>44971</v>
      </c>
      <c r="D2026">
        <v>301362</v>
      </c>
      <c r="E2026">
        <v>311</v>
      </c>
      <c r="F2026">
        <v>18</v>
      </c>
      <c r="G2026">
        <v>226550416</v>
      </c>
      <c r="H2026">
        <v>1992781</v>
      </c>
      <c r="I2026">
        <v>17823</v>
      </c>
      <c r="J2026">
        <v>2</v>
      </c>
      <c r="K2026">
        <v>5</v>
      </c>
      <c r="L2026">
        <v>0</v>
      </c>
      <c r="M2026" t="s">
        <v>6370</v>
      </c>
    </row>
    <row r="2027" spans="1:13">
      <c r="A2027" t="s">
        <v>5980</v>
      </c>
      <c r="B2027" t="s">
        <v>5981</v>
      </c>
      <c r="C2027">
        <v>44609</v>
      </c>
      <c r="D2027">
        <v>134725621</v>
      </c>
      <c r="E2027">
        <v>19072</v>
      </c>
      <c r="F2027">
        <v>65</v>
      </c>
      <c r="G2027">
        <v>22650713</v>
      </c>
      <c r="H2027">
        <v>114566</v>
      </c>
      <c r="I2027">
        <v>14258097</v>
      </c>
      <c r="J2027">
        <v>8</v>
      </c>
      <c r="K2027">
        <v>171</v>
      </c>
      <c r="L2027">
        <v>0</v>
      </c>
      <c r="M2027" t="s">
        <v>6370</v>
      </c>
    </row>
    <row r="2028" spans="1:13">
      <c r="A2028" t="s">
        <v>5983</v>
      </c>
      <c r="B2028" t="s">
        <v>81</v>
      </c>
      <c r="C2028">
        <v>43329</v>
      </c>
      <c r="D2028">
        <v>633631183</v>
      </c>
      <c r="E2028">
        <v>43387</v>
      </c>
      <c r="F2028">
        <v>64</v>
      </c>
      <c r="G2028">
        <v>445027001</v>
      </c>
      <c r="H2028">
        <v>5513277</v>
      </c>
      <c r="I2028">
        <v>118002159</v>
      </c>
      <c r="J2028">
        <v>50</v>
      </c>
      <c r="K2028">
        <v>78</v>
      </c>
      <c r="L2028">
        <v>1</v>
      </c>
      <c r="M2028" t="s">
        <v>6371</v>
      </c>
    </row>
    <row r="2029" spans="1:13">
      <c r="A2029" t="s">
        <v>5985</v>
      </c>
      <c r="B2029" t="s">
        <v>3918</v>
      </c>
      <c r="C2029">
        <v>44734</v>
      </c>
      <c r="D2029">
        <v>98108741</v>
      </c>
      <c r="E2029">
        <v>40658</v>
      </c>
      <c r="F2029">
        <v>56</v>
      </c>
      <c r="G2029">
        <v>67381975</v>
      </c>
      <c r="H2029">
        <v>1403327</v>
      </c>
      <c r="I2029">
        <v>140878884</v>
      </c>
      <c r="J2029">
        <v>14</v>
      </c>
      <c r="K2029">
        <v>65</v>
      </c>
      <c r="L2029">
        <v>0</v>
      </c>
      <c r="M2029" t="s">
        <v>6370</v>
      </c>
    </row>
    <row r="2030" spans="1:13">
      <c r="A2030" t="s">
        <v>5988</v>
      </c>
      <c r="B2030" t="s">
        <v>1196</v>
      </c>
      <c r="C2030">
        <v>43489</v>
      </c>
      <c r="D2030">
        <v>885986482</v>
      </c>
      <c r="E2030">
        <v>82322</v>
      </c>
      <c r="F2030">
        <v>66</v>
      </c>
      <c r="G2030">
        <v>221704345</v>
      </c>
      <c r="H2030">
        <v>2249771</v>
      </c>
      <c r="I2030">
        <v>39158457</v>
      </c>
      <c r="J2030">
        <v>76</v>
      </c>
      <c r="K2030">
        <v>71</v>
      </c>
      <c r="L2030">
        <v>0</v>
      </c>
      <c r="M2030" t="s">
        <v>6371</v>
      </c>
    </row>
    <row r="2031" spans="1:13">
      <c r="A2031" t="s">
        <v>5995</v>
      </c>
      <c r="B2031" t="s">
        <v>148</v>
      </c>
      <c r="C2031">
        <v>42852</v>
      </c>
      <c r="D2031">
        <v>817054014</v>
      </c>
      <c r="E2031">
        <v>105515</v>
      </c>
      <c r="F2031">
        <v>71</v>
      </c>
      <c r="G2031">
        <v>211546057</v>
      </c>
      <c r="H2031">
        <v>1832143</v>
      </c>
      <c r="I2031">
        <v>63600775</v>
      </c>
      <c r="J2031">
        <v>204</v>
      </c>
      <c r="K2031">
        <v>27</v>
      </c>
      <c r="L2031">
        <v>1</v>
      </c>
      <c r="M2031" t="s">
        <v>6371</v>
      </c>
    </row>
    <row r="2032" spans="1:13">
      <c r="A2032" t="s">
        <v>5997</v>
      </c>
      <c r="B2032" t="s">
        <v>912</v>
      </c>
      <c r="C2032">
        <v>42397</v>
      </c>
      <c r="D2032">
        <v>1483572312</v>
      </c>
      <c r="E2032">
        <v>155595</v>
      </c>
      <c r="F2032">
        <v>77</v>
      </c>
      <c r="G2032">
        <v>308293523</v>
      </c>
      <c r="H2032">
        <v>2383831</v>
      </c>
      <c r="I2032">
        <v>148422686</v>
      </c>
      <c r="J2032">
        <v>159</v>
      </c>
      <c r="K2032">
        <v>186</v>
      </c>
      <c r="L2032">
        <v>1</v>
      </c>
      <c r="M2032" t="s">
        <v>6371</v>
      </c>
    </row>
    <row r="2033" spans="1:13">
      <c r="A2033" t="s">
        <v>5999</v>
      </c>
      <c r="B2033" t="s">
        <v>72</v>
      </c>
      <c r="C2033">
        <v>39448</v>
      </c>
      <c r="D2033">
        <v>1556326643</v>
      </c>
      <c r="E2033">
        <v>167145</v>
      </c>
      <c r="F2033">
        <v>68</v>
      </c>
      <c r="G2033">
        <v>311700550</v>
      </c>
      <c r="H2033">
        <v>2730131</v>
      </c>
      <c r="I2033">
        <v>1532183215</v>
      </c>
      <c r="J2033">
        <v>213</v>
      </c>
      <c r="K2033">
        <v>76</v>
      </c>
      <c r="L2033">
        <v>0</v>
      </c>
      <c r="M2033" t="s">
        <v>6372</v>
      </c>
    </row>
    <row r="2034" spans="1:13">
      <c r="A2034" t="s">
        <v>6009</v>
      </c>
      <c r="B2034" t="s">
        <v>2451</v>
      </c>
      <c r="C2034">
        <v>44974</v>
      </c>
      <c r="D2034">
        <v>60355607</v>
      </c>
      <c r="E2034">
        <v>4814</v>
      </c>
      <c r="F2034">
        <v>68</v>
      </c>
      <c r="G2034">
        <v>4562833</v>
      </c>
      <c r="H2034">
        <v>30406</v>
      </c>
      <c r="I2034">
        <v>458426</v>
      </c>
      <c r="J2034">
        <v>9</v>
      </c>
      <c r="K2034">
        <v>125</v>
      </c>
      <c r="L2034">
        <v>0</v>
      </c>
      <c r="M2034" t="s">
        <v>6370</v>
      </c>
    </row>
    <row r="2035" spans="1:13">
      <c r="A2035" t="s">
        <v>6012</v>
      </c>
      <c r="B2035" t="s">
        <v>1109</v>
      </c>
      <c r="C2035">
        <v>37473</v>
      </c>
      <c r="D2035">
        <v>1903413912</v>
      </c>
      <c r="E2035">
        <v>239330</v>
      </c>
      <c r="F2035">
        <v>79</v>
      </c>
      <c r="G2035">
        <v>1864046384</v>
      </c>
      <c r="H2035">
        <v>10131009</v>
      </c>
      <c r="I2035">
        <v>481408577</v>
      </c>
      <c r="J2035">
        <v>55</v>
      </c>
      <c r="K2035">
        <v>38</v>
      </c>
      <c r="L2035">
        <v>0</v>
      </c>
      <c r="M2035" t="s">
        <v>6372</v>
      </c>
    </row>
    <row r="2036" spans="1:13">
      <c r="A2036" t="s">
        <v>6019</v>
      </c>
      <c r="B2036" t="s">
        <v>6020</v>
      </c>
      <c r="C2036">
        <v>43552</v>
      </c>
      <c r="D2036">
        <v>460008347</v>
      </c>
      <c r="E2036">
        <v>82329</v>
      </c>
      <c r="F2036">
        <v>71</v>
      </c>
      <c r="G2036">
        <v>370078966</v>
      </c>
      <c r="H2036">
        <v>3950188</v>
      </c>
      <c r="I2036">
        <v>46078194</v>
      </c>
      <c r="J2036">
        <v>43</v>
      </c>
      <c r="K2036">
        <v>12</v>
      </c>
      <c r="L2036">
        <v>0</v>
      </c>
      <c r="M2036" t="s">
        <v>6371</v>
      </c>
    </row>
    <row r="2037" spans="1:13">
      <c r="A2037" t="s">
        <v>1354</v>
      </c>
      <c r="B2037" t="s">
        <v>3370</v>
      </c>
      <c r="C2037">
        <v>44974</v>
      </c>
      <c r="D2037">
        <v>58284482</v>
      </c>
      <c r="E2037">
        <v>7247</v>
      </c>
      <c r="F2037">
        <v>54</v>
      </c>
      <c r="G2037">
        <v>79995263</v>
      </c>
      <c r="H2037">
        <v>436574</v>
      </c>
      <c r="I2037">
        <v>281657688</v>
      </c>
      <c r="J2037">
        <v>1</v>
      </c>
      <c r="K2037">
        <v>16</v>
      </c>
      <c r="L2037">
        <v>0</v>
      </c>
      <c r="M2037" t="s">
        <v>6370</v>
      </c>
    </row>
    <row r="2038" spans="1:13">
      <c r="A2038" t="s">
        <v>6021</v>
      </c>
      <c r="B2038" t="s">
        <v>642</v>
      </c>
      <c r="C2038">
        <v>44742</v>
      </c>
      <c r="D2038">
        <v>220250463</v>
      </c>
      <c r="E2038">
        <v>46098</v>
      </c>
      <c r="F2038">
        <v>65</v>
      </c>
      <c r="G2038">
        <v>28716329</v>
      </c>
      <c r="H2038">
        <v>313494</v>
      </c>
      <c r="I2038">
        <v>36501469</v>
      </c>
      <c r="J2038">
        <v>103</v>
      </c>
      <c r="K2038">
        <v>828</v>
      </c>
      <c r="L2038">
        <v>0</v>
      </c>
      <c r="M2038" t="s">
        <v>6370</v>
      </c>
    </row>
    <row r="2039" spans="1:13">
      <c r="A2039" t="s">
        <v>658</v>
      </c>
      <c r="B2039" t="s">
        <v>3370</v>
      </c>
      <c r="C2039">
        <v>44841</v>
      </c>
      <c r="D2039">
        <v>137113129</v>
      </c>
      <c r="E2039">
        <v>9970</v>
      </c>
      <c r="F2039">
        <v>59</v>
      </c>
      <c r="G2039">
        <v>97699857</v>
      </c>
      <c r="H2039">
        <v>553828</v>
      </c>
      <c r="I2039">
        <v>687545420</v>
      </c>
      <c r="J2039">
        <v>3</v>
      </c>
      <c r="K2039">
        <v>13</v>
      </c>
      <c r="L2039">
        <v>1</v>
      </c>
      <c r="M2039" t="s">
        <v>6370</v>
      </c>
    </row>
    <row r="2040" spans="1:13">
      <c r="A2040" t="s">
        <v>6027</v>
      </c>
      <c r="B2040" t="s">
        <v>2073</v>
      </c>
      <c r="C2040">
        <v>44922</v>
      </c>
      <c r="D2040">
        <v>18611163</v>
      </c>
      <c r="E2040">
        <v>6073</v>
      </c>
      <c r="F2040">
        <v>45</v>
      </c>
      <c r="G2040">
        <v>59202833</v>
      </c>
      <c r="H2040">
        <v>551627</v>
      </c>
      <c r="I2040">
        <v>1032933643</v>
      </c>
      <c r="J2040">
        <v>1</v>
      </c>
      <c r="K2040">
        <v>19</v>
      </c>
      <c r="L2040">
        <v>0</v>
      </c>
      <c r="M2040" t="s">
        <v>6370</v>
      </c>
    </row>
    <row r="2041" spans="1:13">
      <c r="A2041" t="s">
        <v>6028</v>
      </c>
      <c r="B2041" t="s">
        <v>59</v>
      </c>
      <c r="C2041">
        <v>44399</v>
      </c>
      <c r="D2041">
        <v>247133830</v>
      </c>
      <c r="E2041">
        <v>55046</v>
      </c>
      <c r="F2041">
        <v>67</v>
      </c>
      <c r="G2041">
        <v>159846081</v>
      </c>
      <c r="H2041">
        <v>855877</v>
      </c>
      <c r="I2041">
        <v>423731008</v>
      </c>
      <c r="J2041">
        <v>43</v>
      </c>
      <c r="K2041">
        <v>66</v>
      </c>
      <c r="L2041">
        <v>0</v>
      </c>
      <c r="M2041" t="s">
        <v>6370</v>
      </c>
    </row>
    <row r="2042" spans="1:13">
      <c r="A2042" t="s">
        <v>6029</v>
      </c>
      <c r="B2042" t="s">
        <v>6030</v>
      </c>
      <c r="C2042">
        <v>42887</v>
      </c>
      <c r="D2042">
        <v>495063827</v>
      </c>
      <c r="E2042">
        <v>39662</v>
      </c>
      <c r="F2042">
        <v>71</v>
      </c>
      <c r="G2042">
        <v>802589099</v>
      </c>
      <c r="H2042">
        <v>5029647</v>
      </c>
      <c r="I2042">
        <v>1106585781</v>
      </c>
      <c r="J2042">
        <v>5</v>
      </c>
      <c r="K2042">
        <v>2</v>
      </c>
      <c r="L2042">
        <v>0</v>
      </c>
      <c r="M2042" t="s">
        <v>6371</v>
      </c>
    </row>
    <row r="2043" spans="1:13">
      <c r="A2043" t="s">
        <v>6032</v>
      </c>
      <c r="B2043" t="s">
        <v>504</v>
      </c>
      <c r="C2043">
        <v>44589</v>
      </c>
      <c r="D2043">
        <v>111369377</v>
      </c>
      <c r="E2043">
        <v>60104</v>
      </c>
      <c r="F2043">
        <v>64</v>
      </c>
      <c r="G2043">
        <v>100696513</v>
      </c>
      <c r="H2043">
        <v>1725109</v>
      </c>
      <c r="I2043">
        <v>198631</v>
      </c>
      <c r="J2043">
        <v>4</v>
      </c>
      <c r="K2043">
        <v>2</v>
      </c>
      <c r="L2043">
        <v>1</v>
      </c>
      <c r="M2043" t="s">
        <v>6370</v>
      </c>
    </row>
    <row r="2044" spans="1:13">
      <c r="A2044" t="s">
        <v>6033</v>
      </c>
      <c r="B2044" t="s">
        <v>5981</v>
      </c>
      <c r="C2044">
        <v>44806</v>
      </c>
      <c r="D2044">
        <v>129531779</v>
      </c>
      <c r="E2044">
        <v>14019</v>
      </c>
      <c r="F2044">
        <v>69</v>
      </c>
      <c r="G2044">
        <v>13125721</v>
      </c>
      <c r="H2044">
        <v>89641</v>
      </c>
      <c r="I2044">
        <v>12561121</v>
      </c>
      <c r="J2044">
        <v>8</v>
      </c>
      <c r="K2044">
        <v>144</v>
      </c>
      <c r="L2044">
        <v>0</v>
      </c>
      <c r="M2044" t="s">
        <v>6370</v>
      </c>
    </row>
    <row r="2045" spans="1:13">
      <c r="A2045" t="s">
        <v>6036</v>
      </c>
      <c r="B2045" t="s">
        <v>4619</v>
      </c>
      <c r="C2045">
        <v>45050</v>
      </c>
      <c r="D2045">
        <v>96922687</v>
      </c>
      <c r="E2045">
        <v>25703</v>
      </c>
      <c r="F2045">
        <v>63</v>
      </c>
      <c r="G2045">
        <v>22161743</v>
      </c>
      <c r="H2045">
        <v>344869</v>
      </c>
      <c r="I2045">
        <v>23536012</v>
      </c>
      <c r="J2045">
        <v>19</v>
      </c>
      <c r="K2045">
        <v>19</v>
      </c>
      <c r="L2045">
        <v>1</v>
      </c>
      <c r="M2045" t="s">
        <v>6370</v>
      </c>
    </row>
    <row r="2046" spans="1:13">
      <c r="A2046" t="s">
        <v>6039</v>
      </c>
      <c r="B2046" t="s">
        <v>1447</v>
      </c>
      <c r="C2046">
        <v>43416</v>
      </c>
      <c r="D2046">
        <v>622229689</v>
      </c>
      <c r="E2046">
        <v>39229</v>
      </c>
      <c r="F2046">
        <v>67</v>
      </c>
      <c r="G2046">
        <v>449312389</v>
      </c>
      <c r="H2046">
        <v>7193977</v>
      </c>
      <c r="I2046">
        <v>1166486496</v>
      </c>
      <c r="J2046">
        <v>21</v>
      </c>
      <c r="K2046">
        <v>14</v>
      </c>
      <c r="L2046">
        <v>0</v>
      </c>
      <c r="M2046" t="s">
        <v>6371</v>
      </c>
    </row>
    <row r="2047" spans="1:13">
      <c r="A2047" t="s">
        <v>6040</v>
      </c>
      <c r="B2047" t="s">
        <v>879</v>
      </c>
      <c r="C2047">
        <v>42177</v>
      </c>
      <c r="D2047">
        <v>701552110</v>
      </c>
      <c r="E2047">
        <v>49025</v>
      </c>
      <c r="F2047">
        <v>60</v>
      </c>
      <c r="G2047">
        <v>581362473</v>
      </c>
      <c r="H2047">
        <v>4012591</v>
      </c>
      <c r="I2047">
        <v>155603416</v>
      </c>
      <c r="J2047">
        <v>120</v>
      </c>
      <c r="K2047">
        <v>130</v>
      </c>
      <c r="L2047">
        <v>0</v>
      </c>
      <c r="M2047" t="s">
        <v>6371</v>
      </c>
    </row>
    <row r="2048" spans="1:13">
      <c r="A2048" t="s">
        <v>6042</v>
      </c>
      <c r="B2048" t="s">
        <v>343</v>
      </c>
      <c r="C2048">
        <v>45086</v>
      </c>
      <c r="D2048">
        <v>68965021</v>
      </c>
      <c r="E2048">
        <v>11956</v>
      </c>
      <c r="F2048">
        <v>70</v>
      </c>
      <c r="G2048">
        <v>25701096</v>
      </c>
      <c r="H2048">
        <v>259974</v>
      </c>
      <c r="I2048">
        <v>718409133</v>
      </c>
      <c r="J2048">
        <v>5</v>
      </c>
      <c r="K2048">
        <v>2</v>
      </c>
      <c r="L2048">
        <v>1</v>
      </c>
      <c r="M2048" t="s">
        <v>6370</v>
      </c>
    </row>
    <row r="2049" spans="1:13">
      <c r="A2049" t="s">
        <v>6050</v>
      </c>
      <c r="B2049" t="s">
        <v>6051</v>
      </c>
      <c r="C2049">
        <v>39611</v>
      </c>
      <c r="D2049">
        <v>968810827</v>
      </c>
      <c r="E2049">
        <v>177742</v>
      </c>
      <c r="F2049">
        <v>77</v>
      </c>
      <c r="G2049">
        <v>336220628</v>
      </c>
      <c r="H2049">
        <v>2996719</v>
      </c>
      <c r="I2049">
        <v>47328081</v>
      </c>
      <c r="J2049">
        <v>22</v>
      </c>
      <c r="K2049">
        <v>5</v>
      </c>
      <c r="L2049">
        <v>1</v>
      </c>
      <c r="M2049" t="s">
        <v>6372</v>
      </c>
    </row>
    <row r="2050" spans="1:13">
      <c r="A2050" t="s">
        <v>6052</v>
      </c>
      <c r="B2050" t="s">
        <v>4879</v>
      </c>
      <c r="C2050">
        <v>43139</v>
      </c>
      <c r="D2050">
        <v>653490628</v>
      </c>
      <c r="E2050">
        <v>122994</v>
      </c>
      <c r="F2050">
        <v>62</v>
      </c>
      <c r="G2050">
        <v>97882796</v>
      </c>
      <c r="H2050">
        <v>935978</v>
      </c>
      <c r="I2050">
        <v>314775951</v>
      </c>
      <c r="J2050">
        <v>53</v>
      </c>
      <c r="K2050">
        <v>149</v>
      </c>
      <c r="L2050">
        <v>1</v>
      </c>
      <c r="M2050" t="s">
        <v>6371</v>
      </c>
    </row>
    <row r="2051" spans="1:13">
      <c r="A2051" t="s">
        <v>6053</v>
      </c>
      <c r="B2051" t="s">
        <v>444</v>
      </c>
      <c r="C2051">
        <v>44876</v>
      </c>
      <c r="D2051">
        <v>143542362</v>
      </c>
      <c r="E2051">
        <v>23633</v>
      </c>
      <c r="F2051">
        <v>60</v>
      </c>
      <c r="G2051">
        <v>13240486</v>
      </c>
      <c r="H2051">
        <v>121147</v>
      </c>
      <c r="I2051">
        <v>1543849310</v>
      </c>
      <c r="J2051">
        <v>12</v>
      </c>
      <c r="K2051">
        <v>12</v>
      </c>
      <c r="L2051">
        <v>1</v>
      </c>
      <c r="M2051" t="s">
        <v>6370</v>
      </c>
    </row>
    <row r="2052" spans="1:13">
      <c r="A2052" t="s">
        <v>6054</v>
      </c>
      <c r="B2052" t="s">
        <v>6055</v>
      </c>
      <c r="C2052">
        <v>42116</v>
      </c>
      <c r="D2052">
        <v>493444344</v>
      </c>
      <c r="E2052">
        <v>48491</v>
      </c>
      <c r="F2052">
        <v>76</v>
      </c>
      <c r="G2052">
        <v>110108631</v>
      </c>
      <c r="H2052">
        <v>979538</v>
      </c>
      <c r="I2052">
        <v>1951015670</v>
      </c>
      <c r="J2052">
        <v>63</v>
      </c>
      <c r="K2052">
        <v>162</v>
      </c>
      <c r="L2052">
        <v>0</v>
      </c>
      <c r="M2052" t="s">
        <v>6371</v>
      </c>
    </row>
    <row r="2053" spans="1:13">
      <c r="A2053" t="s">
        <v>6056</v>
      </c>
      <c r="B2053" t="s">
        <v>6057</v>
      </c>
      <c r="C2053">
        <v>41667</v>
      </c>
      <c r="D2053">
        <v>663939688</v>
      </c>
      <c r="E2053">
        <v>87146</v>
      </c>
      <c r="F2053">
        <v>67</v>
      </c>
      <c r="G2053">
        <v>462058635</v>
      </c>
      <c r="H2053">
        <v>4042516</v>
      </c>
      <c r="I2053">
        <v>215796397</v>
      </c>
      <c r="J2053">
        <v>47</v>
      </c>
      <c r="K2053">
        <v>114</v>
      </c>
      <c r="L2053">
        <v>0</v>
      </c>
      <c r="M2053" t="s">
        <v>6371</v>
      </c>
    </row>
    <row r="2054" spans="1:13">
      <c r="A2054" t="s">
        <v>6061</v>
      </c>
      <c r="B2054" t="s">
        <v>6062</v>
      </c>
      <c r="C2054">
        <v>41726</v>
      </c>
      <c r="D2054">
        <v>728140057</v>
      </c>
      <c r="E2054">
        <v>201363</v>
      </c>
      <c r="F2054">
        <v>74</v>
      </c>
      <c r="G2054">
        <v>251014567</v>
      </c>
      <c r="H2054">
        <v>3365976</v>
      </c>
      <c r="I2054">
        <v>918538689</v>
      </c>
      <c r="J2054">
        <v>39</v>
      </c>
      <c r="K2054">
        <v>4</v>
      </c>
      <c r="L2054">
        <v>0</v>
      </c>
      <c r="M2054" t="s">
        <v>6371</v>
      </c>
    </row>
    <row r="2055" spans="1:13">
      <c r="A2055" t="s">
        <v>6068</v>
      </c>
      <c r="B2055" t="s">
        <v>5316</v>
      </c>
      <c r="C2055">
        <v>39814</v>
      </c>
      <c r="D2055">
        <v>789300127</v>
      </c>
      <c r="E2055">
        <v>189360</v>
      </c>
      <c r="F2055">
        <v>64</v>
      </c>
      <c r="G2055">
        <v>371080713</v>
      </c>
      <c r="H2055">
        <v>2632037</v>
      </c>
      <c r="I2055">
        <v>378996312</v>
      </c>
      <c r="J2055">
        <v>58</v>
      </c>
      <c r="K2055">
        <v>43</v>
      </c>
      <c r="L2055">
        <v>1</v>
      </c>
      <c r="M2055" t="s">
        <v>6372</v>
      </c>
    </row>
    <row r="2056" spans="1:13">
      <c r="A2056" t="s">
        <v>3941</v>
      </c>
      <c r="B2056" t="s">
        <v>1857</v>
      </c>
      <c r="C2056">
        <v>40909</v>
      </c>
      <c r="D2056">
        <v>396015053</v>
      </c>
      <c r="E2056">
        <v>93596</v>
      </c>
      <c r="F2056">
        <v>64</v>
      </c>
      <c r="G2056">
        <v>58003262</v>
      </c>
      <c r="H2056">
        <v>606430</v>
      </c>
      <c r="I2056">
        <v>26586947</v>
      </c>
      <c r="J2056">
        <v>56</v>
      </c>
      <c r="K2056">
        <v>3</v>
      </c>
      <c r="L2056">
        <v>1</v>
      </c>
      <c r="M2056" t="s">
        <v>6371</v>
      </c>
    </row>
    <row r="2057" spans="1:13">
      <c r="A2057" t="s">
        <v>6078</v>
      </c>
      <c r="B2057" t="s">
        <v>4688</v>
      </c>
      <c r="C2057">
        <v>43245</v>
      </c>
      <c r="D2057">
        <v>370693139</v>
      </c>
      <c r="E2057">
        <v>52213</v>
      </c>
      <c r="F2057">
        <v>56</v>
      </c>
      <c r="G2057">
        <v>354158650</v>
      </c>
      <c r="H2057">
        <v>2481689</v>
      </c>
      <c r="I2057">
        <v>36764105</v>
      </c>
      <c r="J2057">
        <v>54</v>
      </c>
      <c r="K2057">
        <v>32</v>
      </c>
      <c r="L2057">
        <v>1</v>
      </c>
      <c r="M2057" t="s">
        <v>6371</v>
      </c>
    </row>
    <row r="2058" spans="1:13">
      <c r="A2058" t="s">
        <v>6081</v>
      </c>
      <c r="B2058" t="s">
        <v>642</v>
      </c>
      <c r="C2058">
        <v>45099</v>
      </c>
      <c r="D2058">
        <v>101903591</v>
      </c>
      <c r="E2058">
        <v>22437</v>
      </c>
      <c r="F2058">
        <v>72</v>
      </c>
      <c r="G2058">
        <v>16541095</v>
      </c>
      <c r="H2058">
        <v>130658</v>
      </c>
      <c r="I2058">
        <v>7751938</v>
      </c>
      <c r="J2058">
        <v>29</v>
      </c>
      <c r="K2058">
        <v>801</v>
      </c>
      <c r="L2058">
        <v>0</v>
      </c>
      <c r="M2058" t="s">
        <v>6370</v>
      </c>
    </row>
    <row r="2059" spans="1:13">
      <c r="A2059" t="s">
        <v>6084</v>
      </c>
      <c r="B2059" t="s">
        <v>2131</v>
      </c>
      <c r="C2059">
        <v>42579</v>
      </c>
      <c r="D2059">
        <v>703411626</v>
      </c>
      <c r="E2059">
        <v>95048</v>
      </c>
      <c r="F2059">
        <v>66</v>
      </c>
      <c r="G2059">
        <v>203961378</v>
      </c>
      <c r="H2059">
        <v>1718942</v>
      </c>
      <c r="I2059">
        <v>108839324</v>
      </c>
      <c r="J2059">
        <v>55</v>
      </c>
      <c r="K2059">
        <v>4</v>
      </c>
      <c r="L2059">
        <v>1</v>
      </c>
      <c r="M2059" t="s">
        <v>6371</v>
      </c>
    </row>
    <row r="2060" spans="1:13">
      <c r="A2060" t="s">
        <v>6085</v>
      </c>
      <c r="B2060" t="s">
        <v>6086</v>
      </c>
      <c r="C2060">
        <v>45054</v>
      </c>
      <c r="D2060">
        <v>57239767</v>
      </c>
      <c r="E2060">
        <v>14419</v>
      </c>
      <c r="F2060">
        <v>64</v>
      </c>
      <c r="G2060">
        <v>22415677</v>
      </c>
      <c r="H2060">
        <v>216783</v>
      </c>
      <c r="I2060">
        <v>761631144</v>
      </c>
      <c r="J2060">
        <v>6</v>
      </c>
      <c r="K2060">
        <v>988</v>
      </c>
      <c r="L2060">
        <v>0</v>
      </c>
      <c r="M2060" t="s">
        <v>6370</v>
      </c>
    </row>
    <row r="2061" spans="1:13">
      <c r="A2061" t="s">
        <v>6087</v>
      </c>
      <c r="B2061" t="s">
        <v>6088</v>
      </c>
      <c r="C2061">
        <v>43973</v>
      </c>
      <c r="D2061">
        <v>313507248</v>
      </c>
      <c r="E2061">
        <v>26753</v>
      </c>
      <c r="F2061">
        <v>67</v>
      </c>
      <c r="G2061">
        <v>502937217</v>
      </c>
      <c r="H2061">
        <v>15675718</v>
      </c>
      <c r="I2061">
        <v>4863938</v>
      </c>
      <c r="J2061">
        <v>9</v>
      </c>
      <c r="K2061">
        <v>7</v>
      </c>
      <c r="L2061">
        <v>1</v>
      </c>
      <c r="M2061" t="s">
        <v>6371</v>
      </c>
    </row>
    <row r="2062" spans="1:13">
      <c r="A2062" t="s">
        <v>6089</v>
      </c>
      <c r="B2062" t="s">
        <v>1314</v>
      </c>
      <c r="C2062">
        <v>44390</v>
      </c>
      <c r="D2062">
        <v>232985667</v>
      </c>
      <c r="E2062">
        <v>43893</v>
      </c>
      <c r="F2062">
        <v>62</v>
      </c>
      <c r="G2062">
        <v>244041337</v>
      </c>
      <c r="H2062">
        <v>1787933</v>
      </c>
      <c r="I2062">
        <v>165904891</v>
      </c>
      <c r="J2062">
        <v>19</v>
      </c>
      <c r="K2062">
        <v>120</v>
      </c>
      <c r="L2062">
        <v>0</v>
      </c>
      <c r="M2062" t="s">
        <v>6370</v>
      </c>
    </row>
    <row r="2063" spans="1:13">
      <c r="A2063" t="s">
        <v>220</v>
      </c>
      <c r="B2063" t="s">
        <v>3647</v>
      </c>
      <c r="C2063">
        <v>42342</v>
      </c>
      <c r="D2063">
        <v>1145882592</v>
      </c>
      <c r="E2063">
        <v>139927</v>
      </c>
      <c r="F2063">
        <v>69</v>
      </c>
      <c r="G2063">
        <v>154731955</v>
      </c>
      <c r="H2063">
        <v>772693</v>
      </c>
      <c r="I2063">
        <v>88978424</v>
      </c>
      <c r="J2063">
        <v>143</v>
      </c>
      <c r="K2063">
        <v>16</v>
      </c>
      <c r="L2063">
        <v>0</v>
      </c>
      <c r="M2063" t="s">
        <v>6371</v>
      </c>
    </row>
    <row r="2064" spans="1:13">
      <c r="A2064" t="s">
        <v>6091</v>
      </c>
      <c r="B2064" t="s">
        <v>3672</v>
      </c>
      <c r="C2064">
        <v>44903</v>
      </c>
      <c r="D2064">
        <v>56051407</v>
      </c>
      <c r="E2064">
        <v>25464</v>
      </c>
      <c r="F2064">
        <v>57</v>
      </c>
      <c r="G2064">
        <v>47664500</v>
      </c>
      <c r="H2064">
        <v>494147</v>
      </c>
      <c r="I2064">
        <v>31039886</v>
      </c>
      <c r="J2064">
        <v>10</v>
      </c>
      <c r="K2064">
        <v>89</v>
      </c>
      <c r="L2064">
        <v>1</v>
      </c>
      <c r="M2064" t="s">
        <v>6370</v>
      </c>
    </row>
    <row r="2065" spans="1:13">
      <c r="A2065" t="s">
        <v>6111</v>
      </c>
      <c r="B2065" t="s">
        <v>6112</v>
      </c>
      <c r="C2065">
        <v>40896</v>
      </c>
      <c r="D2065">
        <v>836267192</v>
      </c>
      <c r="E2065">
        <v>170098</v>
      </c>
      <c r="F2065">
        <v>74</v>
      </c>
      <c r="G2065">
        <v>128528493</v>
      </c>
      <c r="H2065">
        <v>1373771</v>
      </c>
      <c r="I2065">
        <v>271659950</v>
      </c>
      <c r="J2065">
        <v>39</v>
      </c>
      <c r="K2065">
        <v>655</v>
      </c>
      <c r="L2065">
        <v>1</v>
      </c>
      <c r="M2065" t="s">
        <v>6371</v>
      </c>
    </row>
    <row r="2066" spans="1:13">
      <c r="A2066" t="s">
        <v>6114</v>
      </c>
      <c r="B2066" t="s">
        <v>6115</v>
      </c>
      <c r="C2066">
        <v>43721</v>
      </c>
      <c r="D2066">
        <v>352268839</v>
      </c>
      <c r="E2066">
        <v>130479</v>
      </c>
      <c r="F2066">
        <v>66</v>
      </c>
      <c r="G2066">
        <v>37251936</v>
      </c>
      <c r="H2066">
        <v>317013</v>
      </c>
      <c r="I2066">
        <v>135688880</v>
      </c>
      <c r="J2066">
        <v>67</v>
      </c>
      <c r="K2066">
        <v>105</v>
      </c>
      <c r="L2066">
        <v>0</v>
      </c>
      <c r="M2066" t="s">
        <v>6371</v>
      </c>
    </row>
    <row r="2067" spans="1:13">
      <c r="A2067" t="s">
        <v>6116</v>
      </c>
      <c r="B2067" t="s">
        <v>6117</v>
      </c>
      <c r="C2067">
        <v>44995</v>
      </c>
      <c r="D2067">
        <v>31705548</v>
      </c>
      <c r="E2067">
        <v>4773</v>
      </c>
      <c r="F2067">
        <v>50</v>
      </c>
      <c r="G2067">
        <v>11529302</v>
      </c>
      <c r="H2067">
        <v>87129</v>
      </c>
      <c r="I2067">
        <v>1709288</v>
      </c>
      <c r="J2067">
        <v>8</v>
      </c>
      <c r="K2067">
        <v>7</v>
      </c>
      <c r="L2067">
        <v>0</v>
      </c>
      <c r="M2067" t="s">
        <v>6370</v>
      </c>
    </row>
    <row r="2068" spans="1:13">
      <c r="A2068" t="s">
        <v>6121</v>
      </c>
      <c r="B2068" t="s">
        <v>1676</v>
      </c>
      <c r="C2068">
        <v>44358</v>
      </c>
      <c r="D2068">
        <v>58539080</v>
      </c>
      <c r="E2068">
        <v>21823</v>
      </c>
      <c r="F2068">
        <v>49</v>
      </c>
      <c r="G2068">
        <v>93406018</v>
      </c>
      <c r="H2068">
        <v>908614</v>
      </c>
      <c r="I2068">
        <v>122233226</v>
      </c>
      <c r="J2068">
        <v>34</v>
      </c>
      <c r="K2068">
        <v>245</v>
      </c>
      <c r="L2068">
        <v>1</v>
      </c>
      <c r="M2068" t="s">
        <v>6370</v>
      </c>
    </row>
    <row r="2069" spans="1:13">
      <c r="A2069" t="s">
        <v>6133</v>
      </c>
      <c r="B2069" t="s">
        <v>546</v>
      </c>
      <c r="C2069">
        <v>45098</v>
      </c>
      <c r="D2069">
        <v>68598656</v>
      </c>
      <c r="E2069">
        <v>27448</v>
      </c>
      <c r="F2069">
        <v>59</v>
      </c>
      <c r="G2069">
        <v>11390626</v>
      </c>
      <c r="H2069">
        <v>162262</v>
      </c>
      <c r="I2069">
        <v>190551</v>
      </c>
      <c r="J2069">
        <v>31</v>
      </c>
      <c r="K2069">
        <v>40</v>
      </c>
      <c r="L2069">
        <v>1</v>
      </c>
      <c r="M2069" t="s">
        <v>6370</v>
      </c>
    </row>
    <row r="2070" spans="1:13">
      <c r="A2070" t="s">
        <v>6137</v>
      </c>
      <c r="B2070" t="s">
        <v>1330</v>
      </c>
      <c r="C2070">
        <v>44519</v>
      </c>
      <c r="D2070">
        <v>80899019</v>
      </c>
      <c r="E2070">
        <v>14613</v>
      </c>
      <c r="F2070">
        <v>53</v>
      </c>
      <c r="G2070">
        <v>68620784</v>
      </c>
      <c r="H2070">
        <v>468664</v>
      </c>
      <c r="I2070">
        <v>116447096</v>
      </c>
      <c r="J2070">
        <v>11</v>
      </c>
      <c r="K2070">
        <v>91</v>
      </c>
      <c r="L2070">
        <v>0</v>
      </c>
      <c r="M2070" t="s">
        <v>6370</v>
      </c>
    </row>
    <row r="2071" spans="1:13">
      <c r="A2071" t="s">
        <v>6142</v>
      </c>
      <c r="B2071" t="s">
        <v>449</v>
      </c>
      <c r="C2071">
        <v>45044</v>
      </c>
      <c r="D2071">
        <v>70601620</v>
      </c>
      <c r="E2071">
        <v>32101</v>
      </c>
      <c r="F2071">
        <v>60</v>
      </c>
      <c r="G2071">
        <v>7241759</v>
      </c>
      <c r="H2071">
        <v>93111</v>
      </c>
      <c r="I2071">
        <v>21009932</v>
      </c>
      <c r="J2071">
        <v>10</v>
      </c>
      <c r="K2071">
        <v>51</v>
      </c>
      <c r="L2071">
        <v>1</v>
      </c>
      <c r="M2071" t="s">
        <v>6370</v>
      </c>
    </row>
    <row r="2072" spans="1:13">
      <c r="A2072" t="s">
        <v>6143</v>
      </c>
      <c r="B2072" t="s">
        <v>258</v>
      </c>
      <c r="C2072">
        <v>41712</v>
      </c>
      <c r="D2072">
        <v>125560682</v>
      </c>
      <c r="E2072">
        <v>17633</v>
      </c>
      <c r="F2072">
        <v>55</v>
      </c>
      <c r="G2072">
        <v>1315361520</v>
      </c>
      <c r="H2072">
        <v>7019819</v>
      </c>
      <c r="I2072">
        <v>1601097526</v>
      </c>
      <c r="J2072">
        <v>11</v>
      </c>
      <c r="K2072">
        <v>102</v>
      </c>
      <c r="L2072">
        <v>0</v>
      </c>
      <c r="M2072" t="s">
        <v>6371</v>
      </c>
    </row>
    <row r="2073" spans="1:13">
      <c r="A2073" t="s">
        <v>6144</v>
      </c>
      <c r="B2073" t="s">
        <v>1445</v>
      </c>
      <c r="C2073">
        <v>44862</v>
      </c>
      <c r="D2073">
        <v>223341848</v>
      </c>
      <c r="E2073">
        <v>34131</v>
      </c>
      <c r="F2073">
        <v>67</v>
      </c>
      <c r="G2073">
        <v>12260201</v>
      </c>
      <c r="H2073">
        <v>167404</v>
      </c>
      <c r="I2073">
        <v>589269507</v>
      </c>
      <c r="J2073">
        <v>3</v>
      </c>
      <c r="K2073">
        <v>397</v>
      </c>
      <c r="L2073">
        <v>0</v>
      </c>
      <c r="M2073" t="s">
        <v>6370</v>
      </c>
    </row>
    <row r="2074" spans="1:13">
      <c r="A2074" t="s">
        <v>6146</v>
      </c>
      <c r="B2074" t="s">
        <v>311</v>
      </c>
      <c r="C2074">
        <v>44428</v>
      </c>
      <c r="D2074">
        <v>392730501</v>
      </c>
      <c r="E2074">
        <v>43113</v>
      </c>
      <c r="F2074">
        <v>65</v>
      </c>
      <c r="G2074">
        <v>56656911</v>
      </c>
      <c r="H2074">
        <v>851302</v>
      </c>
      <c r="I2074">
        <v>284633385</v>
      </c>
      <c r="J2074">
        <v>52</v>
      </c>
      <c r="K2074">
        <v>39</v>
      </c>
      <c r="L2074">
        <v>0</v>
      </c>
      <c r="M2074" t="s">
        <v>6370</v>
      </c>
    </row>
    <row r="2075" spans="1:13">
      <c r="A2075" t="s">
        <v>6150</v>
      </c>
      <c r="B2075" t="s">
        <v>805</v>
      </c>
      <c r="C2075">
        <v>44980</v>
      </c>
      <c r="D2075">
        <v>96288883</v>
      </c>
      <c r="E2075">
        <v>37394</v>
      </c>
      <c r="F2075">
        <v>63</v>
      </c>
      <c r="G2075">
        <v>8545326</v>
      </c>
      <c r="H2075">
        <v>113402</v>
      </c>
      <c r="I2075">
        <v>2917500</v>
      </c>
      <c r="J2075">
        <v>10</v>
      </c>
      <c r="K2075">
        <v>4</v>
      </c>
      <c r="L2075">
        <v>1</v>
      </c>
      <c r="M2075" t="s">
        <v>6370</v>
      </c>
    </row>
    <row r="2076" spans="1:13">
      <c r="A2076" t="s">
        <v>6151</v>
      </c>
      <c r="B2076" t="s">
        <v>6152</v>
      </c>
      <c r="C2076">
        <v>44713</v>
      </c>
      <c r="D2076">
        <v>33278200</v>
      </c>
      <c r="E2076">
        <v>10186</v>
      </c>
      <c r="F2076">
        <v>50</v>
      </c>
      <c r="G2076">
        <v>4962879</v>
      </c>
      <c r="H2076">
        <v>74982</v>
      </c>
      <c r="I2076">
        <v>2885085148</v>
      </c>
      <c r="J2076">
        <v>3</v>
      </c>
      <c r="K2076">
        <v>534</v>
      </c>
      <c r="L2076">
        <v>0</v>
      </c>
      <c r="M2076" t="s">
        <v>6370</v>
      </c>
    </row>
    <row r="2077" spans="1:13">
      <c r="A2077" t="s">
        <v>6153</v>
      </c>
      <c r="B2077" t="s">
        <v>6154</v>
      </c>
      <c r="C2077">
        <v>42342</v>
      </c>
      <c r="D2077">
        <v>563467499</v>
      </c>
      <c r="E2077">
        <v>38743</v>
      </c>
      <c r="F2077">
        <v>72</v>
      </c>
      <c r="G2077">
        <v>1000321872</v>
      </c>
      <c r="H2077">
        <v>4630509</v>
      </c>
      <c r="I2077">
        <v>490277819</v>
      </c>
      <c r="J2077">
        <v>22</v>
      </c>
      <c r="K2077">
        <v>8</v>
      </c>
      <c r="L2077">
        <v>0</v>
      </c>
      <c r="M2077" t="s">
        <v>6371</v>
      </c>
    </row>
    <row r="2078" spans="1:13">
      <c r="A2078" t="s">
        <v>6170</v>
      </c>
      <c r="B2078" t="s">
        <v>4067</v>
      </c>
      <c r="C2078">
        <v>45299</v>
      </c>
      <c r="D2078">
        <v>41904754</v>
      </c>
      <c r="E2078">
        <v>3228</v>
      </c>
      <c r="F2078">
        <v>11</v>
      </c>
      <c r="G2078">
        <v>48108686</v>
      </c>
      <c r="H2078">
        <v>927978</v>
      </c>
      <c r="I2078">
        <v>17167500</v>
      </c>
      <c r="J2078">
        <v>11</v>
      </c>
      <c r="K2078">
        <v>5</v>
      </c>
      <c r="L2078">
        <v>0</v>
      </c>
      <c r="M2078" t="s">
        <v>6370</v>
      </c>
    </row>
    <row r="2079" spans="1:13">
      <c r="A2079" t="s">
        <v>6173</v>
      </c>
      <c r="B2079" t="s">
        <v>236</v>
      </c>
      <c r="C2079">
        <v>43315</v>
      </c>
      <c r="D2079">
        <v>646744185</v>
      </c>
      <c r="E2079">
        <v>131213</v>
      </c>
      <c r="F2079">
        <v>68</v>
      </c>
      <c r="G2079">
        <v>161578216</v>
      </c>
      <c r="H2079">
        <v>1576117</v>
      </c>
      <c r="I2079">
        <v>25055075</v>
      </c>
      <c r="J2079">
        <v>44</v>
      </c>
      <c r="K2079">
        <v>47</v>
      </c>
      <c r="L2079">
        <v>1</v>
      </c>
      <c r="M2079" t="s">
        <v>6371</v>
      </c>
    </row>
    <row r="2080" spans="1:13">
      <c r="A2080" t="s">
        <v>6175</v>
      </c>
      <c r="B2080" t="s">
        <v>2004</v>
      </c>
      <c r="C2080">
        <v>42748</v>
      </c>
      <c r="D2080">
        <v>476546062</v>
      </c>
      <c r="E2080">
        <v>81971</v>
      </c>
      <c r="F2080">
        <v>59</v>
      </c>
      <c r="G2080">
        <v>411585032</v>
      </c>
      <c r="H2080">
        <v>2754105</v>
      </c>
      <c r="I2080">
        <v>81330455</v>
      </c>
      <c r="J2080">
        <v>130</v>
      </c>
      <c r="K2080">
        <v>15</v>
      </c>
      <c r="L2080">
        <v>1</v>
      </c>
      <c r="M2080" t="s">
        <v>6371</v>
      </c>
    </row>
    <row r="2081" spans="1:13">
      <c r="A2081" t="s">
        <v>6179</v>
      </c>
      <c r="B2081" t="s">
        <v>1262</v>
      </c>
      <c r="C2081">
        <v>43749</v>
      </c>
      <c r="D2081">
        <v>184488165</v>
      </c>
      <c r="E2081">
        <v>22640</v>
      </c>
      <c r="F2081">
        <v>59</v>
      </c>
      <c r="G2081">
        <v>220205995</v>
      </c>
      <c r="H2081">
        <v>1704011</v>
      </c>
      <c r="I2081">
        <v>22309447</v>
      </c>
      <c r="J2081">
        <v>8</v>
      </c>
      <c r="K2081">
        <v>48</v>
      </c>
      <c r="L2081">
        <v>0</v>
      </c>
      <c r="M2081" t="s">
        <v>6371</v>
      </c>
    </row>
    <row r="2082" spans="1:13">
      <c r="A2082" t="s">
        <v>6180</v>
      </c>
      <c r="B2082" t="s">
        <v>6181</v>
      </c>
      <c r="C2082">
        <v>41411</v>
      </c>
      <c r="D2082">
        <v>587054803</v>
      </c>
      <c r="E2082">
        <v>130991</v>
      </c>
      <c r="F2082">
        <v>70</v>
      </c>
      <c r="G2082">
        <v>830977726</v>
      </c>
      <c r="H2082">
        <v>4575683</v>
      </c>
      <c r="I2082">
        <v>82939552</v>
      </c>
      <c r="J2082">
        <v>74</v>
      </c>
      <c r="K2082">
        <v>1</v>
      </c>
      <c r="L2082">
        <v>0</v>
      </c>
      <c r="M2082" t="s">
        <v>6371</v>
      </c>
    </row>
    <row r="2083" spans="1:13">
      <c r="A2083" t="s">
        <v>6182</v>
      </c>
      <c r="B2083" t="s">
        <v>6183</v>
      </c>
      <c r="C2083">
        <v>42713</v>
      </c>
      <c r="D2083">
        <v>597591280</v>
      </c>
      <c r="E2083">
        <v>136878</v>
      </c>
      <c r="F2083">
        <v>74</v>
      </c>
      <c r="G2083">
        <v>105282082</v>
      </c>
      <c r="H2083">
        <v>1803716</v>
      </c>
      <c r="I2083">
        <v>1487039791</v>
      </c>
      <c r="J2083">
        <v>15</v>
      </c>
      <c r="K2083">
        <v>10</v>
      </c>
      <c r="L2083">
        <v>0</v>
      </c>
      <c r="M2083" t="s">
        <v>6371</v>
      </c>
    </row>
    <row r="2084" spans="1:13">
      <c r="A2084" t="s">
        <v>6188</v>
      </c>
      <c r="B2084" t="s">
        <v>2402</v>
      </c>
      <c r="C2084">
        <v>40179</v>
      </c>
      <c r="D2084">
        <v>210904340</v>
      </c>
      <c r="E2084">
        <v>32972</v>
      </c>
      <c r="F2084">
        <v>66</v>
      </c>
      <c r="G2084">
        <v>1096124254</v>
      </c>
      <c r="H2084">
        <v>3571813</v>
      </c>
      <c r="I2084">
        <v>22688824</v>
      </c>
      <c r="J2084">
        <v>11</v>
      </c>
      <c r="K2084">
        <v>30</v>
      </c>
      <c r="L2084">
        <v>0</v>
      </c>
      <c r="M2084" t="s">
        <v>6371</v>
      </c>
    </row>
    <row r="2085" spans="1:13">
      <c r="A2085" t="s">
        <v>6189</v>
      </c>
      <c r="B2085" t="s">
        <v>576</v>
      </c>
      <c r="C2085">
        <v>43749</v>
      </c>
      <c r="D2085">
        <v>189969086</v>
      </c>
      <c r="E2085">
        <v>27387</v>
      </c>
      <c r="F2085">
        <v>54</v>
      </c>
      <c r="G2085">
        <v>474789534</v>
      </c>
      <c r="H2085">
        <v>3191466</v>
      </c>
      <c r="I2085">
        <v>252838869</v>
      </c>
      <c r="J2085">
        <v>42</v>
      </c>
      <c r="K2085">
        <v>108</v>
      </c>
      <c r="L2085">
        <v>0</v>
      </c>
      <c r="M2085" t="s">
        <v>6371</v>
      </c>
    </row>
    <row r="2086" spans="1:13">
      <c r="A2086" t="s">
        <v>6190</v>
      </c>
      <c r="B2086" t="s">
        <v>6191</v>
      </c>
      <c r="C2086">
        <v>44267</v>
      </c>
      <c r="D2086">
        <v>87813373</v>
      </c>
      <c r="E2086">
        <v>35497</v>
      </c>
      <c r="F2086">
        <v>51</v>
      </c>
      <c r="G2086">
        <v>22158547</v>
      </c>
      <c r="H2086">
        <v>645841</v>
      </c>
      <c r="I2086">
        <v>3050656195</v>
      </c>
      <c r="J2086">
        <v>15</v>
      </c>
      <c r="K2086">
        <v>147</v>
      </c>
      <c r="L2086">
        <v>1</v>
      </c>
      <c r="M2086" t="s">
        <v>6370</v>
      </c>
    </row>
    <row r="2087" spans="1:13">
      <c r="A2087" t="s">
        <v>6206</v>
      </c>
      <c r="B2087" t="s">
        <v>6207</v>
      </c>
      <c r="C2087">
        <v>43607</v>
      </c>
      <c r="D2087">
        <v>304588030</v>
      </c>
      <c r="E2087">
        <v>27312</v>
      </c>
      <c r="F2087">
        <v>63</v>
      </c>
      <c r="G2087">
        <v>536055555</v>
      </c>
      <c r="H2087">
        <v>5342216</v>
      </c>
      <c r="I2087">
        <v>48485307</v>
      </c>
      <c r="J2087">
        <v>41</v>
      </c>
      <c r="K2087">
        <v>184</v>
      </c>
      <c r="L2087">
        <v>0</v>
      </c>
      <c r="M2087" t="s">
        <v>6371</v>
      </c>
    </row>
    <row r="2088" spans="1:13">
      <c r="A2088" t="s">
        <v>6209</v>
      </c>
      <c r="B2088" t="s">
        <v>6057</v>
      </c>
      <c r="C2088">
        <v>42080</v>
      </c>
      <c r="D2088">
        <v>785571181</v>
      </c>
      <c r="E2088">
        <v>131703</v>
      </c>
      <c r="F2088">
        <v>70</v>
      </c>
      <c r="G2088">
        <v>492974141</v>
      </c>
      <c r="H2088">
        <v>3162813</v>
      </c>
      <c r="I2088">
        <v>74904030</v>
      </c>
      <c r="J2088">
        <v>96</v>
      </c>
      <c r="K2088">
        <v>279</v>
      </c>
      <c r="L2088">
        <v>0</v>
      </c>
      <c r="M2088" t="s">
        <v>6371</v>
      </c>
    </row>
    <row r="2089" spans="1:13">
      <c r="A2089" t="s">
        <v>6210</v>
      </c>
      <c r="B2089" t="s">
        <v>5102</v>
      </c>
      <c r="C2089">
        <v>38846</v>
      </c>
      <c r="D2089">
        <v>1070374387</v>
      </c>
      <c r="E2089">
        <v>203821</v>
      </c>
      <c r="F2089">
        <v>74</v>
      </c>
      <c r="G2089">
        <v>710124074</v>
      </c>
      <c r="H2089">
        <v>3609104</v>
      </c>
      <c r="I2089">
        <v>835564684</v>
      </c>
      <c r="J2089">
        <v>22</v>
      </c>
      <c r="K2089">
        <v>31</v>
      </c>
      <c r="L2089">
        <v>0</v>
      </c>
      <c r="M2089" t="s">
        <v>6372</v>
      </c>
    </row>
    <row r="2090" spans="1:13">
      <c r="A2090" t="s">
        <v>6212</v>
      </c>
      <c r="B2090" t="s">
        <v>1680</v>
      </c>
      <c r="C2090">
        <v>40544</v>
      </c>
      <c r="D2090">
        <v>531877344</v>
      </c>
      <c r="E2090">
        <v>113502</v>
      </c>
      <c r="F2090">
        <v>69</v>
      </c>
      <c r="G2090">
        <v>887185779</v>
      </c>
      <c r="H2090">
        <v>5742922</v>
      </c>
      <c r="I2090">
        <v>478863160</v>
      </c>
      <c r="J2090">
        <v>21</v>
      </c>
      <c r="K2090">
        <v>4</v>
      </c>
      <c r="L2090">
        <v>1</v>
      </c>
      <c r="M2090" t="s">
        <v>6371</v>
      </c>
    </row>
    <row r="2091" spans="1:13">
      <c r="A2091" t="s">
        <v>6224</v>
      </c>
      <c r="B2091" t="s">
        <v>367</v>
      </c>
      <c r="C2091">
        <v>43777</v>
      </c>
      <c r="D2091">
        <v>557921212</v>
      </c>
      <c r="E2091">
        <v>56240</v>
      </c>
      <c r="F2091">
        <v>64</v>
      </c>
      <c r="G2091">
        <v>61717959</v>
      </c>
      <c r="H2091">
        <v>619110</v>
      </c>
      <c r="I2091">
        <v>41811499</v>
      </c>
      <c r="J2091">
        <v>73</v>
      </c>
      <c r="K2091">
        <v>338</v>
      </c>
      <c r="L2091">
        <v>1</v>
      </c>
      <c r="M2091" t="s">
        <v>6371</v>
      </c>
    </row>
    <row r="2092" spans="1:13">
      <c r="A2092" t="s">
        <v>6227</v>
      </c>
      <c r="B2092" t="s">
        <v>360</v>
      </c>
      <c r="C2092">
        <v>44617</v>
      </c>
      <c r="D2092">
        <v>194708224</v>
      </c>
      <c r="E2092">
        <v>32664</v>
      </c>
      <c r="F2092">
        <v>61</v>
      </c>
      <c r="G2092">
        <v>20154009</v>
      </c>
      <c r="H2092">
        <v>183170</v>
      </c>
      <c r="I2092">
        <v>29481029</v>
      </c>
      <c r="J2092">
        <v>54</v>
      </c>
      <c r="K2092">
        <v>40</v>
      </c>
      <c r="L2092">
        <v>0</v>
      </c>
      <c r="M2092" t="s">
        <v>6370</v>
      </c>
    </row>
    <row r="2093" spans="1:13">
      <c r="A2093" t="s">
        <v>6231</v>
      </c>
      <c r="B2093" t="s">
        <v>2220</v>
      </c>
      <c r="C2093">
        <v>42674</v>
      </c>
      <c r="D2093">
        <v>711322702</v>
      </c>
      <c r="E2093">
        <v>98581</v>
      </c>
      <c r="F2093">
        <v>61</v>
      </c>
      <c r="G2093">
        <v>25097411</v>
      </c>
      <c r="H2093">
        <v>287379</v>
      </c>
      <c r="I2093">
        <v>90486354</v>
      </c>
      <c r="J2093">
        <v>144</v>
      </c>
      <c r="K2093">
        <v>122</v>
      </c>
      <c r="L2093">
        <v>1</v>
      </c>
      <c r="M2093" t="s">
        <v>6371</v>
      </c>
    </row>
    <row r="2094" spans="1:13">
      <c r="A2094" t="s">
        <v>6237</v>
      </c>
      <c r="B2094" t="s">
        <v>772</v>
      </c>
      <c r="C2094">
        <v>40179</v>
      </c>
      <c r="D2094">
        <v>855080751</v>
      </c>
      <c r="E2094">
        <v>112252</v>
      </c>
      <c r="F2094">
        <v>74</v>
      </c>
      <c r="G2094">
        <v>1308913092</v>
      </c>
      <c r="H2094">
        <v>7034253</v>
      </c>
      <c r="I2094">
        <v>466335090</v>
      </c>
      <c r="J2094">
        <v>89</v>
      </c>
      <c r="K2094">
        <v>247</v>
      </c>
      <c r="L2094">
        <v>1</v>
      </c>
      <c r="M2094" t="s">
        <v>6371</v>
      </c>
    </row>
    <row r="2095" spans="1:13">
      <c r="A2095" t="s">
        <v>6238</v>
      </c>
      <c r="B2095" t="s">
        <v>5167</v>
      </c>
      <c r="C2095">
        <v>41640</v>
      </c>
      <c r="D2095">
        <v>501915477</v>
      </c>
      <c r="E2095">
        <v>87258</v>
      </c>
      <c r="F2095">
        <v>66</v>
      </c>
      <c r="G2095">
        <v>317068971</v>
      </c>
      <c r="H2095">
        <v>2821803</v>
      </c>
      <c r="I2095">
        <v>29687816</v>
      </c>
      <c r="J2095">
        <v>119</v>
      </c>
      <c r="K2095">
        <v>240</v>
      </c>
      <c r="L2095">
        <v>0</v>
      </c>
      <c r="M2095" t="s">
        <v>6371</v>
      </c>
    </row>
    <row r="2096" spans="1:13">
      <c r="A2096" t="s">
        <v>6239</v>
      </c>
      <c r="B2096" t="s">
        <v>3088</v>
      </c>
      <c r="C2096">
        <v>42942</v>
      </c>
      <c r="D2096">
        <v>180051347</v>
      </c>
      <c r="E2096">
        <v>22760</v>
      </c>
      <c r="F2096">
        <v>52</v>
      </c>
      <c r="G2096">
        <v>14546112</v>
      </c>
      <c r="H2096">
        <v>287534</v>
      </c>
      <c r="I2096">
        <v>985761413</v>
      </c>
      <c r="J2096">
        <v>3</v>
      </c>
      <c r="K2096">
        <v>29</v>
      </c>
      <c r="L2096">
        <v>0</v>
      </c>
      <c r="M2096" t="s">
        <v>6371</v>
      </c>
    </row>
    <row r="2097" spans="1:13">
      <c r="A2097" t="s">
        <v>6247</v>
      </c>
      <c r="B2097" t="s">
        <v>6248</v>
      </c>
      <c r="C2097">
        <v>43278</v>
      </c>
      <c r="D2097">
        <v>211581810</v>
      </c>
      <c r="E2097">
        <v>29803</v>
      </c>
      <c r="F2097">
        <v>63</v>
      </c>
      <c r="G2097">
        <v>137544172</v>
      </c>
      <c r="H2097">
        <v>1154680</v>
      </c>
      <c r="I2097">
        <v>3149064834</v>
      </c>
      <c r="J2097">
        <v>13</v>
      </c>
      <c r="K2097">
        <v>1</v>
      </c>
      <c r="L2097">
        <v>0</v>
      </c>
      <c r="M2097" t="s">
        <v>6371</v>
      </c>
    </row>
    <row r="2098" spans="1:13">
      <c r="A2098" t="s">
        <v>6249</v>
      </c>
      <c r="B2098" t="s">
        <v>51</v>
      </c>
      <c r="C2098">
        <v>44386</v>
      </c>
      <c r="D2098">
        <v>333792226</v>
      </c>
      <c r="E2098">
        <v>59316</v>
      </c>
      <c r="F2098">
        <v>70</v>
      </c>
      <c r="G2098">
        <v>82079675</v>
      </c>
      <c r="H2098">
        <v>2306717</v>
      </c>
      <c r="I2098">
        <v>536488373</v>
      </c>
      <c r="J2098">
        <v>80</v>
      </c>
      <c r="K2098">
        <v>103</v>
      </c>
      <c r="L2098">
        <v>1</v>
      </c>
      <c r="M2098" t="s">
        <v>6370</v>
      </c>
    </row>
    <row r="2099" spans="1:13">
      <c r="A2099" t="s">
        <v>6252</v>
      </c>
      <c r="B2099" t="s">
        <v>3428</v>
      </c>
      <c r="C2099">
        <v>44593</v>
      </c>
      <c r="D2099">
        <v>231523576</v>
      </c>
      <c r="E2099">
        <v>35530</v>
      </c>
      <c r="F2099">
        <v>58</v>
      </c>
      <c r="G2099">
        <v>173364125</v>
      </c>
      <c r="H2099">
        <v>1394374</v>
      </c>
      <c r="I2099">
        <v>2321734</v>
      </c>
      <c r="J2099">
        <v>31</v>
      </c>
      <c r="K2099">
        <v>4</v>
      </c>
      <c r="L2099">
        <v>0</v>
      </c>
      <c r="M2099" t="s">
        <v>6370</v>
      </c>
    </row>
    <row r="2100" spans="1:13">
      <c r="A2100" t="s">
        <v>6253</v>
      </c>
      <c r="B2100" t="s">
        <v>860</v>
      </c>
      <c r="C2100">
        <v>44155</v>
      </c>
      <c r="D2100">
        <v>208151054</v>
      </c>
      <c r="E2100">
        <v>38294</v>
      </c>
      <c r="F2100">
        <v>59</v>
      </c>
      <c r="G2100">
        <v>218386390</v>
      </c>
      <c r="H2100">
        <v>2462386</v>
      </c>
      <c r="I2100">
        <v>2020694174</v>
      </c>
      <c r="J2100">
        <v>4</v>
      </c>
      <c r="K2100">
        <v>160</v>
      </c>
      <c r="L2100">
        <v>1</v>
      </c>
      <c r="M2100" t="s">
        <v>6371</v>
      </c>
    </row>
    <row r="2101" spans="1:13">
      <c r="A2101" t="s">
        <v>6258</v>
      </c>
      <c r="B2101" t="s">
        <v>2590</v>
      </c>
      <c r="C2101">
        <v>44589</v>
      </c>
      <c r="D2101">
        <v>59929910</v>
      </c>
      <c r="E2101">
        <v>13316</v>
      </c>
      <c r="F2101">
        <v>56</v>
      </c>
      <c r="G2101">
        <v>87393499</v>
      </c>
      <c r="H2101">
        <v>637357</v>
      </c>
      <c r="I2101">
        <v>36200780</v>
      </c>
      <c r="J2101">
        <v>18</v>
      </c>
      <c r="K2101">
        <v>428</v>
      </c>
      <c r="L2101">
        <v>1</v>
      </c>
      <c r="M2101" t="s">
        <v>6370</v>
      </c>
    </row>
    <row r="2102" spans="1:13">
      <c r="A2102" t="s">
        <v>6259</v>
      </c>
      <c r="B2102" t="s">
        <v>2004</v>
      </c>
      <c r="C2102">
        <v>42762</v>
      </c>
      <c r="D2102">
        <v>599318070</v>
      </c>
      <c r="E2102">
        <v>101794</v>
      </c>
      <c r="F2102">
        <v>61</v>
      </c>
      <c r="G2102">
        <v>115314262</v>
      </c>
      <c r="H2102">
        <v>913087</v>
      </c>
      <c r="I2102">
        <v>48083562</v>
      </c>
      <c r="J2102">
        <v>64</v>
      </c>
      <c r="K2102">
        <v>74</v>
      </c>
      <c r="L2102">
        <v>1</v>
      </c>
      <c r="M2102" t="s">
        <v>6371</v>
      </c>
    </row>
    <row r="2103" spans="1:13">
      <c r="A2103" t="s">
        <v>6260</v>
      </c>
      <c r="B2103" t="s">
        <v>355</v>
      </c>
      <c r="C2103">
        <v>44393</v>
      </c>
      <c r="D2103">
        <v>156697759</v>
      </c>
      <c r="E2103">
        <v>69258</v>
      </c>
      <c r="F2103">
        <v>62</v>
      </c>
      <c r="G2103">
        <v>59647655</v>
      </c>
      <c r="H2103">
        <v>736873</v>
      </c>
      <c r="I2103">
        <v>54292475</v>
      </c>
      <c r="J2103">
        <v>40</v>
      </c>
      <c r="K2103">
        <v>1076</v>
      </c>
      <c r="L2103">
        <v>1</v>
      </c>
      <c r="M2103" t="s">
        <v>6370</v>
      </c>
    </row>
    <row r="2104" spans="1:13">
      <c r="A2104" t="s">
        <v>6261</v>
      </c>
      <c r="B2104" t="s">
        <v>6088</v>
      </c>
      <c r="C2104">
        <v>45037</v>
      </c>
      <c r="D2104">
        <v>285039741</v>
      </c>
      <c r="E2104">
        <v>8884</v>
      </c>
      <c r="F2104">
        <v>75</v>
      </c>
      <c r="G2104">
        <v>80959733</v>
      </c>
      <c r="H2104">
        <v>5337877</v>
      </c>
      <c r="I2104">
        <v>528452231</v>
      </c>
      <c r="J2104">
        <v>14</v>
      </c>
      <c r="K2104">
        <v>40</v>
      </c>
      <c r="L2104">
        <v>0</v>
      </c>
      <c r="M2104" t="s">
        <v>6370</v>
      </c>
    </row>
    <row r="2105" spans="1:13">
      <c r="A2105" t="s">
        <v>6265</v>
      </c>
      <c r="B2105" t="s">
        <v>19</v>
      </c>
      <c r="C2105">
        <v>44689</v>
      </c>
      <c r="D2105">
        <v>89806639</v>
      </c>
      <c r="E2105">
        <v>41371</v>
      </c>
      <c r="F2105">
        <v>59</v>
      </c>
      <c r="G2105">
        <v>55825164</v>
      </c>
      <c r="H2105">
        <v>2131185</v>
      </c>
      <c r="I2105">
        <v>49727704</v>
      </c>
      <c r="J2105">
        <v>21</v>
      </c>
      <c r="K2105">
        <v>28</v>
      </c>
      <c r="L2105">
        <v>1</v>
      </c>
      <c r="M2105" t="s">
        <v>6370</v>
      </c>
    </row>
    <row r="2106" spans="1:13">
      <c r="A2106" t="s">
        <v>6266</v>
      </c>
      <c r="B2106" t="s">
        <v>170</v>
      </c>
      <c r="C2106">
        <v>42860</v>
      </c>
      <c r="D2106">
        <v>365062854</v>
      </c>
      <c r="E2106">
        <v>18085</v>
      </c>
      <c r="F2106">
        <v>71</v>
      </c>
      <c r="G2106">
        <v>893949453</v>
      </c>
      <c r="H2106">
        <v>3847991</v>
      </c>
      <c r="I2106">
        <v>109160109</v>
      </c>
      <c r="J2106">
        <v>20</v>
      </c>
      <c r="K2106">
        <v>32</v>
      </c>
      <c r="L2106">
        <v>0</v>
      </c>
      <c r="M2106" t="s">
        <v>6371</v>
      </c>
    </row>
    <row r="2107" spans="1:13">
      <c r="A2107" t="s">
        <v>4351</v>
      </c>
      <c r="B2107" t="s">
        <v>4352</v>
      </c>
      <c r="C2107">
        <v>33505</v>
      </c>
      <c r="D2107">
        <v>2021910364</v>
      </c>
      <c r="E2107">
        <v>410054</v>
      </c>
      <c r="F2107">
        <v>77</v>
      </c>
      <c r="G2107">
        <v>348081676</v>
      </c>
      <c r="H2107">
        <v>4710499</v>
      </c>
      <c r="I2107">
        <v>720283921</v>
      </c>
      <c r="J2107">
        <v>287</v>
      </c>
      <c r="K2107">
        <v>287</v>
      </c>
      <c r="L2107">
        <v>0</v>
      </c>
      <c r="M2107" t="s">
        <v>6372</v>
      </c>
    </row>
    <row r="2108" spans="1:13">
      <c r="A2108" t="s">
        <v>6271</v>
      </c>
      <c r="B2108" t="s">
        <v>6272</v>
      </c>
      <c r="C2108">
        <v>44785</v>
      </c>
      <c r="D2108">
        <v>59038013</v>
      </c>
      <c r="E2108">
        <v>22057</v>
      </c>
      <c r="F2108">
        <v>56</v>
      </c>
      <c r="G2108">
        <v>67576838</v>
      </c>
      <c r="H2108">
        <v>510771</v>
      </c>
      <c r="I2108">
        <v>549768980</v>
      </c>
      <c r="J2108">
        <v>16</v>
      </c>
      <c r="K2108">
        <v>1278</v>
      </c>
      <c r="L2108">
        <v>1</v>
      </c>
      <c r="M2108" t="s">
        <v>6370</v>
      </c>
    </row>
    <row r="2109" spans="1:13">
      <c r="A2109" t="s">
        <v>6273</v>
      </c>
      <c r="B2109" t="s">
        <v>4067</v>
      </c>
      <c r="C2109">
        <v>44316</v>
      </c>
      <c r="D2109">
        <v>205110323</v>
      </c>
      <c r="E2109">
        <v>21243</v>
      </c>
      <c r="F2109">
        <v>60</v>
      </c>
      <c r="G2109">
        <v>371693639</v>
      </c>
      <c r="H2109">
        <v>6571826</v>
      </c>
      <c r="I2109">
        <v>550643662</v>
      </c>
      <c r="J2109">
        <v>18</v>
      </c>
      <c r="K2109">
        <v>52</v>
      </c>
      <c r="L2109">
        <v>0</v>
      </c>
      <c r="M2109" t="s">
        <v>6370</v>
      </c>
    </row>
    <row r="2110" spans="1:13">
      <c r="A2110" t="s">
        <v>6274</v>
      </c>
      <c r="B2110" t="s">
        <v>6275</v>
      </c>
      <c r="C2110">
        <v>43985</v>
      </c>
      <c r="D2110">
        <v>231981539</v>
      </c>
      <c r="E2110">
        <v>50016</v>
      </c>
      <c r="F2110">
        <v>61</v>
      </c>
      <c r="G2110">
        <v>102609103</v>
      </c>
      <c r="H2110">
        <v>964398</v>
      </c>
      <c r="I2110">
        <v>3294902834</v>
      </c>
      <c r="J2110">
        <v>6</v>
      </c>
      <c r="K2110">
        <v>39</v>
      </c>
      <c r="L2110">
        <v>1</v>
      </c>
      <c r="M2110" t="s">
        <v>6371</v>
      </c>
    </row>
    <row r="2111" spans="1:13">
      <c r="A2111" t="s">
        <v>6278</v>
      </c>
      <c r="B2111" t="s">
        <v>1412</v>
      </c>
      <c r="C2111">
        <v>43866</v>
      </c>
      <c r="D2111">
        <v>234126191</v>
      </c>
      <c r="E2111">
        <v>47086</v>
      </c>
      <c r="F2111">
        <v>58</v>
      </c>
      <c r="G2111">
        <v>409564436</v>
      </c>
      <c r="H2111">
        <v>2500771</v>
      </c>
      <c r="I2111">
        <v>88814154</v>
      </c>
      <c r="J2111">
        <v>68</v>
      </c>
      <c r="K2111">
        <v>31</v>
      </c>
      <c r="L2111">
        <v>1</v>
      </c>
      <c r="M2111" t="s">
        <v>6371</v>
      </c>
    </row>
    <row r="2112" spans="1:13">
      <c r="A2112" t="s">
        <v>6279</v>
      </c>
      <c r="B2112" t="s">
        <v>170</v>
      </c>
      <c r="C2112">
        <v>44460</v>
      </c>
      <c r="D2112">
        <v>350738636</v>
      </c>
      <c r="E2112">
        <v>29760</v>
      </c>
      <c r="F2112">
        <v>66</v>
      </c>
      <c r="G2112">
        <v>154323126</v>
      </c>
      <c r="H2112">
        <v>1697768</v>
      </c>
      <c r="I2112">
        <v>351428481</v>
      </c>
      <c r="J2112">
        <v>42</v>
      </c>
      <c r="K2112">
        <v>285</v>
      </c>
      <c r="L2112">
        <v>1</v>
      </c>
      <c r="M2112" t="s">
        <v>6370</v>
      </c>
    </row>
    <row r="2113" spans="1:15">
      <c r="A2113" t="s">
        <v>6282</v>
      </c>
      <c r="B2113" t="s">
        <v>355</v>
      </c>
      <c r="C2113">
        <v>43607</v>
      </c>
      <c r="D2113">
        <v>265520736</v>
      </c>
      <c r="E2113">
        <v>102073</v>
      </c>
      <c r="F2113">
        <v>61</v>
      </c>
      <c r="G2113">
        <v>267792071</v>
      </c>
      <c r="H2113">
        <v>2624568</v>
      </c>
      <c r="I2113">
        <v>46409820</v>
      </c>
      <c r="J2113">
        <v>31</v>
      </c>
      <c r="K2113">
        <v>25</v>
      </c>
      <c r="L2113">
        <v>1</v>
      </c>
      <c r="M2113" t="s">
        <v>6371</v>
      </c>
    </row>
    <row r="2114" spans="1:15">
      <c r="A2114" t="s">
        <v>6290</v>
      </c>
      <c r="B2114" t="s">
        <v>5957</v>
      </c>
      <c r="C2114">
        <v>40544</v>
      </c>
      <c r="D2114">
        <v>464203349</v>
      </c>
      <c r="E2114">
        <v>69767</v>
      </c>
      <c r="F2114">
        <v>70</v>
      </c>
      <c r="G2114">
        <v>192327944</v>
      </c>
      <c r="H2114">
        <v>1072108</v>
      </c>
      <c r="I2114">
        <v>136935165</v>
      </c>
      <c r="J2114">
        <v>45</v>
      </c>
      <c r="K2114">
        <v>141</v>
      </c>
      <c r="L2114">
        <v>0</v>
      </c>
      <c r="M2114" t="s">
        <v>6371</v>
      </c>
    </row>
    <row r="2115" spans="1:15">
      <c r="A2115" t="s">
        <v>6299</v>
      </c>
      <c r="B2115" t="s">
        <v>371</v>
      </c>
      <c r="C2115">
        <v>43889</v>
      </c>
      <c r="D2115">
        <v>377746254</v>
      </c>
      <c r="E2115">
        <v>41379</v>
      </c>
      <c r="F2115">
        <v>62</v>
      </c>
      <c r="G2115">
        <v>192582605</v>
      </c>
      <c r="H2115">
        <v>2080748</v>
      </c>
      <c r="I2115">
        <v>102362534</v>
      </c>
      <c r="J2115">
        <v>111</v>
      </c>
      <c r="K2115">
        <v>145</v>
      </c>
      <c r="L2115">
        <v>0</v>
      </c>
      <c r="M2115" t="s">
        <v>6371</v>
      </c>
    </row>
    <row r="2116" spans="1:15">
      <c r="A2116" t="s">
        <v>6303</v>
      </c>
      <c r="B2116" t="s">
        <v>1002</v>
      </c>
      <c r="C2116">
        <v>43707</v>
      </c>
      <c r="D2116">
        <v>680707791</v>
      </c>
      <c r="E2116">
        <v>87833</v>
      </c>
      <c r="F2116">
        <v>74</v>
      </c>
      <c r="G2116">
        <v>48297331</v>
      </c>
      <c r="H2116">
        <v>611115</v>
      </c>
      <c r="I2116">
        <v>184535006</v>
      </c>
      <c r="J2116">
        <v>43</v>
      </c>
      <c r="K2116">
        <v>8</v>
      </c>
      <c r="L2116">
        <v>1</v>
      </c>
      <c r="M2116" t="s">
        <v>6371</v>
      </c>
    </row>
    <row r="2117" spans="1:15">
      <c r="A2117" t="s">
        <v>6304</v>
      </c>
      <c r="B2117" t="s">
        <v>879</v>
      </c>
      <c r="C2117">
        <v>41275</v>
      </c>
      <c r="D2117">
        <v>412118303</v>
      </c>
      <c r="E2117">
        <v>56547</v>
      </c>
      <c r="F2117">
        <v>64</v>
      </c>
      <c r="G2117">
        <v>863861067</v>
      </c>
      <c r="H2117">
        <v>5523754</v>
      </c>
      <c r="I2117">
        <v>931798909</v>
      </c>
      <c r="J2117">
        <v>51</v>
      </c>
      <c r="K2117">
        <v>116</v>
      </c>
      <c r="L2117">
        <v>0</v>
      </c>
      <c r="M2117" t="s">
        <v>6371</v>
      </c>
    </row>
    <row r="2118" spans="1:15">
      <c r="A2118" t="s">
        <v>6305</v>
      </c>
      <c r="B2118" t="s">
        <v>6306</v>
      </c>
      <c r="C2118">
        <v>42271</v>
      </c>
      <c r="D2118">
        <v>395303355</v>
      </c>
      <c r="E2118">
        <v>39270</v>
      </c>
      <c r="F2118">
        <v>65</v>
      </c>
      <c r="G2118">
        <v>1089620434</v>
      </c>
      <c r="H2118">
        <v>2743125</v>
      </c>
      <c r="I2118">
        <v>32115493</v>
      </c>
      <c r="J2118">
        <v>73</v>
      </c>
      <c r="K2118">
        <v>3</v>
      </c>
      <c r="L2118">
        <v>0</v>
      </c>
      <c r="M2118" t="s">
        <v>6371</v>
      </c>
    </row>
    <row r="2119" spans="1:15">
      <c r="A2119" t="s">
        <v>6312</v>
      </c>
      <c r="B2119" t="s">
        <v>6313</v>
      </c>
      <c r="C2119">
        <v>43679</v>
      </c>
      <c r="D2119">
        <v>118934988</v>
      </c>
      <c r="E2119">
        <v>14432</v>
      </c>
      <c r="F2119">
        <v>60</v>
      </c>
      <c r="G2119">
        <v>528359923</v>
      </c>
      <c r="H2119">
        <v>4933066</v>
      </c>
      <c r="I2119">
        <v>132642128</v>
      </c>
      <c r="J2119">
        <v>14</v>
      </c>
      <c r="K2119">
        <v>165</v>
      </c>
      <c r="L2119">
        <v>0</v>
      </c>
      <c r="M2119" t="s">
        <v>6371</v>
      </c>
    </row>
    <row r="2120" spans="1:15">
      <c r="A2120" t="s">
        <v>6316</v>
      </c>
      <c r="B2120" t="s">
        <v>51</v>
      </c>
      <c r="C2120">
        <v>44042</v>
      </c>
      <c r="D2120">
        <v>461892532</v>
      </c>
      <c r="E2120">
        <v>69326</v>
      </c>
      <c r="F2120">
        <v>64</v>
      </c>
      <c r="G2120">
        <v>175821589</v>
      </c>
      <c r="H2120">
        <v>5873880</v>
      </c>
      <c r="I2120">
        <v>123540119</v>
      </c>
      <c r="J2120">
        <v>94</v>
      </c>
      <c r="K2120">
        <v>101</v>
      </c>
      <c r="L2120">
        <v>0</v>
      </c>
      <c r="M2120" t="s">
        <v>6371</v>
      </c>
    </row>
    <row r="2121" spans="1:15">
      <c r="A2121" t="s">
        <v>6317</v>
      </c>
      <c r="B2121" t="s">
        <v>6318</v>
      </c>
      <c r="C2121">
        <v>39083</v>
      </c>
      <c r="D2121">
        <v>858734232</v>
      </c>
      <c r="E2121">
        <v>177813</v>
      </c>
      <c r="F2121">
        <v>78</v>
      </c>
      <c r="G2121">
        <v>671323389</v>
      </c>
      <c r="H2121">
        <v>3052958</v>
      </c>
      <c r="I2121">
        <v>318483532</v>
      </c>
      <c r="J2121">
        <v>100</v>
      </c>
      <c r="K2121">
        <v>347</v>
      </c>
      <c r="L2121">
        <v>0</v>
      </c>
      <c r="M2121" t="s">
        <v>6372</v>
      </c>
    </row>
    <row r="2122" spans="1:15">
      <c r="A2122" t="s">
        <v>6319</v>
      </c>
      <c r="B2122" t="s">
        <v>81</v>
      </c>
      <c r="C2122">
        <v>43294</v>
      </c>
      <c r="D2122">
        <v>1064927546</v>
      </c>
      <c r="E2122">
        <v>83580</v>
      </c>
      <c r="F2122">
        <v>70</v>
      </c>
      <c r="G2122">
        <v>120105486</v>
      </c>
      <c r="H2122">
        <v>1141821</v>
      </c>
      <c r="I2122">
        <v>2480889</v>
      </c>
      <c r="J2122">
        <v>90</v>
      </c>
      <c r="K2122">
        <v>60</v>
      </c>
      <c r="L2122">
        <v>1</v>
      </c>
      <c r="M2122" t="s">
        <v>6371</v>
      </c>
    </row>
    <row r="2123" spans="1:15">
      <c r="A2123" t="s">
        <v>6324</v>
      </c>
      <c r="B2123" t="s">
        <v>3604</v>
      </c>
      <c r="C2123">
        <v>43363</v>
      </c>
      <c r="D2123">
        <v>50739695</v>
      </c>
      <c r="E2123">
        <v>7202</v>
      </c>
      <c r="F2123">
        <v>34</v>
      </c>
      <c r="G2123">
        <v>858702700</v>
      </c>
      <c r="H2123">
        <v>4315847</v>
      </c>
      <c r="I2123">
        <v>4591851</v>
      </c>
      <c r="J2123">
        <v>4</v>
      </c>
      <c r="K2123">
        <v>11</v>
      </c>
      <c r="L2123">
        <v>1</v>
      </c>
      <c r="M2123" t="s">
        <v>6371</v>
      </c>
      <c r="O2123">
        <f>MIN(G2:G2135)</f>
        <v>11512</v>
      </c>
    </row>
    <row r="2124" spans="1:15">
      <c r="A2124" t="s">
        <v>6326</v>
      </c>
      <c r="B2124" t="s">
        <v>4830</v>
      </c>
      <c r="C2124">
        <v>43896</v>
      </c>
      <c r="D2124">
        <v>246615679</v>
      </c>
      <c r="E2124">
        <v>39348</v>
      </c>
      <c r="F2124">
        <v>63</v>
      </c>
      <c r="G2124">
        <v>144344028</v>
      </c>
      <c r="H2124">
        <v>1222484</v>
      </c>
      <c r="I2124">
        <v>66918543</v>
      </c>
      <c r="J2124">
        <v>56</v>
      </c>
      <c r="K2124">
        <v>81</v>
      </c>
      <c r="L2124">
        <v>1</v>
      </c>
      <c r="M2124" t="s">
        <v>6371</v>
      </c>
    </row>
    <row r="2125" spans="1:15">
      <c r="A2125" t="s">
        <v>6327</v>
      </c>
      <c r="B2125" t="s">
        <v>938</v>
      </c>
      <c r="C2125">
        <v>42545</v>
      </c>
      <c r="D2125">
        <v>650511999</v>
      </c>
      <c r="E2125">
        <v>47448</v>
      </c>
      <c r="F2125">
        <v>67</v>
      </c>
      <c r="G2125">
        <v>795920437</v>
      </c>
      <c r="H2125">
        <v>4151098</v>
      </c>
      <c r="I2125">
        <v>60797733</v>
      </c>
      <c r="J2125">
        <v>56</v>
      </c>
      <c r="K2125">
        <v>37</v>
      </c>
      <c r="L2125">
        <v>0</v>
      </c>
      <c r="M2125" t="s">
        <v>6371</v>
      </c>
    </row>
    <row r="2126" spans="1:15">
      <c r="A2126" t="s">
        <v>6328</v>
      </c>
      <c r="B2126" t="s">
        <v>288</v>
      </c>
      <c r="C2126">
        <v>44512</v>
      </c>
      <c r="D2126">
        <v>229232959</v>
      </c>
      <c r="E2126">
        <v>68879</v>
      </c>
      <c r="F2126">
        <v>61</v>
      </c>
      <c r="G2126">
        <v>46890832</v>
      </c>
      <c r="H2126">
        <v>889875</v>
      </c>
      <c r="I2126">
        <v>61564975</v>
      </c>
      <c r="J2126">
        <v>19</v>
      </c>
      <c r="K2126">
        <v>72</v>
      </c>
      <c r="L2126">
        <v>1</v>
      </c>
      <c r="M2126" t="s">
        <v>6370</v>
      </c>
    </row>
    <row r="2127" spans="1:15">
      <c r="A2127" t="s">
        <v>6337</v>
      </c>
      <c r="B2127" t="s">
        <v>1770</v>
      </c>
      <c r="C2127">
        <v>44851</v>
      </c>
      <c r="D2127">
        <v>172321571</v>
      </c>
      <c r="E2127">
        <v>38159</v>
      </c>
      <c r="F2127">
        <v>61</v>
      </c>
      <c r="G2127">
        <v>441247</v>
      </c>
      <c r="H2127">
        <v>5740</v>
      </c>
      <c r="I2127">
        <v>164453741</v>
      </c>
      <c r="J2127">
        <v>46</v>
      </c>
      <c r="K2127">
        <v>27</v>
      </c>
      <c r="L2127">
        <v>0</v>
      </c>
      <c r="M2127" t="s">
        <v>6370</v>
      </c>
    </row>
    <row r="2128" spans="1:15">
      <c r="A2128" t="s">
        <v>6340</v>
      </c>
      <c r="B2128" t="s">
        <v>81</v>
      </c>
      <c r="C2128">
        <v>42307</v>
      </c>
      <c r="D2128">
        <v>315697428</v>
      </c>
      <c r="E2128">
        <v>27166</v>
      </c>
      <c r="F2128">
        <v>57</v>
      </c>
      <c r="G2128">
        <v>1033104472</v>
      </c>
      <c r="H2128">
        <v>6459847</v>
      </c>
      <c r="I2128">
        <v>61451981</v>
      </c>
      <c r="J2128">
        <v>84</v>
      </c>
      <c r="K2128">
        <v>1</v>
      </c>
      <c r="L2128">
        <v>0</v>
      </c>
      <c r="M2128" t="s">
        <v>6371</v>
      </c>
    </row>
    <row r="2129" spans="1:13">
      <c r="A2129" t="s">
        <v>6341</v>
      </c>
      <c r="B2129" t="s">
        <v>6342</v>
      </c>
      <c r="C2129">
        <v>43161</v>
      </c>
      <c r="D2129">
        <v>583209382</v>
      </c>
      <c r="E2129">
        <v>66332</v>
      </c>
      <c r="F2129">
        <v>71</v>
      </c>
      <c r="G2129">
        <v>561013544</v>
      </c>
      <c r="H2129">
        <v>4030692</v>
      </c>
      <c r="I2129">
        <v>187698778</v>
      </c>
      <c r="J2129">
        <v>27</v>
      </c>
      <c r="K2129">
        <v>4</v>
      </c>
      <c r="L2129">
        <v>1</v>
      </c>
      <c r="M2129" t="s">
        <v>6371</v>
      </c>
    </row>
    <row r="2130" spans="1:13">
      <c r="A2130" t="s">
        <v>6346</v>
      </c>
      <c r="B2130" t="s">
        <v>3165</v>
      </c>
      <c r="C2130">
        <v>45100</v>
      </c>
      <c r="D2130">
        <v>122999909</v>
      </c>
      <c r="E2130">
        <v>24570</v>
      </c>
      <c r="F2130">
        <v>69</v>
      </c>
      <c r="G2130">
        <v>16644597</v>
      </c>
      <c r="H2130">
        <v>357403</v>
      </c>
      <c r="I2130">
        <v>697596</v>
      </c>
      <c r="J2130">
        <v>23</v>
      </c>
      <c r="K2130">
        <v>314</v>
      </c>
      <c r="L2130">
        <v>0</v>
      </c>
      <c r="M2130" t="s">
        <v>6370</v>
      </c>
    </row>
    <row r="2131" spans="1:13">
      <c r="A2131" t="s">
        <v>6351</v>
      </c>
      <c r="B2131" t="s">
        <v>459</v>
      </c>
      <c r="C2131">
        <v>43839</v>
      </c>
      <c r="D2131">
        <v>485274842</v>
      </c>
      <c r="E2131">
        <v>65140</v>
      </c>
      <c r="F2131">
        <v>58</v>
      </c>
      <c r="G2131">
        <v>257045287</v>
      </c>
      <c r="H2131">
        <v>2076627</v>
      </c>
      <c r="I2131">
        <v>96188508</v>
      </c>
      <c r="J2131">
        <v>76</v>
      </c>
      <c r="K2131">
        <v>116</v>
      </c>
      <c r="L2131">
        <v>0</v>
      </c>
      <c r="M2131" t="s">
        <v>6371</v>
      </c>
    </row>
    <row r="2132" spans="1:13">
      <c r="A2132" t="s">
        <v>6352</v>
      </c>
      <c r="B2132" t="s">
        <v>1480</v>
      </c>
      <c r="C2132">
        <v>45082</v>
      </c>
      <c r="D2132">
        <v>59629684</v>
      </c>
      <c r="E2132">
        <v>29361</v>
      </c>
      <c r="F2132">
        <v>63</v>
      </c>
      <c r="G2132">
        <v>5737464</v>
      </c>
      <c r="H2132">
        <v>71512</v>
      </c>
      <c r="I2132">
        <v>889338</v>
      </c>
      <c r="J2132">
        <v>22</v>
      </c>
      <c r="K2132">
        <v>56</v>
      </c>
      <c r="L2132">
        <v>1</v>
      </c>
      <c r="M2132" t="s">
        <v>6370</v>
      </c>
    </row>
    <row r="2133" spans="1:13">
      <c r="A2133" t="s">
        <v>6354</v>
      </c>
      <c r="B2133" t="s">
        <v>2472</v>
      </c>
      <c r="C2133">
        <v>43404</v>
      </c>
      <c r="D2133">
        <v>285851797</v>
      </c>
      <c r="E2133">
        <v>41294</v>
      </c>
      <c r="F2133">
        <v>57</v>
      </c>
      <c r="G2133">
        <v>658375389</v>
      </c>
      <c r="H2133">
        <v>2669794</v>
      </c>
      <c r="I2133">
        <v>15966689</v>
      </c>
      <c r="J2133">
        <v>16</v>
      </c>
      <c r="K2133">
        <v>6</v>
      </c>
      <c r="L2133">
        <v>0</v>
      </c>
      <c r="M2133" t="s">
        <v>6371</v>
      </c>
    </row>
    <row r="2134" spans="1:13">
      <c r="A2134" t="s">
        <v>107</v>
      </c>
      <c r="B2134" t="s">
        <v>66</v>
      </c>
      <c r="C2134">
        <v>44701</v>
      </c>
      <c r="D2134">
        <v>377242486</v>
      </c>
      <c r="E2134">
        <v>42233</v>
      </c>
      <c r="F2134">
        <v>68</v>
      </c>
      <c r="G2134">
        <v>46848683</v>
      </c>
      <c r="H2134">
        <v>1141593</v>
      </c>
      <c r="I2134">
        <v>224312083</v>
      </c>
      <c r="J2134">
        <v>21</v>
      </c>
      <c r="K2134">
        <v>218</v>
      </c>
      <c r="L2134">
        <v>0</v>
      </c>
      <c r="M2134" t="s">
        <v>6370</v>
      </c>
    </row>
    <row r="2135" spans="1:13">
      <c r="A2135" t="s">
        <v>6359</v>
      </c>
      <c r="B2135" t="s">
        <v>1767</v>
      </c>
      <c r="C2135">
        <v>42909</v>
      </c>
      <c r="D2135">
        <v>472408276</v>
      </c>
      <c r="E2135">
        <v>84220</v>
      </c>
      <c r="F2135">
        <v>69</v>
      </c>
      <c r="G2135">
        <v>181335841</v>
      </c>
      <c r="H2135">
        <v>2086235</v>
      </c>
      <c r="I2135">
        <v>3526073258</v>
      </c>
      <c r="J2135">
        <v>33</v>
      </c>
      <c r="K2135">
        <v>13</v>
      </c>
      <c r="L2135">
        <v>0</v>
      </c>
      <c r="M2135" t="s">
        <v>6371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A37F0-08B7-45E1-A8F1-1F5D3A139067}">
  <dimension ref="A1:H26"/>
  <sheetViews>
    <sheetView tabSelected="1" zoomScale="73" workbookViewId="0">
      <selection activeCell="C18" sqref="C18"/>
    </sheetView>
  </sheetViews>
  <sheetFormatPr defaultRowHeight="14.5"/>
  <cols>
    <col min="1" max="1" width="23.453125" bestFit="1" customWidth="1"/>
    <col min="2" max="2" width="22.453125" bestFit="1" customWidth="1"/>
    <col min="3" max="3" width="18.81640625" bestFit="1" customWidth="1"/>
    <col min="4" max="4" width="20.26953125" customWidth="1"/>
    <col min="5" max="5" width="19.54296875" customWidth="1"/>
    <col min="6" max="6" width="20.54296875" customWidth="1"/>
    <col min="7" max="8" width="22.453125" bestFit="1" customWidth="1"/>
  </cols>
  <sheetData>
    <row r="1" spans="1:8" ht="18">
      <c r="A1" s="20" t="s">
        <v>6373</v>
      </c>
      <c r="B1" s="20"/>
      <c r="C1" s="20"/>
      <c r="D1" s="20"/>
      <c r="E1" s="20"/>
      <c r="F1" s="20"/>
      <c r="G1" s="20"/>
      <c r="H1" s="20"/>
    </row>
    <row r="3" spans="1:8" ht="15.5">
      <c r="A3" s="8" t="s">
        <v>6449</v>
      </c>
    </row>
    <row r="4" spans="1:8">
      <c r="A4" s="17" t="s">
        <v>6374</v>
      </c>
      <c r="B4" s="18" t="s">
        <v>6375</v>
      </c>
      <c r="C4" s="18" t="s">
        <v>6376</v>
      </c>
      <c r="D4" s="18" t="s">
        <v>6377</v>
      </c>
      <c r="E4" s="18" t="s">
        <v>6378</v>
      </c>
      <c r="F4" s="18" t="s">
        <v>6379</v>
      </c>
      <c r="G4" s="18" t="s">
        <v>6380</v>
      </c>
      <c r="H4" s="18" t="s">
        <v>6381</v>
      </c>
    </row>
    <row r="5" spans="1:8">
      <c r="A5" t="s">
        <v>4</v>
      </c>
      <c r="B5" s="9">
        <f>COUNT('Cleaned Data'!D:D)</f>
        <v>2134</v>
      </c>
      <c r="C5" s="9">
        <f>ROUND(AVERAGE('Cleaned Data'!D:D),2)</f>
        <v>665162293.50999999</v>
      </c>
      <c r="D5" s="9">
        <f>ROUND(MEDIAN('Cleaned Data'!D:D),2)</f>
        <v>503242198.5</v>
      </c>
      <c r="E5" s="9">
        <f xml:space="preserve"> STDEV('Cleaned Data'!D:D)</f>
        <v>575005187.35627878</v>
      </c>
      <c r="F5" s="9">
        <f>MIN('Cleaned Data'!D:D)</f>
        <v>301362</v>
      </c>
      <c r="G5" s="9">
        <f>MAX('Cleaned Data'!D:D)</f>
        <v>4281468720</v>
      </c>
      <c r="H5" s="9">
        <f>G5-F5</f>
        <v>4281167358</v>
      </c>
    </row>
    <row r="6" spans="1:8">
      <c r="A6" t="s">
        <v>3</v>
      </c>
      <c r="B6" s="9">
        <f>COUNT('Cleaned Data'!E:E)</f>
        <v>2134</v>
      </c>
      <c r="C6" s="9">
        <f>ROUND(AVERAGE('Cleaned Data'!E:E),2)</f>
        <v>95863.87</v>
      </c>
      <c r="D6" s="9">
        <f>ROUND(MEDIAN('Cleaned Data'!E:E),2)</f>
        <v>73852</v>
      </c>
      <c r="E6" s="9">
        <f xml:space="preserve"> STDEV('Cleaned Data'!E:E)</f>
        <v>78127.296131599825</v>
      </c>
      <c r="F6" s="9">
        <f>MIN('Cleaned Data'!E:E)</f>
        <v>311</v>
      </c>
      <c r="G6" s="9">
        <f>MAX('Cleaned Data'!E:E)</f>
        <v>590392</v>
      </c>
      <c r="H6" s="9">
        <f t="shared" ref="H6:H12" si="0">G6-F6</f>
        <v>590081</v>
      </c>
    </row>
    <row r="7" spans="1:8">
      <c r="A7" t="s">
        <v>6382</v>
      </c>
      <c r="B7" s="9">
        <f>COUNT('Cleaned Data'!F:F)</f>
        <v>2134</v>
      </c>
      <c r="C7" s="9">
        <f>ROUND(AVERAGE('Cleaned Data'!F:F),2)</f>
        <v>67.599999999999994</v>
      </c>
      <c r="D7" s="9">
        <f>ROUND(MEDIAN('Cleaned Data'!F:F),2)</f>
        <v>69</v>
      </c>
      <c r="E7" s="9">
        <f xml:space="preserve"> STDEV('Cleaned Data'!F:F)</f>
        <v>11.389449204466464</v>
      </c>
      <c r="F7" s="9">
        <f>MIN('Cleaned Data'!F:F)</f>
        <v>1</v>
      </c>
      <c r="G7" s="9">
        <f>MAX('Cleaned Data'!F:F)</f>
        <v>96</v>
      </c>
      <c r="H7" s="9">
        <f t="shared" si="0"/>
        <v>95</v>
      </c>
    </row>
    <row r="8" spans="1:8">
      <c r="A8" t="s">
        <v>6383</v>
      </c>
      <c r="B8" s="9">
        <f>COUNT('Cleaned Data'!G:G)</f>
        <v>2134</v>
      </c>
      <c r="C8" s="9">
        <f>ROUND(AVERAGE('Cleaned Data'!G:G),2)</f>
        <v>504138725.44999999</v>
      </c>
      <c r="D8" s="9">
        <f>ROUND(MEDIAN('Cleaned Data'!G:G),2)</f>
        <v>221290372.5</v>
      </c>
      <c r="E8" s="9">
        <f xml:space="preserve"> STDEV('Cleaned Data'!G:G)</f>
        <v>802747278.05727243</v>
      </c>
      <c r="F8" s="9">
        <f>MIN('Cleaned Data'!G:G)</f>
        <v>11512</v>
      </c>
      <c r="G8" s="9">
        <f>MAX('Cleaned Data'!G:G)</f>
        <v>16322756555</v>
      </c>
      <c r="H8" s="9">
        <f t="shared" si="0"/>
        <v>16322745043</v>
      </c>
    </row>
    <row r="9" spans="1:8">
      <c r="A9" t="s">
        <v>6384</v>
      </c>
      <c r="B9" s="9">
        <f>COUNT('Cleaned Data'!H:H)</f>
        <v>2134</v>
      </c>
      <c r="C9" s="9">
        <f>ROUND(AVERAGE('Cleaned Data'!H:H),2)</f>
        <v>3885864.14</v>
      </c>
      <c r="D9" s="9">
        <f>ROUND(MEDIAN('Cleaned Data'!H:H),2)</f>
        <v>2131983</v>
      </c>
      <c r="E9" s="9">
        <f xml:space="preserve"> STDEV('Cleaned Data'!H:H)</f>
        <v>5457870.2536775135</v>
      </c>
      <c r="F9" s="9">
        <f>MIN('Cleaned Data'!H:H)</f>
        <v>171</v>
      </c>
      <c r="G9" s="9">
        <f>MAX('Cleaned Data'!H:H)</f>
        <v>62311179</v>
      </c>
      <c r="H9" s="9">
        <f t="shared" si="0"/>
        <v>62311008</v>
      </c>
    </row>
    <row r="10" spans="1:8">
      <c r="A10" t="s">
        <v>6385</v>
      </c>
      <c r="B10" s="9">
        <f>COUNT('Cleaned Data'!I:I)</f>
        <v>2134</v>
      </c>
      <c r="C10" s="9">
        <f>ROUND(AVERAGE('Cleaned Data'!I:I),2)</f>
        <v>1281892453.9100001</v>
      </c>
      <c r="D10" s="9">
        <f>ROUND(MEDIAN('Cleaned Data'!I:I),2)</f>
        <v>345053448</v>
      </c>
      <c r="E10" s="9">
        <f xml:space="preserve"> STDEV('Cleaned Data'!I:I)</f>
        <v>5369825917.2456284</v>
      </c>
      <c r="F10" s="9">
        <f>MIN('Cleaned Data'!I:I)</f>
        <v>312</v>
      </c>
      <c r="G10" s="9">
        <f>MAX('Cleaned Data'!I:I)</f>
        <v>214843956590</v>
      </c>
      <c r="H10" s="9">
        <f t="shared" si="0"/>
        <v>214843956278</v>
      </c>
    </row>
    <row r="11" spans="1:8">
      <c r="A11" t="s">
        <v>9</v>
      </c>
      <c r="B11" s="9">
        <f>COUNT('Cleaned Data'!J:J)</f>
        <v>2134</v>
      </c>
      <c r="C11" s="9">
        <f>ROUND(AVERAGE('Cleaned Data'!J:J),2)</f>
        <v>79.790000000000006</v>
      </c>
      <c r="D11" s="9">
        <f>ROUND(MEDIAN('Cleaned Data'!J:J),2)</f>
        <v>53</v>
      </c>
      <c r="E11" s="9">
        <f xml:space="preserve"> STDEV('Cleaned Data'!J:J)</f>
        <v>82.388388860337827</v>
      </c>
      <c r="F11" s="9">
        <f>MIN('Cleaned Data'!J:J)</f>
        <v>1</v>
      </c>
      <c r="G11" s="9">
        <f>MAX('Cleaned Data'!J:J)</f>
        <v>859</v>
      </c>
      <c r="H11" s="9">
        <f t="shared" si="0"/>
        <v>858</v>
      </c>
    </row>
    <row r="12" spans="1:8">
      <c r="A12" t="s">
        <v>10</v>
      </c>
      <c r="B12" s="9">
        <f xml:space="preserve"> COUNT('Cleaned Data'!K:K)</f>
        <v>2134</v>
      </c>
      <c r="C12" s="9">
        <f>ROUND(AVERAGE('Cleaned Data'!K:K),2)</f>
        <v>277.19</v>
      </c>
      <c r="D12" s="9">
        <f>ROUND(MEDIAN('Cleaned Data'!K:K),2)</f>
        <v>97</v>
      </c>
      <c r="E12" s="9">
        <f xml:space="preserve"> STDEV('Cleaned Data'!K:K)</f>
        <v>586.02691849986695</v>
      </c>
      <c r="F12" s="9">
        <f>MIN('Cleaned Data'!K:K)</f>
        <v>1</v>
      </c>
      <c r="G12" s="9">
        <f>MAX('Cleaned Data'!K:K)</f>
        <v>7098</v>
      </c>
      <c r="H12" s="9">
        <f t="shared" si="0"/>
        <v>7097</v>
      </c>
    </row>
    <row r="14" spans="1:8" ht="15.5">
      <c r="A14" s="8" t="s">
        <v>6386</v>
      </c>
    </row>
    <row r="15" spans="1:8">
      <c r="A15" s="17" t="s">
        <v>6374</v>
      </c>
      <c r="B15" s="17" t="s">
        <v>6375</v>
      </c>
      <c r="C15" s="17" t="s">
        <v>6387</v>
      </c>
      <c r="D15" s="17" t="s">
        <v>6388</v>
      </c>
    </row>
    <row r="17" spans="1:4">
      <c r="A17" t="s">
        <v>6389</v>
      </c>
      <c r="D17">
        <v>2</v>
      </c>
    </row>
    <row r="18" spans="1:4">
      <c r="A18" t="s">
        <v>6390</v>
      </c>
      <c r="B18">
        <v>1280</v>
      </c>
      <c r="C18">
        <v>0</v>
      </c>
      <c r="D18" s="10"/>
    </row>
    <row r="19" spans="1:4">
      <c r="A19" t="s">
        <v>6391</v>
      </c>
      <c r="B19">
        <v>854</v>
      </c>
      <c r="D19" s="10"/>
    </row>
    <row r="20" spans="1:4">
      <c r="A20" t="s">
        <v>6392</v>
      </c>
      <c r="B20">
        <v>2134</v>
      </c>
      <c r="D20" s="10"/>
    </row>
    <row r="22" spans="1:4">
      <c r="A22" t="s">
        <v>6393</v>
      </c>
      <c r="D22">
        <v>3</v>
      </c>
    </row>
    <row r="23" spans="1:4">
      <c r="A23" t="s">
        <v>6371</v>
      </c>
      <c r="B23">
        <v>1041</v>
      </c>
      <c r="D23" s="12"/>
    </row>
    <row r="24" spans="1:4">
      <c r="A24" t="s">
        <v>6370</v>
      </c>
      <c r="B24">
        <v>1042</v>
      </c>
      <c r="C24" t="s">
        <v>6370</v>
      </c>
      <c r="D24" s="12"/>
    </row>
    <row r="25" spans="1:4">
      <c r="A25" t="s">
        <v>6372</v>
      </c>
      <c r="B25">
        <v>51</v>
      </c>
      <c r="D25" s="12"/>
    </row>
    <row r="26" spans="1:4">
      <c r="A26" t="s">
        <v>6392</v>
      </c>
      <c r="B26">
        <v>2134</v>
      </c>
      <c r="D26" s="12"/>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07F9D-23EF-4EB9-A8CF-66800996A318}">
  <dimension ref="A1:H16"/>
  <sheetViews>
    <sheetView workbookViewId="0">
      <selection activeCell="A10" sqref="A10:D10"/>
    </sheetView>
  </sheetViews>
  <sheetFormatPr defaultRowHeight="14.5"/>
  <cols>
    <col min="1" max="1" width="13.81640625" bestFit="1" customWidth="1"/>
  </cols>
  <sheetData>
    <row r="1" spans="1:8" ht="18">
      <c r="A1" s="20" t="s">
        <v>6394</v>
      </c>
      <c r="B1" s="20"/>
      <c r="C1" s="20"/>
      <c r="D1" s="20"/>
      <c r="E1" s="20"/>
      <c r="F1" s="20"/>
      <c r="G1" s="20"/>
      <c r="H1" s="20"/>
    </row>
    <row r="3" spans="1:8" ht="15.5">
      <c r="A3" s="24" t="s">
        <v>11</v>
      </c>
      <c r="B3" s="24"/>
      <c r="C3" s="24"/>
      <c r="D3" s="24"/>
      <c r="E3" s="24"/>
      <c r="F3" s="24"/>
      <c r="G3" s="24"/>
    </row>
    <row r="4" spans="1:8">
      <c r="A4" s="19" t="s">
        <v>6395</v>
      </c>
      <c r="B4" s="19" t="s">
        <v>6375</v>
      </c>
      <c r="C4" s="19" t="s">
        <v>6396</v>
      </c>
    </row>
    <row r="5" spans="1:8">
      <c r="A5" t="s">
        <v>6397</v>
      </c>
      <c r="B5">
        <f>COUNTIF('Cleaned Data'!L:L,0)</f>
        <v>1280</v>
      </c>
      <c r="C5" s="10">
        <f>B5/B7</f>
        <v>0.59981255857544513</v>
      </c>
    </row>
    <row r="6" spans="1:8">
      <c r="A6" t="s">
        <v>6398</v>
      </c>
      <c r="B6">
        <f>COUNTIF('Cleaned Data'!L:L,1)</f>
        <v>854</v>
      </c>
      <c r="C6" s="10">
        <f>B6/B7</f>
        <v>0.40018744142455481</v>
      </c>
    </row>
    <row r="7" spans="1:8">
      <c r="A7" t="s">
        <v>6399</v>
      </c>
      <c r="B7">
        <f>SUM(B5+B6)</f>
        <v>2134</v>
      </c>
      <c r="C7" s="10">
        <f>SUM(C5:C6)</f>
        <v>1</v>
      </c>
    </row>
    <row r="8" spans="1:8">
      <c r="A8" t="s">
        <v>6454</v>
      </c>
    </row>
    <row r="9" spans="1:8" ht="15.5">
      <c r="A9" s="25" t="s">
        <v>6400</v>
      </c>
      <c r="B9" s="25"/>
      <c r="C9" s="25"/>
      <c r="D9" s="25"/>
      <c r="E9" s="25"/>
      <c r="F9" s="25"/>
      <c r="G9" s="25"/>
    </row>
    <row r="10" spans="1:8">
      <c r="A10" s="19" t="s">
        <v>6395</v>
      </c>
      <c r="B10" s="19" t="s">
        <v>6375</v>
      </c>
      <c r="C10" s="19" t="s">
        <v>6396</v>
      </c>
      <c r="D10" s="19"/>
    </row>
    <row r="11" spans="1:8">
      <c r="A11" t="s">
        <v>6372</v>
      </c>
      <c r="B11">
        <f>COUNTIF('Cleaned Data'!$M$2:$M$2135,"Before 2010")</f>
        <v>51</v>
      </c>
      <c r="C11" s="10">
        <f>B11/$B$14</f>
        <v>2.3898781630740395E-2</v>
      </c>
    </row>
    <row r="12" spans="1:8">
      <c r="A12" t="s">
        <v>6371</v>
      </c>
      <c r="B12">
        <f>COUNTIF('Cleaned Data'!$M$2:$M$2135,"2010-2020")</f>
        <v>1041</v>
      </c>
      <c r="C12" s="10">
        <f t="shared" ref="C12:C13" si="0">B12/$B$14</f>
        <v>0.48781630740393628</v>
      </c>
    </row>
    <row r="13" spans="1:8">
      <c r="A13" t="s">
        <v>6370</v>
      </c>
      <c r="B13">
        <f>COUNTIF('Cleaned Data'!$M$2:$M$2135,"After 2020")</f>
        <v>1042</v>
      </c>
      <c r="C13" s="10">
        <f t="shared" si="0"/>
        <v>0.48828491096532334</v>
      </c>
    </row>
    <row r="14" spans="1:8">
      <c r="A14" t="s">
        <v>6399</v>
      </c>
      <c r="B14">
        <f>B11+B12+B13</f>
        <v>2134</v>
      </c>
      <c r="C14" s="11">
        <f>SUM(C11:C13)</f>
        <v>1</v>
      </c>
    </row>
    <row r="15" spans="1:8">
      <c r="A15" t="s">
        <v>6453</v>
      </c>
    </row>
    <row r="16" spans="1:8" ht="15.5">
      <c r="A16" s="26"/>
      <c r="B16" s="26"/>
      <c r="C16" s="26"/>
      <c r="D16" s="26"/>
      <c r="E16" s="26"/>
      <c r="F16" s="26"/>
      <c r="G16" s="26"/>
    </row>
  </sheetData>
  <mergeCells count="4">
    <mergeCell ref="A1:H1"/>
    <mergeCell ref="A3:G3"/>
    <mergeCell ref="A9:G9"/>
    <mergeCell ref="A16:G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65411-42BB-469B-9EE8-23790CF0B586}">
  <dimension ref="A1"/>
  <sheetViews>
    <sheetView zoomScale="35" workbookViewId="0">
      <selection activeCell="B4" sqref="B4"/>
    </sheetView>
  </sheetViews>
  <sheetFormatPr defaultRowHeight="14.5"/>
  <cols>
    <col min="3" max="3" width="8.81640625" bestFit="1" customWidth="1"/>
    <col min="4" max="4" width="12" bestFit="1" customWidth="1"/>
    <col min="5" max="6" width="8.81640625" bestFit="1" customWidth="1"/>
    <col min="7" max="7" width="13" bestFit="1" customWidth="1"/>
    <col min="8" max="8" width="9.81640625" bestFit="1" customWidth="1"/>
    <col min="9" max="9" width="13" bestFit="1" customWidth="1"/>
    <col min="10" max="12" width="8.81640625" bestFit="1" customWidth="1"/>
    <col min="17" max="17" width="12.453125" bestFit="1" customWidth="1"/>
    <col min="18" max="18" width="31" bestFit="1" customWidth="1"/>
    <col min="19" max="19" width="20.453125" bestFit="1" customWidth="1"/>
    <col min="21" max="21" width="12.453125" bestFit="1" customWidth="1"/>
    <col min="22" max="22" width="26.54296875" bestFit="1" customWidth="1"/>
    <col min="27" max="27" width="12.453125" bestFit="1" customWidth="1"/>
    <col min="28" max="28" width="23.453125" bestFit="1" customWidth="1"/>
    <col min="29" max="29" width="12.453125" bestFit="1" customWidth="1"/>
    <col min="30" max="30" width="21" bestFit="1" customWidth="1"/>
    <col min="32" max="32" width="12.453125" bestFit="1" customWidth="1"/>
    <col min="33" max="33" width="21.1796875" bestFit="1" customWidth="1"/>
    <col min="39" max="39" width="12.453125" bestFit="1" customWidth="1"/>
    <col min="40" max="40" width="20.54296875" bestFit="1" customWidth="1"/>
    <col min="42" max="42" width="12.453125" bestFit="1" customWidth="1"/>
    <col min="43" max="43" width="19.7265625" bestFit="1" customWidth="1"/>
    <col min="44" max="44" width="23.7265625" bestFit="1" customWidth="1"/>
    <col min="45" max="45" width="19.1796875" bestFit="1" customWidth="1"/>
    <col min="48" max="48" width="12.453125" bestFit="1" customWidth="1"/>
    <col min="49" max="49" width="12.54296875" bestFit="1" customWidth="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881E0-3EC9-4386-8501-813D9FACCC7A}">
  <dimension ref="A1:A29"/>
  <sheetViews>
    <sheetView workbookViewId="0">
      <selection activeCell="A40" sqref="A40"/>
    </sheetView>
  </sheetViews>
  <sheetFormatPr defaultRowHeight="14.5"/>
  <cols>
    <col min="1" max="1" width="255.7265625" bestFit="1" customWidth="1"/>
  </cols>
  <sheetData>
    <row r="1" spans="1:1">
      <c r="A1" t="s">
        <v>6401</v>
      </c>
    </row>
    <row r="3" spans="1:1">
      <c r="A3" t="s">
        <v>6402</v>
      </c>
    </row>
    <row r="5" spans="1:1">
      <c r="A5" t="s">
        <v>6403</v>
      </c>
    </row>
    <row r="7" spans="1:1">
      <c r="A7" t="s">
        <v>6404</v>
      </c>
    </row>
    <row r="9" spans="1:1">
      <c r="A9" t="s">
        <v>6405</v>
      </c>
    </row>
    <row r="12" spans="1:1">
      <c r="A12" t="s">
        <v>6406</v>
      </c>
    </row>
    <row r="14" spans="1:1">
      <c r="A14" t="s">
        <v>6407</v>
      </c>
    </row>
    <row r="16" spans="1:1">
      <c r="A16" t="s">
        <v>6408</v>
      </c>
    </row>
    <row r="18" spans="1:1">
      <c r="A18" t="s">
        <v>6409</v>
      </c>
    </row>
    <row r="20" spans="1:1">
      <c r="A20" t="s">
        <v>6410</v>
      </c>
    </row>
    <row r="22" spans="1:1">
      <c r="A22" t="s">
        <v>6411</v>
      </c>
    </row>
    <row r="24" spans="1:1">
      <c r="A24" t="s">
        <v>6412</v>
      </c>
    </row>
    <row r="29" spans="1:1" ht="15.5">
      <c r="A29"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4678B-369A-41D4-B13F-5A7419AEBC0F}">
  <dimension ref="F1:W68"/>
  <sheetViews>
    <sheetView zoomScale="28" workbookViewId="0">
      <selection activeCell="U59" sqref="U59:U63"/>
    </sheetView>
  </sheetViews>
  <sheetFormatPr defaultRowHeight="14.5"/>
  <cols>
    <col min="6" max="6" width="14.81640625" customWidth="1"/>
    <col min="7" max="7" width="13.453125" customWidth="1"/>
    <col min="8" max="8" width="18.1796875" customWidth="1"/>
    <col min="9" max="9" width="29.1796875" customWidth="1"/>
    <col min="10" max="10" width="19.26953125" customWidth="1"/>
    <col min="11" max="11" width="9.26953125" bestFit="1" customWidth="1"/>
    <col min="13" max="13" width="15.1796875" bestFit="1" customWidth="1"/>
    <col min="15" max="15" width="15.1796875" bestFit="1" customWidth="1"/>
    <col min="17" max="17" width="15.1796875" bestFit="1" customWidth="1"/>
    <col min="19" max="19" width="9.26953125" bestFit="1" customWidth="1"/>
    <col min="20" max="20" width="31.54296875" customWidth="1"/>
    <col min="21" max="21" width="20.36328125" customWidth="1"/>
  </cols>
  <sheetData>
    <row r="1" spans="6:21" ht="15" thickBot="1"/>
    <row r="2" spans="6:21">
      <c r="F2" s="14" t="s">
        <v>3</v>
      </c>
      <c r="G2" s="14"/>
      <c r="H2" s="14" t="s">
        <v>4</v>
      </c>
      <c r="I2" s="14"/>
      <c r="J2" s="14" t="s">
        <v>5</v>
      </c>
      <c r="K2" s="14"/>
      <c r="L2" s="14" t="s">
        <v>6</v>
      </c>
      <c r="M2" s="14"/>
      <c r="N2" s="14" t="s">
        <v>7</v>
      </c>
      <c r="O2" s="14"/>
      <c r="P2" s="14" t="s">
        <v>8</v>
      </c>
      <c r="Q2" s="14"/>
      <c r="R2" s="14" t="s">
        <v>9</v>
      </c>
      <c r="S2" s="14"/>
      <c r="T2" s="14" t="s">
        <v>10</v>
      </c>
      <c r="U2" s="14"/>
    </row>
    <row r="4" spans="6:21">
      <c r="F4" t="s">
        <v>6376</v>
      </c>
      <c r="G4">
        <v>665162293.51265228</v>
      </c>
      <c r="H4" t="s">
        <v>6376</v>
      </c>
      <c r="I4">
        <v>95863.865510777876</v>
      </c>
      <c r="J4" t="s">
        <v>6376</v>
      </c>
      <c r="K4">
        <v>67.596063730084353</v>
      </c>
      <c r="L4" t="s">
        <v>6376</v>
      </c>
      <c r="M4">
        <v>504138725.45267105</v>
      </c>
      <c r="N4" t="s">
        <v>6376</v>
      </c>
      <c r="O4">
        <v>3885864.1354264291</v>
      </c>
      <c r="P4" t="s">
        <v>6376</v>
      </c>
      <c r="Q4">
        <v>1281892453.9086223</v>
      </c>
      <c r="R4" t="s">
        <v>6376</v>
      </c>
      <c r="S4">
        <v>79.787722586691658</v>
      </c>
      <c r="T4" t="s">
        <v>6376</v>
      </c>
      <c r="U4">
        <v>277.19306466729148</v>
      </c>
    </row>
    <row r="5" spans="6:21">
      <c r="F5" t="s">
        <v>6414</v>
      </c>
      <c r="G5">
        <v>12447282.752949689</v>
      </c>
      <c r="H5" t="s">
        <v>6414</v>
      </c>
      <c r="I5">
        <v>1691.2413436557435</v>
      </c>
      <c r="J5" t="s">
        <v>6414</v>
      </c>
      <c r="K5">
        <v>0.24655028818115921</v>
      </c>
      <c r="L5" t="s">
        <v>6414</v>
      </c>
      <c r="M5">
        <v>17377273.403532691</v>
      </c>
      <c r="N5" t="s">
        <v>6414</v>
      </c>
      <c r="O5">
        <v>118147.898089037</v>
      </c>
      <c r="P5" t="s">
        <v>6414</v>
      </c>
      <c r="Q5">
        <v>116241980.06523235</v>
      </c>
      <c r="R5" t="s">
        <v>6414</v>
      </c>
      <c r="S5">
        <v>1.7834822959069732</v>
      </c>
      <c r="T5" t="s">
        <v>6414</v>
      </c>
      <c r="U5">
        <v>12.68587295524334</v>
      </c>
    </row>
    <row r="6" spans="6:21">
      <c r="F6" t="s">
        <v>6377</v>
      </c>
      <c r="G6">
        <v>503242198.5</v>
      </c>
      <c r="H6" t="s">
        <v>6377</v>
      </c>
      <c r="I6">
        <v>73852</v>
      </c>
      <c r="J6" t="s">
        <v>6377</v>
      </c>
      <c r="K6">
        <v>69</v>
      </c>
      <c r="L6" t="s">
        <v>6377</v>
      </c>
      <c r="M6">
        <v>221290372.5</v>
      </c>
      <c r="N6" t="s">
        <v>6377</v>
      </c>
      <c r="O6">
        <v>2131983</v>
      </c>
      <c r="P6" t="s">
        <v>6377</v>
      </c>
      <c r="Q6">
        <v>345053448</v>
      </c>
      <c r="R6" t="s">
        <v>6377</v>
      </c>
      <c r="S6">
        <v>53</v>
      </c>
      <c r="T6" t="s">
        <v>6377</v>
      </c>
      <c r="U6">
        <v>97</v>
      </c>
    </row>
    <row r="7" spans="6:21">
      <c r="F7" t="s">
        <v>6387</v>
      </c>
      <c r="G7">
        <v>860026452</v>
      </c>
      <c r="H7" t="s">
        <v>6387</v>
      </c>
      <c r="I7">
        <v>212406</v>
      </c>
      <c r="J7" t="s">
        <v>6387</v>
      </c>
      <c r="K7">
        <v>70</v>
      </c>
      <c r="L7" t="s">
        <v>6387</v>
      </c>
      <c r="M7">
        <v>30913276</v>
      </c>
      <c r="N7" t="s">
        <v>6387</v>
      </c>
      <c r="O7">
        <v>159791</v>
      </c>
      <c r="P7" t="s">
        <v>6387</v>
      </c>
      <c r="Q7">
        <v>117505652</v>
      </c>
      <c r="R7" t="s">
        <v>6387</v>
      </c>
      <c r="S7">
        <v>18</v>
      </c>
      <c r="T7" t="s">
        <v>6387</v>
      </c>
      <c r="U7">
        <v>1</v>
      </c>
    </row>
    <row r="8" spans="6:21">
      <c r="F8" t="s">
        <v>6378</v>
      </c>
      <c r="G8">
        <v>575005187.35627878</v>
      </c>
      <c r="H8" t="s">
        <v>6378</v>
      </c>
      <c r="I8">
        <v>78127.296131599825</v>
      </c>
      <c r="J8" t="s">
        <v>6378</v>
      </c>
      <c r="K8">
        <v>11.389449204466464</v>
      </c>
      <c r="L8" t="s">
        <v>6378</v>
      </c>
      <c r="M8">
        <v>802747278.05727243</v>
      </c>
      <c r="N8" t="s">
        <v>6378</v>
      </c>
      <c r="O8">
        <v>5457870.2536775135</v>
      </c>
      <c r="P8" t="s">
        <v>6378</v>
      </c>
      <c r="Q8">
        <v>5369825917.2456284</v>
      </c>
      <c r="R8" t="s">
        <v>6378</v>
      </c>
      <c r="S8">
        <v>82.388388860337827</v>
      </c>
      <c r="T8" t="s">
        <v>6378</v>
      </c>
      <c r="U8">
        <v>586.02691849986695</v>
      </c>
    </row>
    <row r="9" spans="6:21">
      <c r="F9" t="s">
        <v>6415</v>
      </c>
      <c r="G9">
        <v>3.3063096548662925E+17</v>
      </c>
      <c r="H9" t="s">
        <v>6415</v>
      </c>
      <c r="I9">
        <v>6103874400.8346939</v>
      </c>
      <c r="J9" t="s">
        <v>6415</v>
      </c>
      <c r="K9">
        <v>129.71955318112177</v>
      </c>
      <c r="L9" t="s">
        <v>6415</v>
      </c>
      <c r="M9">
        <v>6.4440319242835994E+17</v>
      </c>
      <c r="N9" t="s">
        <v>6415</v>
      </c>
      <c r="O9">
        <v>29788347705977.844</v>
      </c>
      <c r="P9" t="s">
        <v>6415</v>
      </c>
      <c r="Q9">
        <v>2.8835030381522854E+19</v>
      </c>
      <c r="R9" t="s">
        <v>6415</v>
      </c>
      <c r="S9">
        <v>6787.8466190022373</v>
      </c>
      <c r="T9" t="s">
        <v>6415</v>
      </c>
      <c r="U9">
        <v>343427.54920644965</v>
      </c>
    </row>
    <row r="10" spans="6:21">
      <c r="F10" t="s">
        <v>6416</v>
      </c>
      <c r="G10">
        <v>3.0777639252854554</v>
      </c>
      <c r="H10" t="s">
        <v>6416</v>
      </c>
      <c r="I10">
        <v>2.3425474005297131</v>
      </c>
      <c r="J10" t="s">
        <v>6416</v>
      </c>
      <c r="K10">
        <v>10.784329323648405</v>
      </c>
      <c r="L10" t="s">
        <v>6416</v>
      </c>
      <c r="M10">
        <v>87.549381433501964</v>
      </c>
      <c r="N10" t="s">
        <v>6416</v>
      </c>
      <c r="O10">
        <v>24.922605471705992</v>
      </c>
      <c r="P10" t="s">
        <v>6416</v>
      </c>
      <c r="Q10">
        <v>1181.7072135082053</v>
      </c>
      <c r="R10" t="s">
        <v>6416</v>
      </c>
      <c r="S10">
        <v>8.9357590631008907</v>
      </c>
      <c r="T10" t="s">
        <v>6416</v>
      </c>
      <c r="U10">
        <v>46.376825813113534</v>
      </c>
    </row>
    <row r="11" spans="6:21">
      <c r="F11" t="s">
        <v>6417</v>
      </c>
      <c r="G11">
        <v>1.5423746254591839</v>
      </c>
      <c r="H11" t="s">
        <v>6417</v>
      </c>
      <c r="I11">
        <v>1.3874890609196509</v>
      </c>
      <c r="J11" t="s">
        <v>6417</v>
      </c>
      <c r="K11">
        <v>-2.4826716842627206</v>
      </c>
      <c r="L11" t="s">
        <v>6417</v>
      </c>
      <c r="M11">
        <v>6.4528701844299823</v>
      </c>
      <c r="N11" t="s">
        <v>6417</v>
      </c>
      <c r="O11">
        <v>3.9867483381090083</v>
      </c>
      <c r="P11" t="s">
        <v>6417</v>
      </c>
      <c r="Q11">
        <v>30.578645450697227</v>
      </c>
      <c r="R11" t="s">
        <v>6417</v>
      </c>
      <c r="S11">
        <v>2.3576201801216641</v>
      </c>
      <c r="T11" t="s">
        <v>6417</v>
      </c>
      <c r="U11">
        <v>5.8328636172444916</v>
      </c>
    </row>
    <row r="12" spans="6:21">
      <c r="F12" t="s">
        <v>6381</v>
      </c>
      <c r="G12">
        <v>4281167358</v>
      </c>
      <c r="H12" t="s">
        <v>6381</v>
      </c>
      <c r="I12">
        <v>590081</v>
      </c>
      <c r="J12" t="s">
        <v>6381</v>
      </c>
      <c r="K12">
        <v>95</v>
      </c>
      <c r="L12" t="s">
        <v>6381</v>
      </c>
      <c r="M12">
        <v>16322745043</v>
      </c>
      <c r="N12" t="s">
        <v>6381</v>
      </c>
      <c r="O12">
        <v>62311008</v>
      </c>
      <c r="P12" t="s">
        <v>6381</v>
      </c>
      <c r="Q12">
        <v>214843956278</v>
      </c>
      <c r="R12" t="s">
        <v>6381</v>
      </c>
      <c r="S12">
        <v>858</v>
      </c>
      <c r="T12" t="s">
        <v>6381</v>
      </c>
      <c r="U12">
        <v>7097</v>
      </c>
    </row>
    <row r="13" spans="6:21">
      <c r="F13" t="s">
        <v>6379</v>
      </c>
      <c r="G13">
        <v>301362</v>
      </c>
      <c r="H13" t="s">
        <v>6379</v>
      </c>
      <c r="I13">
        <v>311</v>
      </c>
      <c r="J13" t="s">
        <v>6379</v>
      </c>
      <c r="K13">
        <v>1</v>
      </c>
      <c r="L13" t="s">
        <v>6379</v>
      </c>
      <c r="M13">
        <v>11512</v>
      </c>
      <c r="N13" t="s">
        <v>6379</v>
      </c>
      <c r="O13">
        <v>171</v>
      </c>
      <c r="P13" t="s">
        <v>6379</v>
      </c>
      <c r="Q13">
        <v>312</v>
      </c>
      <c r="R13" t="s">
        <v>6379</v>
      </c>
      <c r="S13">
        <v>1</v>
      </c>
      <c r="T13" t="s">
        <v>6379</v>
      </c>
      <c r="U13">
        <v>1</v>
      </c>
    </row>
    <row r="14" spans="6:21">
      <c r="F14" t="s">
        <v>6380</v>
      </c>
      <c r="G14">
        <v>4281468720</v>
      </c>
      <c r="H14" t="s">
        <v>6380</v>
      </c>
      <c r="I14">
        <v>590392</v>
      </c>
      <c r="J14" t="s">
        <v>6380</v>
      </c>
      <c r="K14">
        <v>96</v>
      </c>
      <c r="L14" t="s">
        <v>6380</v>
      </c>
      <c r="M14">
        <v>16322756555</v>
      </c>
      <c r="N14" t="s">
        <v>6380</v>
      </c>
      <c r="O14">
        <v>62311179</v>
      </c>
      <c r="P14" t="s">
        <v>6380</v>
      </c>
      <c r="Q14">
        <v>214843956590</v>
      </c>
      <c r="R14" t="s">
        <v>6380</v>
      </c>
      <c r="S14">
        <v>859</v>
      </c>
      <c r="T14" t="s">
        <v>6380</v>
      </c>
      <c r="U14">
        <v>7098</v>
      </c>
    </row>
    <row r="15" spans="6:21">
      <c r="F15" t="s">
        <v>6418</v>
      </c>
      <c r="G15">
        <v>1419456334356</v>
      </c>
      <c r="H15" t="s">
        <v>6418</v>
      </c>
      <c r="I15">
        <v>204573489</v>
      </c>
      <c r="J15" t="s">
        <v>6418</v>
      </c>
      <c r="K15">
        <v>144250</v>
      </c>
      <c r="L15" t="s">
        <v>6418</v>
      </c>
      <c r="M15">
        <v>1075832040116</v>
      </c>
      <c r="N15" t="s">
        <v>6418</v>
      </c>
      <c r="O15">
        <v>8292434065</v>
      </c>
      <c r="P15" t="s">
        <v>6418</v>
      </c>
      <c r="Q15">
        <v>2735558496641</v>
      </c>
      <c r="R15" t="s">
        <v>6418</v>
      </c>
      <c r="S15">
        <v>170267</v>
      </c>
      <c r="T15" t="s">
        <v>6418</v>
      </c>
      <c r="U15">
        <v>591530</v>
      </c>
    </row>
    <row r="16" spans="6:21" ht="15" thickBot="1">
      <c r="F16" s="13" t="s">
        <v>6375</v>
      </c>
      <c r="G16" s="13">
        <v>2134</v>
      </c>
      <c r="H16" s="13" t="s">
        <v>6375</v>
      </c>
      <c r="I16" s="13">
        <v>2134</v>
      </c>
      <c r="J16" s="13" t="s">
        <v>6375</v>
      </c>
      <c r="K16" s="13">
        <v>2134</v>
      </c>
      <c r="L16" s="13" t="s">
        <v>6375</v>
      </c>
      <c r="M16" s="13">
        <v>2134</v>
      </c>
      <c r="N16" s="13" t="s">
        <v>6375</v>
      </c>
      <c r="O16" s="13">
        <v>2134</v>
      </c>
      <c r="P16" s="13" t="s">
        <v>6375</v>
      </c>
      <c r="Q16" s="13">
        <v>2134</v>
      </c>
      <c r="R16" s="13" t="s">
        <v>6375</v>
      </c>
      <c r="S16" s="13">
        <v>2134</v>
      </c>
      <c r="T16" s="13" t="s">
        <v>6375</v>
      </c>
      <c r="U16" s="13">
        <v>2134</v>
      </c>
    </row>
    <row r="20" spans="9:21">
      <c r="T20" t="s">
        <v>6419</v>
      </c>
      <c r="U20" t="s">
        <v>6452</v>
      </c>
    </row>
    <row r="21" spans="9:21">
      <c r="I21" s="7" t="s">
        <v>3</v>
      </c>
      <c r="J21" s="7" t="s">
        <v>6451</v>
      </c>
      <c r="T21" t="s">
        <v>6376</v>
      </c>
      <c r="U21" s="9">
        <f>O4</f>
        <v>3885864.1354264291</v>
      </c>
    </row>
    <row r="22" spans="9:21">
      <c r="I22" t="s">
        <v>6376</v>
      </c>
      <c r="J22" s="9">
        <f>G4</f>
        <v>665162293.51265228</v>
      </c>
      <c r="T22" t="s">
        <v>6377</v>
      </c>
      <c r="U22" s="9">
        <f>O6</f>
        <v>2131983</v>
      </c>
    </row>
    <row r="23" spans="9:21">
      <c r="I23" t="s">
        <v>6377</v>
      </c>
      <c r="J23" s="9">
        <f>G6</f>
        <v>503242198.5</v>
      </c>
      <c r="T23" t="s">
        <v>6420</v>
      </c>
      <c r="U23" s="9">
        <f>O8</f>
        <v>5457870.2536775135</v>
      </c>
    </row>
    <row r="24" spans="9:21">
      <c r="I24" t="s">
        <v>6420</v>
      </c>
      <c r="J24" s="9">
        <f>G8</f>
        <v>575005187.35627878</v>
      </c>
      <c r="T24" t="s">
        <v>6417</v>
      </c>
      <c r="U24" s="9">
        <f>O11</f>
        <v>3.9867483381090083</v>
      </c>
    </row>
    <row r="25" spans="9:21">
      <c r="I25" t="s">
        <v>6417</v>
      </c>
      <c r="J25" s="9">
        <f>G11</f>
        <v>1.5423746254591839</v>
      </c>
      <c r="T25" t="s">
        <v>6416</v>
      </c>
      <c r="U25" s="9">
        <f>O10</f>
        <v>24.922605471705992</v>
      </c>
    </row>
    <row r="26" spans="9:21">
      <c r="I26" t="s">
        <v>6416</v>
      </c>
      <c r="J26" s="9">
        <f>G10</f>
        <v>3.0777639252854554</v>
      </c>
    </row>
    <row r="28" spans="9:21">
      <c r="I28" s="27" t="s">
        <v>6421</v>
      </c>
      <c r="J28" s="27"/>
      <c r="K28" s="27"/>
      <c r="L28" s="27"/>
    </row>
    <row r="29" spans="9:21">
      <c r="I29" s="27"/>
      <c r="J29" s="27"/>
      <c r="K29" s="27"/>
      <c r="L29" s="27"/>
    </row>
    <row r="30" spans="9:21">
      <c r="I30" s="27"/>
      <c r="J30" s="27"/>
      <c r="K30" s="27"/>
      <c r="L30" s="27"/>
    </row>
    <row r="33" spans="9:23">
      <c r="T33" t="s">
        <v>6422</v>
      </c>
      <c r="U33" t="s">
        <v>6452</v>
      </c>
    </row>
    <row r="34" spans="9:23">
      <c r="I34" t="s">
        <v>4</v>
      </c>
      <c r="J34" t="s">
        <v>6452</v>
      </c>
      <c r="T34" t="s">
        <v>6376</v>
      </c>
      <c r="U34" s="9">
        <f>Q4</f>
        <v>1281892453.9086223</v>
      </c>
    </row>
    <row r="35" spans="9:23">
      <c r="I35" t="s">
        <v>6376</v>
      </c>
      <c r="J35" s="9">
        <f>I4</f>
        <v>95863.865510777876</v>
      </c>
      <c r="T35" t="s">
        <v>6377</v>
      </c>
      <c r="U35" s="9">
        <f>Q6</f>
        <v>345053448</v>
      </c>
    </row>
    <row r="36" spans="9:23">
      <c r="I36" t="s">
        <v>6377</v>
      </c>
      <c r="J36" s="9">
        <f>I6</f>
        <v>73852</v>
      </c>
      <c r="T36" t="s">
        <v>6420</v>
      </c>
      <c r="U36" s="9">
        <f>Q8</f>
        <v>5369825917.2456284</v>
      </c>
    </row>
    <row r="37" spans="9:23">
      <c r="I37" t="s">
        <v>6420</v>
      </c>
      <c r="J37" s="9">
        <f>I8</f>
        <v>78127.296131599825</v>
      </c>
      <c r="T37" t="s">
        <v>6417</v>
      </c>
      <c r="U37" s="9">
        <f>Q11</f>
        <v>30.578645450697227</v>
      </c>
    </row>
    <row r="38" spans="9:23">
      <c r="I38" t="s">
        <v>6417</v>
      </c>
      <c r="J38" s="9">
        <f>I11</f>
        <v>1.3874890609196509</v>
      </c>
      <c r="T38" t="s">
        <v>6416</v>
      </c>
      <c r="U38" s="9">
        <f>Q10</f>
        <v>1181.7072135082053</v>
      </c>
    </row>
    <row r="39" spans="9:23">
      <c r="I39" t="s">
        <v>6416</v>
      </c>
      <c r="J39" s="9">
        <f>I10</f>
        <v>2.3425474005297131</v>
      </c>
    </row>
    <row r="40" spans="9:23" ht="14.5" customHeight="1">
      <c r="T40" s="27" t="s">
        <v>6423</v>
      </c>
      <c r="U40" s="27"/>
      <c r="V40" s="27"/>
      <c r="W40" s="27"/>
    </row>
    <row r="41" spans="9:23">
      <c r="I41" s="27" t="s">
        <v>6423</v>
      </c>
      <c r="J41" s="27"/>
      <c r="K41" s="27"/>
      <c r="L41" s="27"/>
      <c r="T41" s="27"/>
      <c r="U41" s="27"/>
      <c r="V41" s="27"/>
      <c r="W41" s="27"/>
    </row>
    <row r="42" spans="9:23">
      <c r="I42" s="27"/>
      <c r="J42" s="27"/>
      <c r="K42" s="27"/>
      <c r="L42" s="27"/>
      <c r="T42" s="27"/>
      <c r="U42" s="27"/>
      <c r="V42" s="27"/>
      <c r="W42" s="27"/>
    </row>
    <row r="43" spans="9:23">
      <c r="I43" s="27"/>
      <c r="J43" s="27"/>
      <c r="K43" s="27"/>
      <c r="L43" s="27"/>
    </row>
    <row r="46" spans="9:23">
      <c r="I46" t="s">
        <v>6424</v>
      </c>
      <c r="J46" t="s">
        <v>6452</v>
      </c>
      <c r="T46" t="s">
        <v>9</v>
      </c>
      <c r="U46" t="s">
        <v>6452</v>
      </c>
    </row>
    <row r="47" spans="9:23">
      <c r="I47" t="s">
        <v>6376</v>
      </c>
      <c r="J47" s="9">
        <f>K4</f>
        <v>67.596063730084353</v>
      </c>
      <c r="T47" t="s">
        <v>6376</v>
      </c>
      <c r="U47" s="9">
        <f>S4</f>
        <v>79.787722586691658</v>
      </c>
    </row>
    <row r="48" spans="9:23">
      <c r="I48" t="s">
        <v>6377</v>
      </c>
      <c r="J48" s="9">
        <f>K6</f>
        <v>69</v>
      </c>
      <c r="T48" t="s">
        <v>6377</v>
      </c>
      <c r="U48" s="9">
        <f>S6</f>
        <v>53</v>
      </c>
    </row>
    <row r="49" spans="9:23">
      <c r="I49" t="s">
        <v>6420</v>
      </c>
      <c r="J49" s="9">
        <f>K8</f>
        <v>11.389449204466464</v>
      </c>
      <c r="T49" t="s">
        <v>6420</v>
      </c>
      <c r="U49" s="9">
        <f>S8</f>
        <v>82.388388860337827</v>
      </c>
    </row>
    <row r="50" spans="9:23">
      <c r="I50" t="s">
        <v>6417</v>
      </c>
      <c r="J50" s="9">
        <f>K11</f>
        <v>-2.4826716842627206</v>
      </c>
      <c r="T50" t="s">
        <v>6417</v>
      </c>
      <c r="U50" s="9">
        <f>S11</f>
        <v>2.3576201801216641</v>
      </c>
    </row>
    <row r="51" spans="9:23">
      <c r="I51" t="s">
        <v>6416</v>
      </c>
      <c r="J51" s="9">
        <f>K10</f>
        <v>10.784329323648405</v>
      </c>
      <c r="T51" t="s">
        <v>6416</v>
      </c>
      <c r="U51" s="9">
        <f>S10</f>
        <v>8.9357590631008907</v>
      </c>
    </row>
    <row r="53" spans="9:23" ht="14.5" customHeight="1">
      <c r="I53" s="27" t="s">
        <v>6425</v>
      </c>
      <c r="J53" s="27"/>
      <c r="K53" s="27"/>
      <c r="L53" s="27"/>
      <c r="T53" s="27" t="s">
        <v>6423</v>
      </c>
      <c r="U53" s="27"/>
      <c r="V53" s="27"/>
      <c r="W53" s="27"/>
    </row>
    <row r="54" spans="9:23">
      <c r="I54" s="27"/>
      <c r="J54" s="27"/>
      <c r="K54" s="27"/>
      <c r="L54" s="27"/>
      <c r="T54" s="27"/>
      <c r="U54" s="27"/>
      <c r="V54" s="27"/>
      <c r="W54" s="27"/>
    </row>
    <row r="55" spans="9:23">
      <c r="I55" s="27"/>
      <c r="J55" s="27"/>
      <c r="K55" s="27"/>
      <c r="L55" s="27"/>
      <c r="T55" s="27"/>
      <c r="U55" s="27"/>
      <c r="V55" s="27"/>
      <c r="W55" s="27"/>
    </row>
    <row r="58" spans="9:23">
      <c r="T58" t="s">
        <v>10</v>
      </c>
      <c r="U58" t="s">
        <v>6452</v>
      </c>
    </row>
    <row r="59" spans="9:23">
      <c r="I59" t="s">
        <v>6426</v>
      </c>
      <c r="J59" t="s">
        <v>6452</v>
      </c>
      <c r="T59" t="s">
        <v>6376</v>
      </c>
      <c r="U59" s="9">
        <f>U4</f>
        <v>277.19306466729148</v>
      </c>
    </row>
    <row r="60" spans="9:23">
      <c r="I60" t="s">
        <v>6376</v>
      </c>
      <c r="J60" s="9">
        <f>M4</f>
        <v>504138725.45267105</v>
      </c>
      <c r="T60" t="s">
        <v>6377</v>
      </c>
      <c r="U60" s="9">
        <f>U6</f>
        <v>97</v>
      </c>
    </row>
    <row r="61" spans="9:23">
      <c r="I61" t="s">
        <v>6377</v>
      </c>
      <c r="J61" s="9">
        <f>M6</f>
        <v>221290372.5</v>
      </c>
      <c r="T61" t="s">
        <v>6420</v>
      </c>
      <c r="U61" s="9">
        <f>U8</f>
        <v>586.02691849986695</v>
      </c>
    </row>
    <row r="62" spans="9:23">
      <c r="I62" t="s">
        <v>6420</v>
      </c>
      <c r="J62" s="9">
        <f>M8</f>
        <v>802747278.05727243</v>
      </c>
      <c r="T62" t="s">
        <v>6417</v>
      </c>
      <c r="U62" s="9">
        <f>U11</f>
        <v>5.8328636172444916</v>
      </c>
    </row>
    <row r="63" spans="9:23">
      <c r="I63" t="s">
        <v>6417</v>
      </c>
      <c r="J63" s="9">
        <f>M11</f>
        <v>6.4528701844299823</v>
      </c>
      <c r="T63" t="s">
        <v>6416</v>
      </c>
      <c r="U63" s="9">
        <f>U10</f>
        <v>46.376825813113534</v>
      </c>
    </row>
    <row r="64" spans="9:23">
      <c r="I64" t="s">
        <v>6416</v>
      </c>
      <c r="J64" s="9">
        <f>M10</f>
        <v>87.549381433501964</v>
      </c>
    </row>
    <row r="65" spans="9:23">
      <c r="T65" s="27" t="s">
        <v>6423</v>
      </c>
      <c r="U65" s="27"/>
      <c r="V65" s="27"/>
      <c r="W65" s="27"/>
    </row>
    <row r="66" spans="9:23" ht="14.5" customHeight="1">
      <c r="I66" s="27" t="s">
        <v>6423</v>
      </c>
      <c r="J66" s="27"/>
      <c r="K66" s="27"/>
      <c r="L66" s="27"/>
      <c r="T66" s="27"/>
      <c r="U66" s="27"/>
      <c r="V66" s="27"/>
      <c r="W66" s="27"/>
    </row>
    <row r="67" spans="9:23">
      <c r="I67" s="27"/>
      <c r="J67" s="27"/>
      <c r="K67" s="27"/>
      <c r="L67" s="27"/>
      <c r="T67" s="27"/>
      <c r="U67" s="27"/>
      <c r="V67" s="27"/>
      <c r="W67" s="27"/>
    </row>
    <row r="68" spans="9:23">
      <c r="I68" s="27"/>
      <c r="J68" s="27"/>
      <c r="K68" s="27"/>
      <c r="L68" s="27"/>
    </row>
  </sheetData>
  <mergeCells count="7">
    <mergeCell ref="I28:L30"/>
    <mergeCell ref="I41:L43"/>
    <mergeCell ref="I66:L68"/>
    <mergeCell ref="T40:W42"/>
    <mergeCell ref="T53:W55"/>
    <mergeCell ref="I53:L55"/>
    <mergeCell ref="T65:W67"/>
  </mergeCells>
  <pageMargins left="0.7" right="0.7" top="0.75" bottom="0.75" header="0.3" footer="0.3"/>
  <drawing r:id="rId1"/>
  <tableParts count="8">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007BC-2719-4CAD-8007-0494D69AB253}">
  <dimension ref="A1:C37"/>
  <sheetViews>
    <sheetView zoomScale="59" workbookViewId="0">
      <selection activeCell="B32" sqref="B32"/>
    </sheetView>
  </sheetViews>
  <sheetFormatPr defaultRowHeight="14.5"/>
  <cols>
    <col min="1" max="1" width="28.54296875" bestFit="1" customWidth="1"/>
    <col min="2" max="2" width="87.453125" bestFit="1" customWidth="1"/>
  </cols>
  <sheetData>
    <row r="1" spans="1:3" ht="126" customHeight="1">
      <c r="A1" s="28" t="s">
        <v>6427</v>
      </c>
      <c r="B1" s="28"/>
      <c r="C1" s="28"/>
    </row>
    <row r="3" spans="1:3" ht="45" customHeight="1">
      <c r="A3" t="s">
        <v>6428</v>
      </c>
    </row>
    <row r="4" spans="1:3" ht="60" customHeight="1">
      <c r="A4" t="s">
        <v>6429</v>
      </c>
    </row>
    <row r="6" spans="1:3">
      <c r="A6" s="28" t="s">
        <v>6430</v>
      </c>
      <c r="B6" s="28"/>
      <c r="C6" s="28"/>
    </row>
    <row r="7" spans="1:3">
      <c r="A7" t="s">
        <v>6431</v>
      </c>
    </row>
    <row r="8" spans="1:3">
      <c r="A8" t="s">
        <v>6376</v>
      </c>
    </row>
    <row r="9" spans="1:3">
      <c r="A9" t="s">
        <v>6377</v>
      </c>
    </row>
    <row r="10" spans="1:3">
      <c r="A10" t="s">
        <v>6432</v>
      </c>
    </row>
    <row r="11" spans="1:3">
      <c r="A11" t="s">
        <v>6417</v>
      </c>
    </row>
    <row r="12" spans="1:3" ht="60" customHeight="1">
      <c r="A12" t="s">
        <v>6433</v>
      </c>
    </row>
    <row r="14" spans="1:3">
      <c r="A14" s="28" t="s">
        <v>6434</v>
      </c>
      <c r="B14" s="28"/>
      <c r="C14" s="28"/>
    </row>
    <row r="15" spans="1:3" ht="45" customHeight="1">
      <c r="A15" t="s">
        <v>6435</v>
      </c>
    </row>
    <row r="16" spans="1:3" ht="45.75" customHeight="1">
      <c r="A16" t="s">
        <v>6436</v>
      </c>
    </row>
    <row r="17" spans="1:3">
      <c r="A17" t="s">
        <v>6437</v>
      </c>
    </row>
    <row r="18" spans="1:3">
      <c r="A18" t="s">
        <v>6438</v>
      </c>
    </row>
    <row r="19" spans="1:3" ht="45" customHeight="1">
      <c r="A19" t="s">
        <v>6439</v>
      </c>
    </row>
    <row r="21" spans="1:3">
      <c r="A21" s="28" t="s">
        <v>6440</v>
      </c>
      <c r="B21" s="28"/>
      <c r="C21" s="28"/>
    </row>
    <row r="22" spans="1:3" ht="45" customHeight="1">
      <c r="A22" t="s">
        <v>6435</v>
      </c>
    </row>
    <row r="23" spans="1:3">
      <c r="A23" t="s">
        <v>6436</v>
      </c>
      <c r="B23" t="s">
        <v>6441</v>
      </c>
    </row>
    <row r="24" spans="1:3">
      <c r="A24" t="s">
        <v>6442</v>
      </c>
    </row>
    <row r="25" spans="1:3">
      <c r="A25" t="s">
        <v>6438</v>
      </c>
    </row>
    <row r="26" spans="1:3" ht="44.25" customHeight="1">
      <c r="A26" t="s">
        <v>6439</v>
      </c>
    </row>
    <row r="28" spans="1:3">
      <c r="A28" s="28" t="s">
        <v>6443</v>
      </c>
      <c r="B28" s="28"/>
      <c r="C28" s="28"/>
    </row>
    <row r="29" spans="1:3" ht="45" customHeight="1">
      <c r="A29" t="s">
        <v>6435</v>
      </c>
    </row>
    <row r="30" spans="1:3">
      <c r="A30" t="s">
        <v>6436</v>
      </c>
      <c r="B30" t="s">
        <v>6441</v>
      </c>
    </row>
    <row r="31" spans="1:3">
      <c r="A31" t="s">
        <v>6444</v>
      </c>
    </row>
    <row r="32" spans="1:3">
      <c r="A32" t="s">
        <v>6438</v>
      </c>
    </row>
    <row r="33" spans="1:3" ht="45" customHeight="1">
      <c r="A33" t="s">
        <v>6439</v>
      </c>
    </row>
    <row r="35" spans="1:3">
      <c r="A35" s="28" t="s">
        <v>6445</v>
      </c>
      <c r="B35" s="28"/>
      <c r="C35" s="28"/>
    </row>
    <row r="36" spans="1:3" ht="90.75" customHeight="1">
      <c r="A36" t="s">
        <v>6446</v>
      </c>
    </row>
    <row r="37" spans="1:3">
      <c r="A37" t="s">
        <v>6447</v>
      </c>
      <c r="B37" t="s">
        <v>6448</v>
      </c>
    </row>
  </sheetData>
  <mergeCells count="6">
    <mergeCell ref="A35:C35"/>
    <mergeCell ref="A1:C1"/>
    <mergeCell ref="A6:C6"/>
    <mergeCell ref="A21:C21"/>
    <mergeCell ref="A14:C14"/>
    <mergeCell ref="A28:C2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12307-6D61-441C-A21D-2EC61EBE2613}">
  <dimension ref="A1:A2"/>
  <sheetViews>
    <sheetView workbookViewId="0">
      <selection activeCell="A2" sqref="A2"/>
    </sheetView>
  </sheetViews>
  <sheetFormatPr defaultRowHeight="14.5"/>
  <cols>
    <col min="1" max="1" width="65.36328125" customWidth="1"/>
  </cols>
  <sheetData>
    <row r="1" spans="1:1">
      <c r="A1" t="s">
        <v>6450</v>
      </c>
    </row>
    <row r="2" spans="1:1" ht="261">
      <c r="A2" s="16" t="s">
        <v>6413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Most Streamed Spotify Songs 202</vt:lpstr>
      <vt:lpstr>Cleaned Data</vt:lpstr>
      <vt:lpstr>Descriptive Statistics</vt:lpstr>
      <vt:lpstr>Frequency Table</vt:lpstr>
      <vt:lpstr>Visuals</vt:lpstr>
      <vt:lpstr>Commentary</vt:lpstr>
      <vt:lpstr>Distribution Analysis</vt:lpstr>
      <vt:lpstr>Real-World Probability</vt:lpstr>
      <vt:lpstr>Probability Commentary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Price, Julia</cp:lastModifiedBy>
  <cp:revision/>
  <dcterms:created xsi:type="dcterms:W3CDTF">2026-07-13T14:13:46Z</dcterms:created>
  <dcterms:modified xsi:type="dcterms:W3CDTF">2026-07-26T20:39:30Z</dcterms:modified>
  <cp:category/>
  <cp:contentStatus/>
</cp:coreProperties>
</file>